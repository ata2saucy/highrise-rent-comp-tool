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utput" sheetId="1" state="visible" r:id="rId3"/>
    <sheet name="Building Summary" sheetId="2" state="visible" r:id="rId4"/>
    <sheet name="Data_Summary" sheetId="3" state="visible" r:id="rId5"/>
    <sheet name="RD Condos" sheetId="4" state="visible" r:id="rId6"/>
    <sheet name="RD Apartments" sheetId="5" state="visible" r:id="rId7"/>
    <sheet name="Floor Pla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<sst xmlns="http://schemas.openxmlformats.org/spreadsheetml/2006/main" count="22511" uniqueCount="4558">
  <si>
    <t xml:space="preserve">10 LOWER SPADINA — PURPOSE-BUILT RENTAL SCENARIO — RENTAL COMP SUMMARY (Condos view)</t>
  </si>
  <si>
    <t xml:space="preserve">Building</t>
  </si>
  <si>
    <t xml:space="preserve">First Occupancy</t>
  </si>
  <si>
    <t xml:space="preserve">Avg.Lease Date</t>
  </si>
  <si>
    <t xml:space="preserve">Vacancy</t>
  </si>
  <si>
    <t xml:space="preserve">Transaction Count</t>
  </si>
  <si>
    <t xml:space="preserve">Avg Suite Size</t>
  </si>
  <si>
    <t xml:space="preserve">Adj. Avg. Rent</t>
  </si>
  <si>
    <t xml:space="preserve">Avg. Net Rent PSF</t>
  </si>
  <si>
    <t xml:space="preserve">Lower Spadina / CityPlace Waterfront</t>
  </si>
  <si>
    <t xml:space="preserve">Concord Canada House</t>
  </si>
  <si>
    <t xml:space="preserve">Nobu Residences</t>
  </si>
  <si>
    <t xml:space="preserve">The Well</t>
  </si>
  <si>
    <t xml:space="preserve">Ten York</t>
  </si>
  <si>
    <t xml:space="preserve">Forward Condos</t>
  </si>
  <si>
    <t xml:space="preserve">Quartz / Spectra</t>
  </si>
  <si>
    <t xml:space="preserve">Library District</t>
  </si>
  <si>
    <t xml:space="preserve">N1 | N2 CityPlace</t>
  </si>
  <si>
    <t xml:space="preserve">Aqua</t>
  </si>
  <si>
    <t xml:space="preserve">Average</t>
  </si>
  <si>
    <t xml:space="preserve">PBR Premium</t>
  </si>
  <si>
    <t xml:space="preserve">Implied Untrended Rent</t>
  </si>
  <si>
    <t xml:space="preserve">Subject Site (Untrended Rent)</t>
  </si>
  <si>
    <t xml:space="preserve">Other Excluded</t>
  </si>
  <si>
    <t xml:space="preserve">Quartz / Spectra (75-85 Queens Wharf Rd, 2015) — selected as a comp; 230 in-window leases pulled, but condos.ca publishes NO per-unit registered area for this corporation, so 0 cleared the exact-or-blank SF bar this session (Route A vipcondos plan-by-stack not re-run). Excluded from $/SF; recorded in the verification log.</t>
  </si>
  <si>
    <t xml:space="preserve">PBR / apartment track (same-product comps for the PBR subject): nearby purpose-built rentals found on rentals.ca — 25 Lower Simcoe St, 30 Grand Trunk Cres, 15 Fort York Blvd, 8 Mercer St, 39 Niagara St, 33 Bay St, 16 Yonge St. All publish ASKING rent only with no verified floor-plan SF, so none cleared the SF bar; excluded from $/SF (asking-only). Listed for the premium-basis discussion only.</t>
  </si>
  <si>
    <t xml:space="preserve">Evaluated &amp; excluded (location/vintage): Sugar Wharf (95 Lake Shore E — different micro-market); Lighthouse / Aquabella / Aqualuna (East Bayfront ~2.5 km); Bisha / King Blue / Theatre Park (Entertainment District); older CityPlace (Optima/Apex/Montage/Neo/Luna/Parade/West One/Harbour View — redundant with the CityPlace floor already included via N1|N2 + Library).</t>
  </si>
  <si>
    <t xml:space="preserve">Weighted Average (all comps)</t>
  </si>
  <si>
    <t xml:space="preserve">Studio Units</t>
  </si>
  <si>
    <t xml:space="preserve">1-Bedroom Units</t>
  </si>
  <si>
    <t xml:space="preserve">1-Bedroom + Den Units</t>
  </si>
  <si>
    <t xml:space="preserve">2-Bedroom Units</t>
  </si>
  <si>
    <t xml:space="preserve">3-Bedroom Units</t>
  </si>
  <si>
    <t xml:space="preserve">Transaction
Count</t>
  </si>
  <si>
    <t xml:space="preserve">Avg. Suite
Size</t>
  </si>
  <si>
    <t xml:space="preserve">Adj. Avg.
Rent</t>
  </si>
  <si>
    <t xml:space="preserve">Avg. Net
Rent PSF</t>
  </si>
  <si>
    <t xml:space="preserve">★ RECOMMENDATION — RECOMMENDED SUBJECT RENT</t>
  </si>
  <si>
    <t xml:space="preserve">Recommended subject $/SF</t>
  </si>
  <si>
    <t xml:space="preserve">Weighted Avg.</t>
  </si>
  <si>
    <t xml:space="preserve">Conservative (all-comp + premium) $/SF</t>
  </si>
  <si>
    <t xml:space="preserve">Low</t>
  </si>
  <si>
    <t xml:space="preserve">Raw comp $/SF (Concord Canada House, no premium)</t>
  </si>
  <si>
    <t xml:space="preserve">High</t>
  </si>
  <si>
    <t xml:space="preserve">Plus — new-build / lease-up premium</t>
  </si>
  <si>
    <t xml:space="preserve">Recommended monthly rent by suite type</t>
  </si>
  <si>
    <t xml:space="preserve">Weighted Avg. (×(1+PBR))</t>
  </si>
  <si>
    <t xml:space="preserve">Suite</t>
  </si>
  <si>
    <t xml:space="preserve">Avg SF</t>
  </si>
  <si>
    <t xml:space="preserve">Rec. Rent</t>
  </si>
  <si>
    <t xml:space="preserve">Weighted Avg. Building Total (Comps)</t>
  </si>
  <si>
    <t xml:space="preserve">1-Bed / 1+Den</t>
  </si>
  <si>
    <t xml:space="preserve">2-Bed</t>
  </si>
  <si>
    <t xml:space="preserve">Subject Property (Using Comp $ Rent)</t>
  </si>
  <si>
    <t xml:space="preserve">3-Bed</t>
  </si>
  <si>
    <t xml:space="preserve">Subject Property Rent Building Total</t>
  </si>
  <si>
    <t xml:space="preserve">Custom suite — enter size (sq ft) →</t>
  </si>
  <si>
    <t xml:space="preserve">Subject Property (Using Comp PSF Rent)</t>
  </si>
  <si>
    <t xml:space="preserve">Implied rent @ recommended subject $/SF</t>
  </si>
  <si>
    <t xml:space="preserve">Subject Property PSF Rent Building Total</t>
  </si>
  <si>
    <t xml:space="preserve">Implied rent @ raw comp $/SF (no premium)</t>
  </si>
  <si>
    <t xml:space="preserve">Subject Property Rent</t>
  </si>
  <si>
    <t xml:space="preserve">NOTES &amp; CONTEXT</t>
  </si>
  <si>
    <t xml:space="preserve">SUBJECT TREATED AS PURPOSE-BUILT RENTAL (PBR) per user instruction 2026-06-22 — overrides vipcondos, which lists it as a condo.</t>
  </si>
  <si>
    <t xml:space="preserve">All 1,068 verified comps are CONDOS (condos.ca). For a PBR subject these are CROSS-PRODUCT comps: their $/SF must be bridged DOWN to PBR-equivalent by the condo→PBR premium (~10%).</t>
  </si>
  <si>
    <t xml:space="preserve">Regression:</t>
  </si>
  <si>
    <t xml:space="preserve">This workbook's recommended $/SF is the CONDO-EQUIVALENT basis (condo comps + new-build premium). PBR-subject achievable rent = condo-equivalent $/SF ÷ (1 + ~10%).</t>
  </si>
  <si>
    <t xml:space="preserve">Coefficients:</t>
  </si>
  <si>
    <t xml:space="preserve">No-cap pull: EVERY in-window leased transaction was pulled from condos.ca (1,877 total Jan-2025→now across the 9 buildings); 1,068 carry a verified exact interior SF and form the comp set; the remaining ~809 (incl. all 230 Quartz/Spectra) had no published registered area and are logged in the verification file.</t>
  </si>
  <si>
    <t xml:space="preserve">Total Building coefficient</t>
  </si>
  <si>
    <t xml:space="preserve">← optional external regression input (Predictor); 0 = unused</t>
  </si>
  <si>
    <t xml:space="preserve">SF verified this session: condos.ca registered area (sqft*, source Calculated) confirmed equal to the unit page for Concord 929 (888) and Aqua 414 (600).</t>
  </si>
  <si>
    <t xml:space="preserve">Confidence fills (Raw Data only): green = leased in-window + SF verified per-unit · cream = plate-verified / older / minor caveat / apartment asking-only · orange = excluded partial / bracket-only. No colour fills on summary/Output cells.</t>
  </si>
  <si>
    <t xml:space="preserve">Subject Property Rent (Increase vs comps)</t>
  </si>
  <si>
    <t xml:space="preserve">Subject Property Rent (Building Total)</t>
  </si>
  <si>
    <t xml:space="preserve">Unadjusted</t>
  </si>
  <si>
    <t xml:space="preserve">TRREB Data ()</t>
  </si>
  <si>
    <t xml:space="preserve">Rent (1BR)</t>
  </si>
  <si>
    <t xml:space="preserve">Rent (2BR)</t>
  </si>
  <si>
    <t xml:space="preserve">Rent (3BR)</t>
  </si>
  <si>
    <t xml:space="preserve">← TRREB (district / City / GTA YoY), read this session</t>
  </si>
  <si>
    <t xml:space="preserve">Comp Building Summary — 10 Lower Spadina (PBR scenario) (10 Lower Spadina Ave, Waterfront / C01)</t>
  </si>
  <si>
    <t xml:space="preserve">Address</t>
  </si>
  <si>
    <t xml:space="preserve">Area</t>
  </si>
  <si>
    <t xml:space="preserve">Developer</t>
  </si>
  <si>
    <t xml:space="preserve">Yr Built</t>
  </si>
  <si>
    <t xml:space="preserve">Product</t>
  </si>
  <si>
    <t xml:space="preserve">Storeys</t>
  </si>
  <si>
    <t xml:space="preserve">Units</t>
  </si>
  <si>
    <t xml:space="preserve">Avg Rent</t>
  </si>
  <si>
    <t xml:space="preserve">Avg $/SF</t>
  </si>
  <si>
    <t xml:space="preserve">23 Spadina Ave</t>
  </si>
  <si>
    <t xml:space="preserve">CityPlace</t>
  </si>
  <si>
    <t xml:space="preserve">Concord Adex</t>
  </si>
  <si>
    <t xml:space="preserve">Condo</t>
  </si>
  <si>
    <t xml:space="preserve">15 Mercer St</t>
  </si>
  <si>
    <t xml:space="preserve">Entertainment District</t>
  </si>
  <si>
    <t xml:space="preserve">Madison Group</t>
  </si>
  <si>
    <t xml:space="preserve">470-486 Front St W</t>
  </si>
  <si>
    <t xml:space="preserve">King West</t>
  </si>
  <si>
    <t xml:space="preserve">Tridel / RioCan</t>
  </si>
  <si>
    <t xml:space="preserve">10 York St</t>
  </si>
  <si>
    <t xml:space="preserve">Waterfront</t>
  </si>
  <si>
    <t xml:space="preserve">Tridel</t>
  </si>
  <si>
    <t xml:space="preserve">70-90 Queens Wharf Rd</t>
  </si>
  <si>
    <t xml:space="preserve">75-85 Queens Wharf Rd</t>
  </si>
  <si>
    <t xml:space="preserve">170 Fort York Blvd</t>
  </si>
  <si>
    <t xml:space="preserve">15 Fort York Blvd</t>
  </si>
  <si>
    <t xml:space="preserve">410 Queens Quay W</t>
  </si>
  <si>
    <t xml:space="preserve">Monarch</t>
  </si>
  <si>
    <t xml:space="preserve">ALL CONDOS</t>
  </si>
  <si>
    <t xml:space="preserve">ALL APARTMENTS</t>
  </si>
  <si>
    <t xml:space="preserve">Date Filter (include leases on/after)</t>
  </si>
  <si>
    <t xml:space="preserve">lever — trailing window; leases on/after this date count. Tunable.</t>
  </si>
  <si>
    <t xml:space="preserve">Subject unit mix (1BR/2BR/3BR, den-incl) — DERIVED</t>
  </si>
  <si>
    <t xml:space="preserve">Subject Unit-Mix Derivation (P/Q)</t>
  </si>
  <si>
    <t xml:space="preserve">Subject Output mix &amp; suite count</t>
  </si>
  <si>
    <t xml:space="preserve">Parking Adjustment ($/spot/mo)</t>
  </si>
  <si>
    <t xml:space="preserve">Area parking comps, downtown waterfront: standalone spots ~$200-250/mo; observed with-vs-without-parking rent uplift is modest (most CityPlace/waterfront comps lease w/o parking). Tunable lever; prior model used a near-zero LINEST value. condos.ca, 2026-06-22.</t>
  </si>
  <si>
    <t xml:space="preserve">1BR wt</t>
  </si>
  <si>
    <t xml:space="preserve">1BR plans (SUBJECT, den-incl)</t>
  </si>
  <si>
    <t xml:space="preserve">Suite count</t>
  </si>
  <si>
    <t xml:space="preserve">vipcondos Step 0 2026-06-22: 511 suites / 49 storeys.</t>
  </si>
  <si>
    <t xml:space="preserve">Apartment premium (apt comps only) — OFF</t>
  </si>
  <si>
    <t xml:space="preserve">No APARTMENT COMP rows in the set (PBR track found only asking-only listings with no verified SF — see notes). Condo→PBR premium for the subject is ~10% (external/prior-model anchor); applied as a DOWNWARD bridge to the condo-equivalent recommendation in the PBR summary, not via this lever.</t>
  </si>
  <si>
    <t xml:space="preserve">2BR wt</t>
  </si>
  <si>
    <t xml:space="preserve">2BR plans (SUBJECT)</t>
  </si>
  <si>
    <t xml:space="preserve">Subject rental premium (new-build / lease-up; comp $/SF → subject)</t>
  </si>
  <si>
    <t xml:space="preserve">DERIVED off PREMIUM BASIS (midpoint of C61 newest/all-comp &amp; C62 newest/oldest). This comp set is single-/equal-vintage ⇒ no spread ⇒ C4 falls back to the sourced subject premium 10.0%: new-build/lease-up premium fallback; brand-new 2029-30 subject vs comp blend. C4 normally DERIVED off the live PREMIUM BASIS vintage spread (2003-2025); this is the fallback only if the comp set were single-vintage.</t>
  </si>
  <si>
    <t xml:space="preserve">3BR wt</t>
  </si>
  <si>
    <t xml:space="preserve">3BR plans (SUBJECT)</t>
  </si>
  <si>
    <t xml:space="preserve">1+Den wt</t>
  </si>
  <si>
    <t xml:space="preserve">Total tagged plans</t>
  </si>
  <si>
    <t xml:space="preserve">(0 ⇒ falls back to manual mix Q8:Q10)</t>
  </si>
  <si>
    <t xml:space="preserve">Source</t>
  </si>
  <si>
    <t xml:space="preserve">estimated downtown-waterfront program 2026-06-22 (den-incl 1BR=1B+1+den); supersede with developer suite schedule (authoritative).</t>
  </si>
  <si>
    <t xml:space="preserve">1BR wt (manual)</t>
  </si>
  <si>
    <t xml:space="preserve">2BR wt (manual)</t>
  </si>
  <si>
    <t xml:space="preserve">3BR wt (manual)</t>
  </si>
  <si>
    <t xml:space="preserve">By Bedroom — all comps (den-incl.)</t>
  </si>
  <si>
    <t xml:space="preserve">Beds</t>
  </si>
  <si>
    <t xml:space="preserve">Incl.</t>
  </si>
  <si>
    <t xml:space="preserve">1 Bed</t>
  </si>
  <si>
    <t xml:space="preserve">2 Bed</t>
  </si>
  <si>
    <t xml:space="preserve">3 Bed</t>
  </si>
  <si>
    <t xml:space="preserve">By Bedroom — Concord Canada House only (new-build basis)</t>
  </si>
  <si>
    <t xml:space="preserve">$/SF</t>
  </si>
  <si>
    <t xml:space="preserve">Subj Rent (+prem)</t>
  </si>
  <si>
    <t xml:space="preserve">SUBJECT RECOMMENDATION (comp $/SF + premium)</t>
  </si>
  <si>
    <t xml:space="preserve">Weighted comp $/SF — Concord Canada House basis</t>
  </si>
  <si>
    <t xml:space="preserve">Weighted comp $/SF — all-comp basis</t>
  </si>
  <si>
    <t xml:space="preserve">Subject rental premium</t>
  </si>
  <si>
    <t xml:space="preserve">RECOMMENDED subject $/SF (Concord Canada House + premium)</t>
  </si>
  <si>
    <t xml:space="preserve">Subject $/SF (all-comp + premium)</t>
  </si>
  <si>
    <t xml:space="preserve">Prior model subject</t>
  </si>
  <si>
    <t xml:space="preserve">Residual vs prior</t>
  </si>
  <si>
    <t xml:space="preserve">PREMIUM BASIS (live) — vintage $/SF spread anchoring C4</t>
  </si>
  <si>
    <t xml:space="preserve">Metric</t>
  </si>
  <si>
    <t xml:space="preserve">Newest comp (Concord Canada House) avg $/SF</t>
  </si>
  <si>
    <t xml:space="preserve">All-comp avg $/SF</t>
  </si>
  <si>
    <t xml:space="preserve">Oldest comp (Aqua) avg $/SF</t>
  </si>
  <si>
    <t xml:space="preserve">Observed vintage premium — newest / all-comp - 1</t>
  </si>
  <si>
    <t xml:space="preserve">Observed vintage premium — newest / oldest - 1</t>
  </si>
  <si>
    <t xml:space="preserve">C4 subject premium (sits within observed range)</t>
  </si>
  <si>
    <t xml:space="preserve">MIX BASIS (live) — comp-set bed distribution vs estimated subject mix</t>
  </si>
  <si>
    <t xml:space="preserve">Bucket</t>
  </si>
  <si>
    <t xml:space="preserve">Comp #</t>
  </si>
  <si>
    <t xml:space="preserve">Comp share</t>
  </si>
  <si>
    <t xml:space="preserve">Subject est.</t>
  </si>
  <si>
    <t xml:space="preserve">1-Bed (H=1, den-incl)</t>
  </si>
  <si>
    <t xml:space="preserve">2-Bed (H=2, incl 2+den)</t>
  </si>
  <si>
    <t xml:space="preserve">3-Bed (H=3)</t>
  </si>
  <si>
    <t xml:space="preserve">Total included</t>
  </si>
  <si>
    <t xml:space="preserve">1+Den share (Q=1+1)</t>
  </si>
  <si>
    <t xml:space="preserve">APARTMENT PREMIUM BASIS (C3) — N/A this set</t>
  </si>
  <si>
    <t xml:space="preserve">No purpose-built apartment comps selected, so C3 is unused (0). If apartment comps are added, derive C3 from the condo ÷ apartment $/SF spread or cite a named market study — never a bare %.</t>
  </si>
  <si>
    <t xml:space="preserve">Comp building rollup (included leases)</t>
  </si>
  <si>
    <t xml:space="preserve">Built</t>
  </si>
  <si>
    <t xml:space="preserve">Built 2025</t>
  </si>
  <si>
    <t xml:space="preserve">Built 2024</t>
  </si>
  <si>
    <t xml:space="preserve">Built 2019</t>
  </si>
  <si>
    <t xml:space="preserve">Built 2018</t>
  </si>
  <si>
    <t xml:space="preserve">Built 2015</t>
  </si>
  <si>
    <t xml:space="preserve">Built 2014</t>
  </si>
  <si>
    <t xml:space="preserve">Built 2008</t>
  </si>
  <si>
    <t xml:space="preserve">Built 2003</t>
  </si>
  <si>
    <t xml:space="preserve">ALL COMPS</t>
  </si>
  <si>
    <t xml:space="preserve">Include</t>
  </si>
  <si>
    <t xml:space="preserve">Sq Ft.</t>
  </si>
  <si>
    <t xml:space="preserve">Rent</t>
  </si>
  <si>
    <t xml:space="preserve">Adj. Rent</t>
  </si>
  <si>
    <t xml:space="preserve">$/sq ft</t>
  </si>
  <si>
    <t xml:space="preserve">Adj. $/sq ft</t>
  </si>
  <si>
    <t xml:space="preserve">Adj BD</t>
  </si>
  <si>
    <t xml:space="preserve">Beds Number</t>
  </si>
  <si>
    <t xml:space="preserve">Den</t>
  </si>
  <si>
    <t xml:space="preserve">Date</t>
  </si>
  <si>
    <t xml:space="preserve">Building Name</t>
  </si>
  <si>
    <t xml:space="preserve">Building Address</t>
  </si>
  <si>
    <t xml:space="preserve">Building City</t>
  </si>
  <si>
    <t xml:space="preserve">Unit #</t>
  </si>
  <si>
    <t xml:space="preserve">Unit Address</t>
  </si>
  <si>
    <t xml:space="preserve">Baths</t>
  </si>
  <si>
    <t xml:space="preserve">Sqft (Condos.ca)</t>
  </si>
  <si>
    <t xml:space="preserve">MLS Size Range</t>
  </si>
  <si>
    <t xml:space="preserve"># Parking</t>
  </si>
  <si>
    <t xml:space="preserve">Parking Included</t>
  </si>
  <si>
    <t xml:space="preserve">Locker</t>
  </si>
  <si>
    <t xml:space="preserve">Outdoor Space</t>
  </si>
  <si>
    <t xml:space="preserve">Exposure</t>
  </si>
  <si>
    <t xml:space="preserve">Building Age</t>
  </si>
  <si>
    <t xml:space="preserve">Building Amenities</t>
  </si>
  <si>
    <t xml:space="preserve">Leased Rent ($)</t>
  </si>
  <si>
    <t xml:space="preserve">Listed Rent ($)</t>
  </si>
  <si>
    <t xml:space="preserve">PSF (Calculated)</t>
  </si>
  <si>
    <t xml:space="preserve">PSF (Listing)</t>
  </si>
  <si>
    <t xml:space="preserve">Furnished</t>
  </si>
  <si>
    <t xml:space="preserve">Hydro Included</t>
  </si>
  <si>
    <t xml:space="preserve">Water Included</t>
  </si>
  <si>
    <t xml:space="preserve">Lease Date</t>
  </si>
  <si>
    <t xml:space="preserve">MLS#</t>
  </si>
  <si>
    <t xml:space="preserve">Listing URL</t>
  </si>
  <si>
    <t xml:space="preserve">Description</t>
  </si>
  <si>
    <t xml:space="preserve">Product Type</t>
  </si>
  <si>
    <t xml:space="preserve">$/SF (Product-Adj)</t>
  </si>
  <si>
    <t xml:space="preserve">Date Scraped</t>
  </si>
  <si>
    <t xml:space="preserve">Toronto</t>
  </si>
  <si>
    <t xml:space="preserve">929</t>
  </si>
  <si>
    <t xml:space="preserve">3</t>
  </si>
  <si>
    <t xml:space="preserve">800-899 sqft</t>
  </si>
  <si>
    <t xml:space="preserve">Yes</t>
  </si>
  <si>
    <t xml:space="preserve">Owned</t>
  </si>
  <si>
    <t xml:space="preserve">Balcony, Patio</t>
  </si>
  <si>
    <t xml:space="preserve">NW</t>
  </si>
  <si>
    <t xml:space="preserve">Built 2025 (1 yrs)</t>
  </si>
  <si>
    <t xml:space="preserve">Concierge, Gym, Party Room, Outdoor Terrace</t>
  </si>
  <si>
    <t xml:space="preserve">No</t>
  </si>
  <si>
    <t xml:space="preserve">2026-06-18</t>
  </si>
  <si>
    <t xml:space="preserve">C13434728</t>
  </si>
  <si>
    <t xml:space="preserve">https://condos.ca/toronto/concord-canada-house-23-spadina-ave-1-3-concord-cityplace-way/unit-929-C13434728</t>
  </si>
  <si>
    <t xml:space="preserve">condos.ca registered area 888 sqft* (source Calculated), in MLS bracket 800-899; leased 2026-06-18.</t>
  </si>
  <si>
    <t xml:space="preserve">4302</t>
  </si>
  <si>
    <t xml:space="preserve">1</t>
  </si>
  <si>
    <t xml:space="preserve">500-599 sqft</t>
  </si>
  <si>
    <t xml:space="preserve">None</t>
  </si>
  <si>
    <t xml:space="preserve">W</t>
  </si>
  <si>
    <t xml:space="preserve">2026-06-17</t>
  </si>
  <si>
    <t xml:space="preserve">C13423108</t>
  </si>
  <si>
    <t xml:space="preserve">https://condos.ca/toronto/concord-canada-house-23-spadina-ave-1-3-concord-cityplace-way/unit-4302-C13423108</t>
  </si>
  <si>
    <t xml:space="preserve">condos.ca registered area 505 sqft* (source Calculated), in MLS bracket 500-599; leased 2026-06-17.</t>
  </si>
  <si>
    <t xml:space="preserve">633</t>
  </si>
  <si>
    <t xml:space="preserve">2</t>
  </si>
  <si>
    <t xml:space="preserve">700-799 sqft</t>
  </si>
  <si>
    <t xml:space="preserve">N</t>
  </si>
  <si>
    <t xml:space="preserve">2026-06-12</t>
  </si>
  <si>
    <t xml:space="preserve">C13418138</t>
  </si>
  <si>
    <t xml:space="preserve">https://condos.ca/toronto/concord-canada-house-23-spadina-ave-1-3-concord-cityplace-way/unit-633-C13418138</t>
  </si>
  <si>
    <t xml:space="preserve">condos.ca registered area 722 sqft* (source Calculated), in MLS bracket 700-799; leased 2026-06-12.</t>
  </si>
  <si>
    <t xml:space="preserve">2505</t>
  </si>
  <si>
    <t xml:space="preserve">900-999 sqft</t>
  </si>
  <si>
    <t xml:space="preserve">SE</t>
  </si>
  <si>
    <t xml:space="preserve">C13234234</t>
  </si>
  <si>
    <t xml:space="preserve">https://condos.ca/toronto/concord-canada-house-23-spadina-ave-1-3-concord-cityplace-way/unit-2505-C13234234</t>
  </si>
  <si>
    <t xml:space="preserve">condos.ca registered area 908 sqft* (source Calculated), in MLS bracket 900-999; leased 2026-06-12.</t>
  </si>
  <si>
    <t xml:space="preserve">6201</t>
  </si>
  <si>
    <t xml:space="preserve">1000-1199 sqft</t>
  </si>
  <si>
    <t xml:space="preserve">C12939248</t>
  </si>
  <si>
    <t xml:space="preserve">https://condos.ca/toronto/concord-canada-house-23-spadina-ave-1-3-concord-cityplace-way/unit-6201-C12939248</t>
  </si>
  <si>
    <t xml:space="preserve">condos.ca registered area 1050 sqft* (source Calculated), in MLS bracket 1000-1199; leased 2026-06-12.</t>
  </si>
  <si>
    <t xml:space="preserve">2106</t>
  </si>
  <si>
    <t xml:space="preserve">1+1</t>
  </si>
  <si>
    <t xml:space="preserve">600-699 sqft</t>
  </si>
  <si>
    <t xml:space="preserve">E</t>
  </si>
  <si>
    <t xml:space="preserve">2026-06-10</t>
  </si>
  <si>
    <t xml:space="preserve">C13217872</t>
  </si>
  <si>
    <t xml:space="preserve">https://condos.ca/toronto/concord-canada-house-23-spadina-ave-1-3-concord-cityplace-way/unit-2106-C13217872</t>
  </si>
  <si>
    <t xml:space="preserve">condos.ca registered area 650 sqft* (source Calculated), in MLS bracket 600-699; leased 2026-06-10.</t>
  </si>
  <si>
    <t xml:space="preserve">312</t>
  </si>
  <si>
    <t xml:space="preserve">S</t>
  </si>
  <si>
    <t xml:space="preserve">2026-06-09</t>
  </si>
  <si>
    <t xml:space="preserve">C13157296</t>
  </si>
  <si>
    <t xml:space="preserve">https://condos.ca/toronto/concord-canada-house-23-spadina-ave-1-3-concord-cityplace-way/unit-312-C13157296</t>
  </si>
  <si>
    <t xml:space="preserve">condos.ca registered area 736 sqft* (source Calculated), in MLS bracket 700-799; leased 2026-06-09.</t>
  </si>
  <si>
    <t xml:space="preserve">3308</t>
  </si>
  <si>
    <t xml:space="preserve">C13075812</t>
  </si>
  <si>
    <t xml:space="preserve">https://condos.ca/toronto/concord-canada-house-23-spadina-ave-1-3-concord-cityplace-way/unit-3308-C13075812</t>
  </si>
  <si>
    <t xml:space="preserve">condos.ca area 540 sqft*; furnished/short-term lease; leased 2026-06-09.</t>
  </si>
  <si>
    <t xml:space="preserve">2608</t>
  </si>
  <si>
    <t xml:space="preserve">C12874476</t>
  </si>
  <si>
    <t xml:space="preserve">https://condos.ca/toronto/concord-canada-house-23-spadina-ave-1-3-concord-cityplace-way/unit-2608-C12874476</t>
  </si>
  <si>
    <t xml:space="preserve">condos.ca area 600 sqft*; furnished/short-term lease; leased 2026-06-09.</t>
  </si>
  <si>
    <t xml:space="preserve">5611</t>
  </si>
  <si>
    <t xml:space="preserve">2026-06-08</t>
  </si>
  <si>
    <t xml:space="preserve">C13238978</t>
  </si>
  <si>
    <t xml:space="preserve">https://condos.ca/toronto/concord-canada-house-23-spadina-ave-1-3-concord-cityplace-way/unit-5611-C13238978</t>
  </si>
  <si>
    <t xml:space="preserve">condos.ca registered area 718 sqft* (source Calculated), in MLS bracket 700-799; leased 2026-06-08.</t>
  </si>
  <si>
    <t xml:space="preserve">1907</t>
  </si>
  <si>
    <t xml:space="preserve">SW</t>
  </si>
  <si>
    <t xml:space="preserve">2026-06-05</t>
  </si>
  <si>
    <t xml:space="preserve">C13219416</t>
  </si>
  <si>
    <t xml:space="preserve">https://condos.ca/toronto/concord-canada-house-23-spadina-ave-1-3-concord-cityplace-way/unit-1907-C13219416</t>
  </si>
  <si>
    <t xml:space="preserve">condos.ca area 578 sqft*; calc SF 578 outside MLS bracket 700-799 — flagged; leased 2026-06-05.</t>
  </si>
  <si>
    <t xml:space="preserve">1715</t>
  </si>
  <si>
    <t xml:space="preserve">0-499 sqft</t>
  </si>
  <si>
    <t xml:space="preserve">C13186274</t>
  </si>
  <si>
    <t xml:space="preserve">https://condos.ca/toronto/concord-canada-house-23-spadina-ave-1-3-concord-cityplace-way/unit-1715-C13186274</t>
  </si>
  <si>
    <t xml:space="preserve">condos.ca registered area 485 sqft* (source Calculated), in MLS bracket 0-499; leased 2026-06-05.</t>
  </si>
  <si>
    <t xml:space="preserve">1705</t>
  </si>
  <si>
    <t xml:space="preserve">NE</t>
  </si>
  <si>
    <t xml:space="preserve">C13046560</t>
  </si>
  <si>
    <t xml:space="preserve">https://condos.ca/toronto/concord-canada-house-23-spadina-ave-1-3-concord-cityplace-way/unit-1705-C13046560</t>
  </si>
  <si>
    <t xml:space="preserve">condos.ca registered area 692 sqft* (source Calculated), in MLS bracket 600-699; leased 2026-06-05.</t>
  </si>
  <si>
    <t xml:space="preserve">2212</t>
  </si>
  <si>
    <t xml:space="preserve">2026-06-04</t>
  </si>
  <si>
    <t xml:space="preserve">C13231928</t>
  </si>
  <si>
    <t xml:space="preserve">https://condos.ca/toronto/concord-canada-house-23-spadina-ave-1-3-concord-cityplace-way/unit-2212-C13231928</t>
  </si>
  <si>
    <t xml:space="preserve">condos.ca registered area 505 sqft* (source Calculated), in MLS bracket 500-599; leased 2026-06-04.</t>
  </si>
  <si>
    <t xml:space="preserve">1802</t>
  </si>
  <si>
    <t xml:space="preserve">2026-06-01</t>
  </si>
  <si>
    <t xml:space="preserve">C13219624</t>
  </si>
  <si>
    <t xml:space="preserve">https://condos.ca/toronto/concord-canada-house-23-spadina-ave-1-3-concord-cityplace-way/unit-1802-C13219624</t>
  </si>
  <si>
    <t xml:space="preserve">condos.ca registered area 505 sqft* (source Calculated), in MLS bracket 500-599; leased 2026-06-01.</t>
  </si>
  <si>
    <t xml:space="preserve">5515</t>
  </si>
  <si>
    <t xml:space="preserve">C13211932</t>
  </si>
  <si>
    <t xml:space="preserve">https://condos.ca/toronto/concord-canada-house-23-spadina-ave-1-3-concord-cityplace-way/unit-5515-C13211932</t>
  </si>
  <si>
    <t xml:space="preserve">condos.ca registered area 485 sqft* (source Calculated), in MLS bracket 0-499; leased 2026-06-01.</t>
  </si>
  <si>
    <t xml:space="preserve">5011</t>
  </si>
  <si>
    <t xml:space="preserve">2026-05-30</t>
  </si>
  <si>
    <t xml:space="preserve">C13175830</t>
  </si>
  <si>
    <t xml:space="preserve">https://condos.ca/toronto/concord-canada-house-23-spadina-ave-1-3-concord-cityplace-way/unit-5011-C13175830</t>
  </si>
  <si>
    <t xml:space="preserve">condos.ca registered area 718 sqft* (source Calculated), in MLS bracket 700-799; leased 2026-05-30.</t>
  </si>
  <si>
    <t xml:space="preserve">2808</t>
  </si>
  <si>
    <t xml:space="preserve">C13171352</t>
  </si>
  <si>
    <t xml:space="preserve">https://condos.ca/toronto/concord-canada-house-23-spadina-ave-1-3-concord-cityplace-way/unit-2808-C13171352</t>
  </si>
  <si>
    <t xml:space="preserve">condos.ca registered area 540 sqft* (source Calculated), in MLS bracket 500-599; leased 2026-05-30.</t>
  </si>
  <si>
    <t xml:space="preserve">3902</t>
  </si>
  <si>
    <t xml:space="preserve">C13033450</t>
  </si>
  <si>
    <t xml:space="preserve">https://condos.ca/toronto/concord-canada-house-23-spadina-ave-1-3-concord-cityplace-way/unit-3902-C13033450</t>
  </si>
  <si>
    <t xml:space="preserve">condos.ca registered area 502 sqft* (source Calculated), in MLS bracket 500-599; leased 2026-05-30.</t>
  </si>
  <si>
    <t xml:space="preserve">4315</t>
  </si>
  <si>
    <t xml:space="preserve">C13024724</t>
  </si>
  <si>
    <t xml:space="preserve">https://condos.ca/toronto/concord-canada-house-23-spadina-ave-1-3-concord-cityplace-way/unit-4315-C13024724</t>
  </si>
  <si>
    <t xml:space="preserve">condos.ca registered area 485 sqft* (source Calculated), in MLS bracket 0-499; leased 2026-05-30.</t>
  </si>
  <si>
    <t xml:space="preserve">6501</t>
  </si>
  <si>
    <t xml:space="preserve">2026-05-29</t>
  </si>
  <si>
    <t xml:space="preserve">C13003974</t>
  </si>
  <si>
    <t xml:space="preserve">https://condos.ca/toronto/concord-canada-house-23-spadina-ave-1-3-concord-cityplace-way/unit-6501-C13003974</t>
  </si>
  <si>
    <t xml:space="preserve">condos.ca registered area 1038 sqft* (source Calculated), in MLS bracket 1000-1199; leased 2026-05-29.</t>
  </si>
  <si>
    <t xml:space="preserve">3103</t>
  </si>
  <si>
    <t xml:space="preserve">2026-05-27</t>
  </si>
  <si>
    <t xml:space="preserve">C13167262</t>
  </si>
  <si>
    <t xml:space="preserve">https://condos.ca/toronto/concord-canada-house-23-spadina-ave-1-3-concord-cityplace-way/unit-3103-C13167262</t>
  </si>
  <si>
    <t xml:space="preserve">condos.ca registered area 740 sqft* (source Calculated), in MLS bracket 700-799; leased 2026-05-27.</t>
  </si>
  <si>
    <t xml:space="preserve">6207</t>
  </si>
  <si>
    <t xml:space="preserve">C13152496</t>
  </si>
  <si>
    <t xml:space="preserve">https://condos.ca/toronto/concord-canada-house-23-spadina-ave-1-3-concord-cityplace-way/unit-6207-C13152496</t>
  </si>
  <si>
    <t xml:space="preserve">condos.ca registered area 1073 sqft* (source Calculated), in MLS bracket 1000-1199; leased 2026-05-27.</t>
  </si>
  <si>
    <t xml:space="preserve">2208</t>
  </si>
  <si>
    <t xml:space="preserve">2026-05-26</t>
  </si>
  <si>
    <t xml:space="preserve">C13033574</t>
  </si>
  <si>
    <t xml:space="preserve">https://condos.ca/toronto/concord-canada-house-23-spadina-ave-1-3-concord-cityplace-way/unit-2208-C13033574</t>
  </si>
  <si>
    <t xml:space="preserve">condos.ca registered area 600 sqft* (source Calculated), in MLS bracket 600-699; leased 2026-05-26.</t>
  </si>
  <si>
    <t xml:space="preserve">630</t>
  </si>
  <si>
    <t xml:space="preserve">2026-05-25</t>
  </si>
  <si>
    <t xml:space="preserve">C13075058</t>
  </si>
  <si>
    <t xml:space="preserve">https://condos.ca/toronto/concord-canada-house-23-spadina-ave-1-3-concord-cityplace-way/unit-630-C13075058</t>
  </si>
  <si>
    <t xml:space="preserve">condos.ca registered area 888 sqft* (source Calculated), in MLS bracket 800-899; leased 2026-05-25.</t>
  </si>
  <si>
    <t xml:space="preserve">7506</t>
  </si>
  <si>
    <t xml:space="preserve">2026-05-23</t>
  </si>
  <si>
    <t xml:space="preserve">C13058020</t>
  </si>
  <si>
    <t xml:space="preserve">https://condos.ca/toronto/concord-canada-house-23-spadina-ave-1-3-concord-cityplace-way/unit-7506-C13058020</t>
  </si>
  <si>
    <t xml:space="preserve">condos.ca registered area 1128 sqft* (source Calculated), in MLS bracket 1000-1199; leased 2026-05-23.</t>
  </si>
  <si>
    <t xml:space="preserve">2026-05-20</t>
  </si>
  <si>
    <t xml:space="preserve">C13137822</t>
  </si>
  <si>
    <t xml:space="preserve">https://condos.ca/toronto/concord-canada-house-23-spadina-ave-1-3-concord-cityplace-way/unit-2808-C13137822</t>
  </si>
  <si>
    <t xml:space="preserve">condos.ca registered area 600 sqft* (source Calculated), in MLS bracket 600-699; leased 2026-05-20.</t>
  </si>
  <si>
    <t xml:space="preserve">2026-05-19</t>
  </si>
  <si>
    <t xml:space="preserve">C13046550</t>
  </si>
  <si>
    <t xml:space="preserve">https://condos.ca/toronto/concord-canada-house-23-spadina-ave-1-3-concord-cityplace-way/unit-3902-C13046550</t>
  </si>
  <si>
    <t xml:space="preserve">condos.ca registered area 505 sqft* (source Calculated), in MLS bracket 500-599; leased 2026-05-19.</t>
  </si>
  <si>
    <t xml:space="preserve">3207</t>
  </si>
  <si>
    <t xml:space="preserve">2026-05-17</t>
  </si>
  <si>
    <t xml:space="preserve">C13123160</t>
  </si>
  <si>
    <t xml:space="preserve">https://condos.ca/toronto/concord-canada-house-23-spadina-ave-1-3-concord-cityplace-way/unit-3207-C13123160</t>
  </si>
  <si>
    <t xml:space="preserve">condos.ca registered area 578 sqft* (source Calculated), in MLS bracket 500-599; leased 2026-05-17.</t>
  </si>
  <si>
    <t xml:space="preserve">1815</t>
  </si>
  <si>
    <t xml:space="preserve">2026-05-13</t>
  </si>
  <si>
    <t xml:space="preserve">C13031070</t>
  </si>
  <si>
    <t xml:space="preserve">https://condos.ca/toronto/concord-canada-house-23-spadina-ave-1-3-concord-cityplace-way/unit-1815-C13031070</t>
  </si>
  <si>
    <t xml:space="preserve">condos.ca registered area 492 sqft* (source Calculated), in MLS bracket 0-499; leased 2026-05-13.</t>
  </si>
  <si>
    <t xml:space="preserve">935</t>
  </si>
  <si>
    <t xml:space="preserve">2026-05-12</t>
  </si>
  <si>
    <t xml:space="preserve">C13092642</t>
  </si>
  <si>
    <t xml:space="preserve">https://condos.ca/toronto/concord-canada-house-23-spadina-ave-1-3-concord-cityplace-way/unit-935-C13092642</t>
  </si>
  <si>
    <t xml:space="preserve">condos.ca registered area 660 sqft* (source Calculated), in MLS bracket 600-699; leased 2026-05-12.</t>
  </si>
  <si>
    <t xml:space="preserve">1902</t>
  </si>
  <si>
    <t xml:space="preserve">2026-05-11</t>
  </si>
  <si>
    <t xml:space="preserve">C13106360</t>
  </si>
  <si>
    <t xml:space="preserve">https://condos.ca/toronto/concord-canada-house-23-spadina-ave-1-3-concord-cityplace-way/unit-1902-C13106360</t>
  </si>
  <si>
    <t xml:space="preserve">condos.ca registered area 502 sqft* (source Calculated), in MLS bracket 500-599; leased 2026-05-11.</t>
  </si>
  <si>
    <t xml:space="preserve">2609</t>
  </si>
  <si>
    <t xml:space="preserve">2026-05-08</t>
  </si>
  <si>
    <t xml:space="preserve">C13042664</t>
  </si>
  <si>
    <t xml:space="preserve">https://condos.ca/toronto/concord-canada-house-23-spadina-ave-1-3-concord-cityplace-way/unit-2609-C13042664</t>
  </si>
  <si>
    <t xml:space="preserve">condos.ca registered area 650 sqft* (source Calculated), in MLS bracket 600-699; leased 2026-05-08.</t>
  </si>
  <si>
    <t xml:space="preserve">3012</t>
  </si>
  <si>
    <t xml:space="preserve">2026-05-06</t>
  </si>
  <si>
    <t xml:space="preserve">C13086516</t>
  </si>
  <si>
    <t xml:space="preserve">https://condos.ca/toronto/concord-canada-house-23-spadina-ave-1-3-concord-cityplace-way/unit-3012-C13086516</t>
  </si>
  <si>
    <t xml:space="preserve">condos.ca registered area 505 sqft* (source Calculated), in MLS bracket 500-599; leased 2026-05-06.</t>
  </si>
  <si>
    <t xml:space="preserve">2610</t>
  </si>
  <si>
    <t xml:space="preserve">2026-05-05</t>
  </si>
  <si>
    <t xml:space="preserve">C13046552</t>
  </si>
  <si>
    <t xml:space="preserve">https://condos.ca/toronto/concord-canada-house-23-spadina-ave-1-3-concord-cityplace-way/unit-2610-C13046552</t>
  </si>
  <si>
    <t xml:space="preserve">condos.ca registered area 760 sqft* (source Calculated), in MLS bracket 700-799; leased 2026-05-05.</t>
  </si>
  <si>
    <t xml:space="preserve">4105</t>
  </si>
  <si>
    <t xml:space="preserve">2026-05-04</t>
  </si>
  <si>
    <t xml:space="preserve">C13073094</t>
  </si>
  <si>
    <t xml:space="preserve">https://condos.ca/toronto/concord-canada-house-23-spadina-ave-1-3-concord-cityplace-way/unit-4105-C13073094</t>
  </si>
  <si>
    <t xml:space="preserve">condos.ca area 692 sqft*; furnished/short-term lease; leased 2026-05-04.</t>
  </si>
  <si>
    <t xml:space="preserve">1805</t>
  </si>
  <si>
    <t xml:space="preserve">Partially</t>
  </si>
  <si>
    <t xml:space="preserve">2026-04-30</t>
  </si>
  <si>
    <t xml:space="preserve">C13044708</t>
  </si>
  <si>
    <t xml:space="preserve">https://condos.ca/toronto/concord-canada-house-23-spadina-ave-1-3-concord-cityplace-way/unit-1805-C13044708</t>
  </si>
  <si>
    <t xml:space="preserve">condos.ca area 692 sqft*; furnished/short-term lease; leased 2026-04-30.</t>
  </si>
  <si>
    <t xml:space="preserve">3312</t>
  </si>
  <si>
    <t xml:space="preserve">2026-04-27</t>
  </si>
  <si>
    <t xml:space="preserve">C13018486</t>
  </si>
  <si>
    <t xml:space="preserve">https://condos.ca/toronto/concord-canada-house-23-spadina-ave-1-3-concord-cityplace-way/unit-3312-C13018486</t>
  </si>
  <si>
    <t xml:space="preserve">condos.ca registered area 505 sqft* (source Calculated), in MLS bracket 500-599; leased 2026-04-27.</t>
  </si>
  <si>
    <t xml:space="preserve">5607</t>
  </si>
  <si>
    <t xml:space="preserve">2026-04-24</t>
  </si>
  <si>
    <t xml:space="preserve">C13016900</t>
  </si>
  <si>
    <t xml:space="preserve">https://condos.ca/toronto/concord-canada-house-23-spadina-ave-1-3-concord-cityplace-way/unit-5607-C13016900</t>
  </si>
  <si>
    <t xml:space="preserve">condos.ca registered area 545 sqft* (source Calculated), in MLS bracket 500-599; leased 2026-04-24.</t>
  </si>
  <si>
    <t xml:space="preserve">2612</t>
  </si>
  <si>
    <t xml:space="preserve">2026-04-23</t>
  </si>
  <si>
    <t xml:space="preserve">C13015852</t>
  </si>
  <si>
    <t xml:space="preserve">https://condos.ca/toronto/concord-canada-house-23-spadina-ave-1-3-concord-cityplace-way/unit-2612-C13015852</t>
  </si>
  <si>
    <t xml:space="preserve">condos.ca registered area 505 sqft* (source Calculated), in MLS bracket 500-599; leased 2026-04-23.</t>
  </si>
  <si>
    <t xml:space="preserve">2509</t>
  </si>
  <si>
    <t xml:space="preserve">2026-04-19</t>
  </si>
  <si>
    <t xml:space="preserve">C12985452</t>
  </si>
  <si>
    <t xml:space="preserve">https://condos.ca/toronto/concord-canada-house-23-spadina-ave-1-3-concord-cityplace-way/unit-2509-C12985452</t>
  </si>
  <si>
    <t xml:space="preserve">condos.ca registered area 650 sqft* (source Calculated), in MLS bracket 600-699; leased 2026-04-19.</t>
  </si>
  <si>
    <t xml:space="preserve">3209</t>
  </si>
  <si>
    <t xml:space="preserve">C12887410</t>
  </si>
  <si>
    <t xml:space="preserve">https://condos.ca/toronto/concord-canada-house-23-spadina-ave-1-3-concord-cityplace-way/unit-3209-C12887410</t>
  </si>
  <si>
    <t xml:space="preserve">condos.ca area 535 sqft*; furnished/short-term lease; leased 2026-04-19.</t>
  </si>
  <si>
    <t xml:space="preserve">920</t>
  </si>
  <si>
    <t xml:space="preserve">2+1</t>
  </si>
  <si>
    <t xml:space="preserve">2026-04-18</t>
  </si>
  <si>
    <t xml:space="preserve">C12955248</t>
  </si>
  <si>
    <t xml:space="preserve">https://condos.ca/toronto/concord-canada-house-23-spadina-ave-1-3-concord-cityplace-way/unit-920-C12955248</t>
  </si>
  <si>
    <t xml:space="preserve">condos.ca registered area 908 sqft* (source Calculated), in MLS bracket 900-999; leased 2026-04-18.</t>
  </si>
  <si>
    <t xml:space="preserve">3003</t>
  </si>
  <si>
    <t xml:space="preserve">2026-04-15</t>
  </si>
  <si>
    <t xml:space="preserve">C12849466</t>
  </si>
  <si>
    <t xml:space="preserve">https://condos.ca/toronto/concord-canada-house-23-spadina-ave-1-3-concord-cityplace-way/unit-3003-C12849466</t>
  </si>
  <si>
    <t xml:space="preserve">condos.ca registered area 740 sqft* (source Calculated), in MLS bracket 700-799; leased 2026-04-15.</t>
  </si>
  <si>
    <t xml:space="preserve">7606</t>
  </si>
  <si>
    <t xml:space="preserve">2026-04-13</t>
  </si>
  <si>
    <t xml:space="preserve">C12760576</t>
  </si>
  <si>
    <t xml:space="preserve">https://condos.ca/toronto/concord-canada-house-23-spadina-ave-1-3-concord-cityplace-way/unit-7606-C12760576</t>
  </si>
  <si>
    <t xml:space="preserve">condos.ca registered area 1128 sqft* (source Calculated), in MLS bracket 1000-1199; leased 2026-04-13.</t>
  </si>
  <si>
    <t xml:space="preserve">6205</t>
  </si>
  <si>
    <t xml:space="preserve">1200-1399 sqft</t>
  </si>
  <si>
    <t xml:space="preserve">2026-04-08</t>
  </si>
  <si>
    <t xml:space="preserve">C12961242</t>
  </si>
  <si>
    <t xml:space="preserve">https://condos.ca/toronto/concord-canada-house-23-spadina-ave-1-3-concord-cityplace-way/unit-6205-C12961242</t>
  </si>
  <si>
    <t xml:space="preserve">condos.ca registered area 1248 sqft* (source Calculated), in MLS bracket 1200-1399; leased 2026-04-08.</t>
  </si>
  <si>
    <t xml:space="preserve">2615</t>
  </si>
  <si>
    <t xml:space="preserve">2026-03-31</t>
  </si>
  <si>
    <t xml:space="preserve">C12866920</t>
  </si>
  <si>
    <t xml:space="preserve">https://condos.ca/toronto/concord-canada-house-23-spadina-ave-1-3-concord-cityplace-way/unit-2615-C12866920</t>
  </si>
  <si>
    <t xml:space="preserve">condos.ca registered area 492 sqft* (source Calculated), in MLS bracket 0-499; leased 2026-03-31.</t>
  </si>
  <si>
    <t xml:space="preserve">2802</t>
  </si>
  <si>
    <t xml:space="preserve">2026-03-30</t>
  </si>
  <si>
    <t xml:space="preserve">C12831722</t>
  </si>
  <si>
    <t xml:space="preserve">https://condos.ca/toronto/concord-canada-house-23-spadina-ave-1-3-concord-cityplace-way/unit-2802-C12831722</t>
  </si>
  <si>
    <t xml:space="preserve">condos.ca registered area 505 sqft* (source Calculated), in MLS bracket 500-599; leased 2026-03-30.</t>
  </si>
  <si>
    <t xml:space="preserve">6203</t>
  </si>
  <si>
    <t xml:space="preserve">2026-03-29</t>
  </si>
  <si>
    <t xml:space="preserve">C12760454</t>
  </si>
  <si>
    <t xml:space="preserve">https://condos.ca/toronto/concord-canada-house-23-spadina-ave-1-3-concord-cityplace-way/unit-6203-C12760454</t>
  </si>
  <si>
    <t xml:space="preserve">condos.ca area 1436 sqft*; calc SF 1436 outside MLS bracket 1000-1199 — flagged; leased 2026-03-29.</t>
  </si>
  <si>
    <t xml:space="preserve">6508</t>
  </si>
  <si>
    <t xml:space="preserve">2026-03-28</t>
  </si>
  <si>
    <t xml:space="preserve">C12794454</t>
  </si>
  <si>
    <t xml:space="preserve">https://condos.ca/toronto/concord-canada-house-23-spadina-ave-1-3-concord-cityplace-way/unit-6508-C12794454</t>
  </si>
  <si>
    <t xml:space="preserve">condos.ca area 1283 sqft*; calc SF 1283 outside MLS bracket 700-799 — flagged; leased 2026-03-28.</t>
  </si>
  <si>
    <t xml:space="preserve">1809</t>
  </si>
  <si>
    <t xml:space="preserve">2026-03-27</t>
  </si>
  <si>
    <t xml:space="preserve">C12859452</t>
  </si>
  <si>
    <t xml:space="preserve">https://condos.ca/toronto/concord-canada-house-23-spadina-ave-1-3-concord-cityplace-way/unit-1809-C12859452</t>
  </si>
  <si>
    <t xml:space="preserve">condos.ca area 535 sqft*; calc SF 535 outside MLS bracket 600-699 — flagged; leased 2026-03-27.</t>
  </si>
  <si>
    <t xml:space="preserve">1702</t>
  </si>
  <si>
    <t xml:space="preserve">2026-03-25</t>
  </si>
  <si>
    <t xml:space="preserve">C12907200</t>
  </si>
  <si>
    <t xml:space="preserve">https://condos.ca/toronto/concord-canada-house-23-spadina-ave-1-3-concord-cityplace-way/unit-1702-C12907200</t>
  </si>
  <si>
    <t xml:space="preserve">condos.ca registered area 505 sqft* (source Calculated), in MLS bracket 500-599; leased 2026-03-25.</t>
  </si>
  <si>
    <t xml:space="preserve">517</t>
  </si>
  <si>
    <t xml:space="preserve">C12902208</t>
  </si>
  <si>
    <t xml:space="preserve">https://condos.ca/toronto/concord-canada-house-23-spadina-ave-1-3-concord-cityplace-way/unit-517-C12902208</t>
  </si>
  <si>
    <t xml:space="preserve">condos.ca registered area 622 sqft* (source Calculated), in MLS bracket 600-699; leased 2026-03-25.</t>
  </si>
  <si>
    <t xml:space="preserve">803</t>
  </si>
  <si>
    <t xml:space="preserve">2026-03-21</t>
  </si>
  <si>
    <t xml:space="preserve">C12777930</t>
  </si>
  <si>
    <t xml:space="preserve">https://condos.ca/toronto/concord-canada-house-23-spadina-ave-1-3-concord-cityplace-way/unit-803-C12777930</t>
  </si>
  <si>
    <t xml:space="preserve">condos.ca registered area 830 sqft* (source Calculated), in MLS bracket 800-899; leased 2026-03-21.</t>
  </si>
  <si>
    <t xml:space="preserve">4708</t>
  </si>
  <si>
    <t xml:space="preserve">C12770256</t>
  </si>
  <si>
    <t xml:space="preserve">https://condos.ca/toronto/concord-canada-house-23-spadina-ave-1-3-concord-cityplace-way/unit-4708-C12770256</t>
  </si>
  <si>
    <t xml:space="preserve">condos.ca area 600 sqft*; calc SF 600 outside MLS bracket 900-999 — flagged; leased 2026-03-21.</t>
  </si>
  <si>
    <t xml:space="preserve">4309</t>
  </si>
  <si>
    <t xml:space="preserve">2026-03-20</t>
  </si>
  <si>
    <t xml:space="preserve">C12885342</t>
  </si>
  <si>
    <t xml:space="preserve">https://condos.ca/toronto/concord-canada-house-23-spadina-ave-1-3-concord-cityplace-way/unit-4309-C12885342</t>
  </si>
  <si>
    <t xml:space="preserve">condos.ca area 535 sqft*; calc SF 535 outside MLS bracket 600-699 — flagged; leased 2026-03-20.</t>
  </si>
  <si>
    <t xml:space="preserve">4012</t>
  </si>
  <si>
    <t xml:space="preserve">2026-03-18</t>
  </si>
  <si>
    <t xml:space="preserve">C12781310</t>
  </si>
  <si>
    <t xml:space="preserve">https://condos.ca/toronto/concord-canada-house-23-spadina-ave-1-3-concord-cityplace-way/unit-4012-C12781310</t>
  </si>
  <si>
    <t xml:space="preserve">condos.ca registered area 505 sqft* (source Calculated), in MLS bracket 500-599; leased 2026-03-18.</t>
  </si>
  <si>
    <t xml:space="preserve">605</t>
  </si>
  <si>
    <t xml:space="preserve">C12711842</t>
  </si>
  <si>
    <t xml:space="preserve">https://condos.ca/toronto/concord-canada-house-23-spadina-ave-1-3-concord-cityplace-way/unit-605-C12711842</t>
  </si>
  <si>
    <t xml:space="preserve">condos.ca area 535 sqft*; size 'Known'/stated (not registered area); leased 2026-03-18.</t>
  </si>
  <si>
    <t xml:space="preserve">3812</t>
  </si>
  <si>
    <t xml:space="preserve">2026-03-17</t>
  </si>
  <si>
    <t xml:space="preserve">C12848194</t>
  </si>
  <si>
    <t xml:space="preserve">https://condos.ca/toronto/concord-canada-house-23-spadina-ave-1-3-concord-cityplace-way/unit-3812-C12848194</t>
  </si>
  <si>
    <t xml:space="preserve">condos.ca registered area 505 sqft* (source Calculated), in MLS bracket 500-599; leased 2026-03-17.</t>
  </si>
  <si>
    <t xml:space="preserve">6905</t>
  </si>
  <si>
    <t xml:space="preserve">2026-03-14</t>
  </si>
  <si>
    <t xml:space="preserve">C12810220</t>
  </si>
  <si>
    <t xml:space="preserve">https://condos.ca/toronto/concord-canada-house-23-spadina-ave-1-3-concord-cityplace-way/unit-6905-C12810220</t>
  </si>
  <si>
    <t xml:space="preserve">condos.ca area 1198 sqft*; calc SF 1198 outside MLS bracket 700-799 — flagged; leased 2026-03-14.</t>
  </si>
  <si>
    <t xml:space="preserve">705</t>
  </si>
  <si>
    <t xml:space="preserve">2026-03-11</t>
  </si>
  <si>
    <t xml:space="preserve">C12706580</t>
  </si>
  <si>
    <t xml:space="preserve">https://condos.ca/toronto/concord-canada-house-23-spadina-ave-1-3-concord-cityplace-way/unit-705-C12706580</t>
  </si>
  <si>
    <t xml:space="preserve">condos.ca registered area 535 sqft* (source Calculated), in MLS bracket 500-599; leased 2026-03-11.</t>
  </si>
  <si>
    <t xml:space="preserve">4303</t>
  </si>
  <si>
    <t xml:space="preserve">2026-03-10</t>
  </si>
  <si>
    <t xml:space="preserve">C12832534</t>
  </si>
  <si>
    <t xml:space="preserve">https://condos.ca/toronto/concord-canada-house-23-spadina-ave-1-3-concord-cityplace-way/unit-4303-C12832534</t>
  </si>
  <si>
    <t xml:space="preserve">condos.ca registered area 740 sqft* (source Calculated), in MLS bracket 700-799; leased 2026-03-10.</t>
  </si>
  <si>
    <t xml:space="preserve">1610</t>
  </si>
  <si>
    <t xml:space="preserve">C12653016</t>
  </si>
  <si>
    <t xml:space="preserve">https://condos.ca/toronto/concord-canada-house-23-spadina-ave-1-3-concord-cityplace-way/unit-1610-C12653016</t>
  </si>
  <si>
    <t xml:space="preserve">condos.ca registered area 505 sqft* (source Calculated), in MLS bracket 500-599; leased 2026-03-10.</t>
  </si>
  <si>
    <t xml:space="preserve">1102</t>
  </si>
  <si>
    <t xml:space="preserve">2026-03-09</t>
  </si>
  <si>
    <t xml:space="preserve">C12785734</t>
  </si>
  <si>
    <t xml:space="preserve">https://condos.ca/toronto/concord-canada-house-23-spadina-ave-1-3-concord-cityplace-way/unit-1102-C12785734</t>
  </si>
  <si>
    <t xml:space="preserve">condos.ca area 840 sqft*; calc SF 840 outside MLS bracket 900-999 — flagged; leased 2026-03-09.</t>
  </si>
  <si>
    <t xml:space="preserve">906</t>
  </si>
  <si>
    <t xml:space="preserve">3+1</t>
  </si>
  <si>
    <t xml:space="preserve">2026-03-08</t>
  </si>
  <si>
    <t xml:space="preserve">C12685660</t>
  </si>
  <si>
    <t xml:space="preserve">https://condos.ca/toronto/concord-canada-house-23-spadina-ave-1-3-concord-cityplace-way/unit-906-C12685660</t>
  </si>
  <si>
    <t xml:space="preserve">condos.ca registered area 1188 sqft* (source Calculated), in MLS bracket 1000-1199; leased 2026-03-08.</t>
  </si>
  <si>
    <t xml:space="preserve">2206</t>
  </si>
  <si>
    <t xml:space="preserve">2026-03-07</t>
  </si>
  <si>
    <t xml:space="preserve">C12840036</t>
  </si>
  <si>
    <t xml:space="preserve">https://condos.ca/toronto/concord-canada-house-23-spadina-ave-1-3-concord-cityplace-way/unit-2206-C12840036</t>
  </si>
  <si>
    <t xml:space="preserve">condos.ca area 650 sqft*; calc SF 650 outside MLS bracket 500-599 — flagged; furnished/short-term lease; leased 2026-03-07.</t>
  </si>
  <si>
    <t xml:space="preserve">2201</t>
  </si>
  <si>
    <t xml:space="preserve">2026-03-04</t>
  </si>
  <si>
    <t xml:space="preserve">C12650890</t>
  </si>
  <si>
    <t xml:space="preserve">https://condos.ca/toronto/concord-canada-house-23-spadina-ave-1-3-concord-cityplace-way/unit-2201-C12650890</t>
  </si>
  <si>
    <t xml:space="preserve">condos.ca area 492 sqft*; calc SF 492 outside MLS bracket 600-699 — flagged; leased 2026-03-04.</t>
  </si>
  <si>
    <t xml:space="preserve">3001</t>
  </si>
  <si>
    <t xml:space="preserve">2026-03-02</t>
  </si>
  <si>
    <t xml:space="preserve">C12772620</t>
  </si>
  <si>
    <t xml:space="preserve">https://condos.ca/toronto/concord-canada-house-23-spadina-ave-1-3-concord-cityplace-way/unit-3001-C12772620</t>
  </si>
  <si>
    <t xml:space="preserve">condos.ca area 492 sqft*; calc SF 492 outside MLS bracket 500-599 — flagged; leased 2026-03-02.</t>
  </si>
  <si>
    <t xml:space="preserve">5110</t>
  </si>
  <si>
    <t xml:space="preserve">2026-03-01</t>
  </si>
  <si>
    <t xml:space="preserve">C12699642</t>
  </si>
  <si>
    <t xml:space="preserve">https://condos.ca/toronto/concord-canada-house-23-spadina-ave-1-3-concord-cityplace-way/unit-5110-C12699642</t>
  </si>
  <si>
    <t xml:space="preserve">condos.ca area 920 sqft*; calc SF 920 outside MLS bracket 700-799 — flagged; leased 2026-03-01.</t>
  </si>
  <si>
    <t xml:space="preserve">3709</t>
  </si>
  <si>
    <t xml:space="preserve">2026-02-28</t>
  </si>
  <si>
    <t xml:space="preserve">C12725034</t>
  </si>
  <si>
    <t xml:space="preserve">https://condos.ca/toronto/concord-canada-house-23-spadina-ave-1-3-concord-cityplace-way/unit-3709-C12725034</t>
  </si>
  <si>
    <t xml:space="preserve">condos.ca area 535 sqft*; calc SF 535 outside MLS bracket 600-699 — flagged; leased 2026-02-28.</t>
  </si>
  <si>
    <t xml:space="preserve">1015</t>
  </si>
  <si>
    <t xml:space="preserve">2026-02-27</t>
  </si>
  <si>
    <t xml:space="preserve">C12781672</t>
  </si>
  <si>
    <t xml:space="preserve">https://condos.ca/toronto/concord-canada-house-23-spadina-ave-1-3-concord-cityplace-way/unit-1015-C12781672</t>
  </si>
  <si>
    <t xml:space="preserve">condos.ca registered area 738 sqft* (source Calculated), in MLS bracket 700-799; leased 2026-02-27.</t>
  </si>
  <si>
    <t xml:space="preserve">1608</t>
  </si>
  <si>
    <t xml:space="preserve">2026-02-26</t>
  </si>
  <si>
    <t xml:space="preserve">C12804364</t>
  </si>
  <si>
    <t xml:space="preserve">https://condos.ca/toronto/concord-canada-house-23-spadina-ave-1-3-concord-cityplace-way/unit-1608-C12804364</t>
  </si>
  <si>
    <t xml:space="preserve">condos.ca area 920 sqft*; calc SF 920 outside MLS bracket 500-599 — flagged; leased 2026-02-26.</t>
  </si>
  <si>
    <t xml:space="preserve">1605</t>
  </si>
  <si>
    <t xml:space="preserve">C12802538</t>
  </si>
  <si>
    <t xml:space="preserve">https://condos.ca/toronto/concord-canada-house-23-spadina-ave-1-3-concord-cityplace-way/unit-1605-C12802538</t>
  </si>
  <si>
    <t xml:space="preserve">condos.ca area 545 sqft*; calc SF 545 outside MLS bracket 900-999 — flagged; leased 2026-02-26.</t>
  </si>
  <si>
    <t xml:space="preserve">1606</t>
  </si>
  <si>
    <t xml:space="preserve">2026-02-23</t>
  </si>
  <si>
    <t xml:space="preserve">C12799390</t>
  </si>
  <si>
    <t xml:space="preserve">https://condos.ca/toronto/concord-canada-house-23-spadina-ave-1-3-concord-cityplace-way/unit-1606-C12799390</t>
  </si>
  <si>
    <t xml:space="preserve">condos.ca area 600 sqft*; calc SF 600 outside MLS bracket 500-599 — flagged; leased 2026-02-23.</t>
  </si>
  <si>
    <t xml:space="preserve">6707</t>
  </si>
  <si>
    <t xml:space="preserve">C12738752</t>
  </si>
  <si>
    <t xml:space="preserve">https://condos.ca/toronto/concord-canada-house-23-spadina-ave-1-3-concord-cityplace-way/unit-6707-C12738752</t>
  </si>
  <si>
    <t xml:space="preserve">condos.ca area 920 sqft*; calc SF 920 outside MLS bracket 700-799 — flagged; leased 2026-02-23.</t>
  </si>
  <si>
    <t xml:space="preserve">6802</t>
  </si>
  <si>
    <t xml:space="preserve">2026-02-22</t>
  </si>
  <si>
    <t xml:space="preserve">C12785084</t>
  </si>
  <si>
    <t xml:space="preserve">https://condos.ca/toronto/concord-canada-house-23-spadina-ave-1-3-concord-cityplace-way/unit-6802-C12785084</t>
  </si>
  <si>
    <t xml:space="preserve">condos.ca registered area 740 sqft* (source Calculated), in MLS bracket 700-799; leased 2026-02-22.</t>
  </si>
  <si>
    <t xml:space="preserve">902</t>
  </si>
  <si>
    <t xml:space="preserve">2026-02-19</t>
  </si>
  <si>
    <t xml:space="preserve">C12781552</t>
  </si>
  <si>
    <t xml:space="preserve">https://condos.ca/toronto/concord-canada-house-23-spadina-ave-1-3-concord-cityplace-way/unit-902-C12781552</t>
  </si>
  <si>
    <t xml:space="preserve">condos.ca registered area 585 sqft* (source Calculated), in MLS bracket 500-599; leased 2026-02-19.</t>
  </si>
  <si>
    <t xml:space="preserve">801</t>
  </si>
  <si>
    <t xml:space="preserve">2026-02-18</t>
  </si>
  <si>
    <t xml:space="preserve">C12790728</t>
  </si>
  <si>
    <t xml:space="preserve">https://condos.ca/toronto/concord-canada-house-23-spadina-ave-1-3-concord-cityplace-way/unit-801-C12790728</t>
  </si>
  <si>
    <t xml:space="preserve">condos.ca registered area 550 sqft* (source Calculated), in MLS bracket 500-599; leased 2026-02-18.</t>
  </si>
  <si>
    <t xml:space="preserve">3303</t>
  </si>
  <si>
    <t xml:space="preserve">2026-02-11</t>
  </si>
  <si>
    <t xml:space="preserve">C12717336</t>
  </si>
  <si>
    <t xml:space="preserve">https://condos.ca/toronto/concord-canada-house-23-spadina-ave-1-3-concord-cityplace-way/unit-3303-C12717336</t>
  </si>
  <si>
    <t xml:space="preserve">condos.ca registered area 740 sqft* (source Calculated), in MLS bracket 700-799; leased 2026-02-11.</t>
  </si>
  <si>
    <t xml:space="preserve">305</t>
  </si>
  <si>
    <t xml:space="preserve">2026-02-08</t>
  </si>
  <si>
    <t xml:space="preserve">C12714366</t>
  </si>
  <si>
    <t xml:space="preserve">https://condos.ca/toronto/concord-canada-house-23-spadina-ave-1-3-concord-cityplace-way/unit-305-C12714366</t>
  </si>
  <si>
    <t xml:space="preserve">condos.ca registered area 535 sqft* (source Calculated), in MLS bracket 500-599; leased 2026-02-08.</t>
  </si>
  <si>
    <t xml:space="preserve">6701</t>
  </si>
  <si>
    <t xml:space="preserve">2026-02-05</t>
  </si>
  <si>
    <t xml:space="preserve">C12718892</t>
  </si>
  <si>
    <t xml:space="preserve">https://condos.ca/toronto/concord-canada-house-23-spadina-ave-1-3-concord-cityplace-way/unit-6701-C12718892</t>
  </si>
  <si>
    <t xml:space="preserve">condos.ca registered area 1051 sqft* (source Calculated), in MLS bracket 1000-1199; leased 2026-02-05.</t>
  </si>
  <si>
    <t xml:space="preserve">806</t>
  </si>
  <si>
    <t xml:space="preserve">2026-02-02</t>
  </si>
  <si>
    <t xml:space="preserve">C12730846</t>
  </si>
  <si>
    <t xml:space="preserve">https://condos.ca/toronto/concord-canada-house-23-spadina-ave-1-3-concord-cityplace-way/unit-806-C12730846</t>
  </si>
  <si>
    <t xml:space="preserve">condos.ca registered area 706 sqft* (source Calculated), in MLS bracket 700-799; leased 2026-02-02.</t>
  </si>
  <si>
    <t xml:space="preserve">505</t>
  </si>
  <si>
    <t xml:space="preserve">2026-01-29</t>
  </si>
  <si>
    <t xml:space="preserve">C12711852</t>
  </si>
  <si>
    <t xml:space="preserve">https://condos.ca/toronto/concord-canada-house-23-spadina-ave-1-3-concord-cityplace-way/unit-505-C12711852</t>
  </si>
  <si>
    <t xml:space="preserve">condos.ca registered area 535 sqft* (source Calculated), in MLS bracket 500-599; leased 2026-01-29.</t>
  </si>
  <si>
    <t xml:space="preserve">606</t>
  </si>
  <si>
    <t xml:space="preserve">2026-01-20</t>
  </si>
  <si>
    <t xml:space="preserve">C12701918</t>
  </si>
  <si>
    <t xml:space="preserve">https://condos.ca/toronto/concord-canada-house-23-spadina-ave-1-3-concord-cityplace-way/unit-606-C12701918</t>
  </si>
  <si>
    <t xml:space="preserve">condos.ca area 660 sqft*; calc SF 660 outside MLS bracket 700-799 — flagged; leased 2026-01-20.</t>
  </si>
  <si>
    <t xml:space="preserve">805</t>
  </si>
  <si>
    <t xml:space="preserve">2026-01-19</t>
  </si>
  <si>
    <t xml:space="preserve">C12691296</t>
  </si>
  <si>
    <t xml:space="preserve">https://condos.ca/toronto/concord-canada-house-23-spadina-ave-1-3-concord-cityplace-way/unit-805-C12691296</t>
  </si>
  <si>
    <t xml:space="preserve">condos.ca registered area 585 sqft* (source Calculated), in MLS bracket 500-599; leased 2026-01-19.</t>
  </si>
  <si>
    <t xml:space="preserve">905</t>
  </si>
  <si>
    <t xml:space="preserve">2026-01-16</t>
  </si>
  <si>
    <t xml:space="preserve">C12694182</t>
  </si>
  <si>
    <t xml:space="preserve">https://condos.ca/toronto/concord-canada-house-23-spadina-ave-1-3-concord-cityplace-way/unit-905-C12694182</t>
  </si>
  <si>
    <t xml:space="preserve">condos.ca registered area 585 sqft* (source Calculated), in MLS bracket 500-599; leased 2026-01-16.</t>
  </si>
  <si>
    <t xml:space="preserve">1005</t>
  </si>
  <si>
    <t xml:space="preserve">2026-01-14</t>
  </si>
  <si>
    <t xml:space="preserve">C12649408</t>
  </si>
  <si>
    <t xml:space="preserve">https://condos.ca/toronto/concord-canada-house-23-spadina-ave-1-3-concord-cityplace-way/unit-1005-C12649408</t>
  </si>
  <si>
    <t xml:space="preserve">condos.ca registered area 585 sqft* (source Calculated), in MLS bracket 500-599; leased 2026-01-14.</t>
  </si>
  <si>
    <t xml:space="preserve">1611</t>
  </si>
  <si>
    <t xml:space="preserve">2026-01-13</t>
  </si>
  <si>
    <t xml:space="preserve">C12638088</t>
  </si>
  <si>
    <t xml:space="preserve">https://condos.ca/toronto/concord-canada-house-23-spadina-ave-1-3-concord-cityplace-way/unit-1611-C12638088</t>
  </si>
  <si>
    <t xml:space="preserve">condos.ca registered area 492 sqft* (source Calculated), in MLS bracket 0-499; leased 2026-01-13.</t>
  </si>
  <si>
    <t xml:space="preserve">5312</t>
  </si>
  <si>
    <t xml:space="preserve">2026-01-12</t>
  </si>
  <si>
    <t xml:space="preserve">C12654236</t>
  </si>
  <si>
    <t xml:space="preserve">https://condos.ca/toronto/concord-canada-house-23-spadina-ave-1-3-concord-cityplace-way/unit-5312-C12654236</t>
  </si>
  <si>
    <t xml:space="preserve">condos.ca registered area 505 sqft* (source Calculated), in MLS bracket 500-599; leased 2026-01-12.</t>
  </si>
  <si>
    <t xml:space="preserve">3115</t>
  </si>
  <si>
    <t xml:space="preserve">2026-01-11</t>
  </si>
  <si>
    <t xml:space="preserve">C12628126</t>
  </si>
  <si>
    <t xml:space="preserve">https://condos.ca/toronto/concord-canada-house-23-spadina-ave-1-3-concord-cityplace-way/unit-3115-C12628126</t>
  </si>
  <si>
    <t xml:space="preserve">condos.ca registered area 492 sqft* (source Calculated), in MLS bracket 0-499; leased 2026-01-11.</t>
  </si>
  <si>
    <t xml:space="preserve">608</t>
  </si>
  <si>
    <t xml:space="preserve">2026-01-07</t>
  </si>
  <si>
    <t xml:space="preserve">C12590038</t>
  </si>
  <si>
    <t xml:space="preserve">https://condos.ca/toronto/concord-canada-house-23-spadina-ave-1-3-concord-cityplace-way/unit-608-C12590038</t>
  </si>
  <si>
    <t xml:space="preserve">condos.ca registered area 612 sqft* (source Calculated), in MLS bracket 600-699; leased 2026-01-07.</t>
  </si>
  <si>
    <t xml:space="preserve">602</t>
  </si>
  <si>
    <t xml:space="preserve">2026-01-06</t>
  </si>
  <si>
    <t xml:space="preserve">C12603444</t>
  </si>
  <si>
    <t xml:space="preserve">https://condos.ca/toronto/concord-canada-house-23-spadina-ave-1-3-concord-cityplace-way/unit-602-C12603444</t>
  </si>
  <si>
    <t xml:space="preserve">condos.ca registered area 585 sqft* (source Calculated), in MLS bracket 500-599; leased 2026-01-06.</t>
  </si>
  <si>
    <t xml:space="preserve">4707</t>
  </si>
  <si>
    <t xml:space="preserve">2026-01-02</t>
  </si>
  <si>
    <t xml:space="preserve">C12525014</t>
  </si>
  <si>
    <t xml:space="preserve">https://condos.ca/toronto/concord-canada-house-23-spadina-ave-1-3-concord-cityplace-way/unit-4707-C12525014</t>
  </si>
  <si>
    <t xml:space="preserve">condos.ca area 545 sqft*; calc SF 545 outside MLS bracket 600-699 — flagged; leased 2026-01-02.</t>
  </si>
  <si>
    <t xml:space="preserve">5109</t>
  </si>
  <si>
    <t xml:space="preserve">2025-12-31</t>
  </si>
  <si>
    <t xml:space="preserve">C12609372</t>
  </si>
  <si>
    <t xml:space="preserve">https://condos.ca/toronto/concord-canada-house-23-spadina-ave-1-3-concord-cityplace-way/unit-5109-C12609372</t>
  </si>
  <si>
    <t xml:space="preserve">condos.ca area 535 sqft*; calc SF 535 outside MLS bracket 600-699 — flagged; leased 2025-12-31.</t>
  </si>
  <si>
    <t xml:space="preserve">3603</t>
  </si>
  <si>
    <t xml:space="preserve">2025-12-30</t>
  </si>
  <si>
    <t xml:space="preserve">C12642902</t>
  </si>
  <si>
    <t xml:space="preserve">https://condos.ca/toronto/concord-canada-house-23-spadina-ave-1-3-concord-cityplace-way/unit-3603-C12642902</t>
  </si>
  <si>
    <t xml:space="preserve">condos.ca registered area 740 sqft* (source Calculated), in MLS bracket 700-799; leased 2025-12-30.</t>
  </si>
  <si>
    <t xml:space="preserve">2025-12-26</t>
  </si>
  <si>
    <t xml:space="preserve">C12595844</t>
  </si>
  <si>
    <t xml:space="preserve">https://condos.ca/toronto/concord-canada-house-23-spadina-ave-1-3-concord-cityplace-way/unit-935-C12595844</t>
  </si>
  <si>
    <t xml:space="preserve">condos.ca registered area 660 sqft* (source Calculated), in MLS bracket 600-699; leased 2025-12-26.</t>
  </si>
  <si>
    <t xml:space="preserve">2203</t>
  </si>
  <si>
    <t xml:space="preserve">2025-12-24</t>
  </si>
  <si>
    <t xml:space="preserve">C12617224</t>
  </si>
  <si>
    <t xml:space="preserve">https://condos.ca/toronto/concord-canada-house-23-spadina-ave-1-3-concord-cityplace-way/unit-2203-C12617224</t>
  </si>
  <si>
    <t xml:space="preserve">condos.ca registered area 740 sqft* (source Calculated), in MLS bracket 700-799; leased 2025-12-24.</t>
  </si>
  <si>
    <t xml:space="preserve">703</t>
  </si>
  <si>
    <t xml:space="preserve">2025-12-22</t>
  </si>
  <si>
    <t xml:space="preserve">C12629160</t>
  </si>
  <si>
    <t xml:space="preserve">https://condos.ca/toronto/concord-canada-house-23-spadina-ave-1-3-concord-cityplace-way/unit-703-C12629160</t>
  </si>
  <si>
    <t xml:space="preserve">condos.ca registered area 763 sqft* (source Calculated), in MLS bracket 700-799; leased 2025-12-22.</t>
  </si>
  <si>
    <t xml:space="preserve">1012</t>
  </si>
  <si>
    <t xml:space="preserve">C12587276</t>
  </si>
  <si>
    <t xml:space="preserve">https://condos.ca/toronto/concord-canada-house-23-spadina-ave-1-3-concord-cityplace-way/unit-1012-C12587276</t>
  </si>
  <si>
    <t xml:space="preserve">condos.ca area 710 sqft*; furnished/short-term lease; leased 2025-12-22.</t>
  </si>
  <si>
    <t xml:space="preserve">4615</t>
  </si>
  <si>
    <t xml:space="preserve">2025-12-19</t>
  </si>
  <si>
    <t xml:space="preserve">C12514246</t>
  </si>
  <si>
    <t xml:space="preserve">https://condos.ca/toronto/concord-canada-house-23-spadina-ave-1-3-concord-cityplace-way/unit-4615-C12514246</t>
  </si>
  <si>
    <t xml:space="preserve">condos.ca registered area 492 sqft* (source Calculated), in MLS bracket 0-499; leased 2025-12-19.</t>
  </si>
  <si>
    <t xml:space="preserve">2601</t>
  </si>
  <si>
    <t xml:space="preserve">2025-12-17</t>
  </si>
  <si>
    <t xml:space="preserve">C12619854</t>
  </si>
  <si>
    <t xml:space="preserve">https://condos.ca/toronto/concord-canada-house-23-spadina-ave-1-3-concord-cityplace-way/unit-2601-C12619854</t>
  </si>
  <si>
    <t xml:space="preserve">condos.ca registered area 492 sqft* (source Calculated), in MLS bracket 0-499; leased 2025-12-17.</t>
  </si>
  <si>
    <t xml:space="preserve">1101</t>
  </si>
  <si>
    <t xml:space="preserve">2025-12-16</t>
  </si>
  <si>
    <t xml:space="preserve">C12632368</t>
  </si>
  <si>
    <t xml:space="preserve">https://condos.ca/toronto/concord-canada-house-23-spadina-ave-1-3-concord-cityplace-way/unit-1101-C12632368</t>
  </si>
  <si>
    <t xml:space="preserve">condos.ca registered area 760 sqft* (source Calculated), in MLS bracket 700-799; leased 2025-12-16.</t>
  </si>
  <si>
    <t xml:space="preserve">5103</t>
  </si>
  <si>
    <t xml:space="preserve">2025-12-10</t>
  </si>
  <si>
    <t xml:space="preserve">C12609300</t>
  </si>
  <si>
    <t xml:space="preserve">https://condos.ca/toronto/concord-canada-house-23-spadina-ave-1-3-concord-cityplace-way/unit-5103-C12609300</t>
  </si>
  <si>
    <t xml:space="preserve">condos.ca registered area 740 sqft* (source Calculated), in MLS bracket 700-799; leased 2025-12-10.</t>
  </si>
  <si>
    <t xml:space="preserve">4607</t>
  </si>
  <si>
    <t xml:space="preserve">C12606972</t>
  </si>
  <si>
    <t xml:space="preserve">https://condos.ca/toronto/concord-canada-house-23-spadina-ave-1-3-concord-cityplace-way/unit-4607-C12606972</t>
  </si>
  <si>
    <t xml:space="preserve">condos.ca registered area 545 sqft* (source Calculated), in MLS bracket 500-599; leased 2025-12-10.</t>
  </si>
  <si>
    <t xml:space="preserve">815</t>
  </si>
  <si>
    <t xml:space="preserve">2025-12-09</t>
  </si>
  <si>
    <t xml:space="preserve">C12554054</t>
  </si>
  <si>
    <t xml:space="preserve">https://condos.ca/toronto/concord-canada-house-23-spadina-ave-1-3-concord-cityplace-way/unit-815-C12554054</t>
  </si>
  <si>
    <t xml:space="preserve">condos.ca registered area 710 sqft* (source Calculated), in MLS bracket 700-799; leased 2025-12-09.</t>
  </si>
  <si>
    <t xml:space="preserve">4610</t>
  </si>
  <si>
    <t xml:space="preserve">C12464602</t>
  </si>
  <si>
    <t xml:space="preserve">https://condos.ca/toronto/concord-canada-house-23-spadina-ave-1-3-concord-cityplace-way/unit-4610-C12464602</t>
  </si>
  <si>
    <t xml:space="preserve">condos.ca area 920 sqft*; calc SF 920 outside MLS bracket 700-799 — flagged; leased 2025-12-09.</t>
  </si>
  <si>
    <t xml:space="preserve">6107</t>
  </si>
  <si>
    <t xml:space="preserve">2025-12-02</t>
  </si>
  <si>
    <t xml:space="preserve">C12500256</t>
  </si>
  <si>
    <t xml:space="preserve">https://condos.ca/toronto/concord-canada-house-23-spadina-ave-1-3-concord-cityplace-way/unit-6107-C12500256</t>
  </si>
  <si>
    <t xml:space="preserve">condos.ca registered area 770 sqft* (source Calculated), in MLS bracket 700-799; leased 2025-12-02.</t>
  </si>
  <si>
    <t xml:space="preserve">503</t>
  </si>
  <si>
    <t xml:space="preserve">2025-12-01</t>
  </si>
  <si>
    <t xml:space="preserve">C12387348</t>
  </si>
  <si>
    <t xml:space="preserve">https://condos.ca/toronto/concord-canada-house-23-spadina-ave-1-3-concord-cityplace-way/unit-503-C12387348</t>
  </si>
  <si>
    <t xml:space="preserve">condos.ca registered area 763 sqft* (source Calculated), in MLS bracket 700-799; leased 2025-12-01.</t>
  </si>
  <si>
    <t xml:space="preserve">702</t>
  </si>
  <si>
    <t xml:space="preserve">2025-11-29</t>
  </si>
  <si>
    <t xml:space="preserve">C12577478</t>
  </si>
  <si>
    <t xml:space="preserve">https://condos.ca/toronto/concord-canada-house-23-spadina-ave-1-3-concord-cityplace-way/unit-702-C12577478</t>
  </si>
  <si>
    <t xml:space="preserve">condos.ca registered area 585 sqft* (source Calculated), in MLS bracket 500-599; leased 2025-11-29.</t>
  </si>
  <si>
    <t xml:space="preserve">1908</t>
  </si>
  <si>
    <t xml:space="preserve">2025-11-26</t>
  </si>
  <si>
    <t xml:space="preserve">C12521336</t>
  </si>
  <si>
    <t xml:space="preserve">https://condos.ca/toronto/concord-canada-house-23-spadina-ave-1-3-concord-cityplace-way/unit-1908-C12521336</t>
  </si>
  <si>
    <t xml:space="preserve">condos.ca area 600 sqft*; calc SF 600 outside MLS bracket 500-599 — flagged; leased 2025-11-26.</t>
  </si>
  <si>
    <t xml:space="preserve">2025-11-25</t>
  </si>
  <si>
    <t xml:space="preserve">C12567672</t>
  </si>
  <si>
    <t xml:space="preserve">https://condos.ca/toronto/concord-canada-house-23-spadina-ave-1-3-concord-cityplace-way/unit-5607-C12567672</t>
  </si>
  <si>
    <t xml:space="preserve">condos.ca registered area 545 sqft* (source Calculated), in MLS bracket 500-599; leased 2025-11-25.</t>
  </si>
  <si>
    <t xml:space="preserve">1901</t>
  </si>
  <si>
    <t xml:space="preserve">2025-11-22</t>
  </si>
  <si>
    <t xml:space="preserve">C12539748</t>
  </si>
  <si>
    <t xml:space="preserve">https://condos.ca/toronto/concord-canada-house-23-spadina-ave-1-3-concord-cityplace-way/unit-1901-C12539748</t>
  </si>
  <si>
    <t xml:space="preserve">condos.ca registered area 492 sqft* (source Calculated), in MLS bracket 0-499; leased 2025-11-22.</t>
  </si>
  <si>
    <t xml:space="preserve">617</t>
  </si>
  <si>
    <t xml:space="preserve">2025-11-21</t>
  </si>
  <si>
    <t xml:space="preserve">C12442551</t>
  </si>
  <si>
    <t xml:space="preserve">https://condos.ca/toronto/concord-canada-house-23-spadina-ave-1-3-concord-cityplace-way/unit-617-C12442551</t>
  </si>
  <si>
    <t xml:space="preserve">condos.ca registered area 622 sqft* (source Calculated), in MLS bracket 600-699; leased 2025-11-21.</t>
  </si>
  <si>
    <t xml:space="preserve">515</t>
  </si>
  <si>
    <t xml:space="preserve">2025-11-07</t>
  </si>
  <si>
    <t xml:space="preserve">C12494686</t>
  </si>
  <si>
    <t xml:space="preserve">https://condos.ca/toronto/concord-canada-house-23-spadina-ave-1-3-concord-cityplace-way/unit-515-C12494686</t>
  </si>
  <si>
    <t xml:space="preserve">condos.ca registered area 710 sqft* (source Calculated), in MLS bracket 700-799; leased 2025-11-07.</t>
  </si>
  <si>
    <t xml:space="preserve">4705</t>
  </si>
  <si>
    <t xml:space="preserve">2025-11-06</t>
  </si>
  <si>
    <t xml:space="preserve">C12465485</t>
  </si>
  <si>
    <t xml:space="preserve">https://condos.ca/toronto/concord-canada-house-23-spadina-ave-1-3-concord-cityplace-way/unit-4705-C12465485</t>
  </si>
  <si>
    <t xml:space="preserve">condos.ca area 692 sqft*; calc SF 692 outside MLS bracket 500-599 — flagged; leased 2025-11-06.</t>
  </si>
  <si>
    <t xml:space="preserve">5115</t>
  </si>
  <si>
    <t xml:space="preserve">2025-11-03</t>
  </si>
  <si>
    <t xml:space="preserve">C12414574</t>
  </si>
  <si>
    <t xml:space="preserve">https://condos.ca/toronto/concord-canada-house-23-spadina-ave-1-3-concord-cityplace-way/unit-5115-C12414574</t>
  </si>
  <si>
    <t xml:space="preserve">condos.ca registered area 492 sqft* (source Calculated), in MLS bracket 0-499; leased 2025-11-03.</t>
  </si>
  <si>
    <t xml:space="preserve">4609</t>
  </si>
  <si>
    <t xml:space="preserve">2025-10-29</t>
  </si>
  <si>
    <t xml:space="preserve">C12454795</t>
  </si>
  <si>
    <t xml:space="preserve">https://condos.ca/toronto/concord-canada-house-23-spadina-ave-1-3-concord-cityplace-way/unit-4609-C12454795</t>
  </si>
  <si>
    <t xml:space="preserve">condos.ca area 535 sqft*; calc SF 535 outside MLS bracket 600-699 — flagged; leased 2025-10-29.</t>
  </si>
  <si>
    <t xml:space="preserve">836</t>
  </si>
  <si>
    <t xml:space="preserve">2025-10-28</t>
  </si>
  <si>
    <t xml:space="preserve">C12471352</t>
  </si>
  <si>
    <t xml:space="preserve">https://condos.ca/toronto/concord-canada-house-23-spadina-ave-1-3-concord-cityplace-way/unit-836-C12471352</t>
  </si>
  <si>
    <t xml:space="preserve">condos.ca registered area 660 sqft* (source Calculated), in MLS bracket 600-699; leased 2025-10-28.</t>
  </si>
  <si>
    <t xml:space="preserve">5507</t>
  </si>
  <si>
    <t xml:space="preserve">2025-10-27</t>
  </si>
  <si>
    <t xml:space="preserve">C12470543</t>
  </si>
  <si>
    <t xml:space="preserve">https://condos.ca/toronto/concord-canada-house-23-spadina-ave-1-3-concord-cityplace-way/unit-5507-C12470543</t>
  </si>
  <si>
    <t xml:space="preserve">condos.ca registered area 545 sqft* (source Calculated), in MLS bracket 500-599; leased 2025-10-27.</t>
  </si>
  <si>
    <t xml:space="preserve">5503</t>
  </si>
  <si>
    <t xml:space="preserve">2025-10-25</t>
  </si>
  <si>
    <t xml:space="preserve">C12470557</t>
  </si>
  <si>
    <t xml:space="preserve">https://condos.ca/toronto/concord-canada-house-23-spadina-ave-1-3-concord-cityplace-way/unit-5503-C12470557</t>
  </si>
  <si>
    <t xml:space="preserve">condos.ca registered area 740 sqft* (source Calculated), in MLS bracket 700-799; leased 2025-10-25.</t>
  </si>
  <si>
    <t xml:space="preserve">1903</t>
  </si>
  <si>
    <t xml:space="preserve">2025-10-21</t>
  </si>
  <si>
    <t xml:space="preserve">C12384223</t>
  </si>
  <si>
    <t xml:space="preserve">https://condos.ca/toronto/concord-canada-house-23-spadina-ave-1-3-concord-cityplace-way/unit-1903-C12384223</t>
  </si>
  <si>
    <t xml:space="preserve">condos.ca registered area 740 sqft* (source Calculated), in MLS bracket 700-799; leased 2025-10-21.</t>
  </si>
  <si>
    <t xml:space="preserve">2006</t>
  </si>
  <si>
    <t xml:space="preserve">2025-10-11</t>
  </si>
  <si>
    <t xml:space="preserve">C12431150</t>
  </si>
  <si>
    <t xml:space="preserve">https://condos.ca/toronto/concord-canada-house-23-spadina-ave-1-3-concord-cityplace-way/unit-2006-C12431150</t>
  </si>
  <si>
    <t xml:space="preserve">condos.ca area 650 sqft*; calc SF 650 outside MLS bracket 500-599 — flagged; leased 2025-10-11.</t>
  </si>
  <si>
    <t xml:space="preserve">2003</t>
  </si>
  <si>
    <t xml:space="preserve">2025-10-08</t>
  </si>
  <si>
    <t xml:space="preserve">C12439964</t>
  </si>
  <si>
    <t xml:space="preserve">https://condos.ca/toronto/concord-canada-house-23-spadina-ave-1-3-concord-cityplace-way/unit-2003-C12439964</t>
  </si>
  <si>
    <t xml:space="preserve">condos.ca area 740 sqft*; calc SF 740 outside MLS bracket 800-899 — flagged; leased 2025-10-08.</t>
  </si>
  <si>
    <t xml:space="preserve">1812</t>
  </si>
  <si>
    <t xml:space="preserve">2025-10-07</t>
  </si>
  <si>
    <t xml:space="preserve">C12444047</t>
  </si>
  <si>
    <t xml:space="preserve">https://condos.ca/toronto/concord-canada-house-23-spadina-ave-1-3-concord-cityplace-way/unit-1812-C12444047</t>
  </si>
  <si>
    <t xml:space="preserve">condos.ca registered area 505 sqft* (source Calculated), in MLS bracket 500-599; leased 2025-10-07.</t>
  </si>
  <si>
    <t xml:space="preserve">2103</t>
  </si>
  <si>
    <t xml:space="preserve">2025-09-29</t>
  </si>
  <si>
    <t xml:space="preserve">C12384257</t>
  </si>
  <si>
    <t xml:space="preserve">https://condos.ca/toronto/concord-canada-house-23-spadina-ave-1-3-concord-cityplace-way/unit-2103-C12384257</t>
  </si>
  <si>
    <t xml:space="preserve">condos.ca registered area 740 sqft* (source Calculated), in MLS bracket 700-799; leased 2025-09-29.</t>
  </si>
  <si>
    <t xml:space="preserve">2503</t>
  </si>
  <si>
    <t xml:space="preserve">2025-09-26</t>
  </si>
  <si>
    <t xml:space="preserve">C12379477</t>
  </si>
  <si>
    <t xml:space="preserve">https://condos.ca/toronto/concord-canada-house-23-spadina-ave-1-3-concord-cityplace-way/unit-2503-C12379477</t>
  </si>
  <si>
    <t xml:space="preserve">condos.ca registered area 740 sqft* (source Calculated), in MLS bracket 700-799; leased 2025-09-26.</t>
  </si>
  <si>
    <t xml:space="preserve">5603</t>
  </si>
  <si>
    <t xml:space="preserve">2025-09-22</t>
  </si>
  <si>
    <t xml:space="preserve">C12392414</t>
  </si>
  <si>
    <t xml:space="preserve">https://condos.ca/toronto/concord-canada-house-23-spadina-ave-1-3-concord-cityplace-way/unit-5603-C12392414</t>
  </si>
  <si>
    <t xml:space="preserve">condos.ca registered area 740 sqft* (source Calculated), in MLS bracket 700-799; leased 2025-09-22.</t>
  </si>
  <si>
    <t xml:space="preserve">5203</t>
  </si>
  <si>
    <t xml:space="preserve">2025-09-18</t>
  </si>
  <si>
    <t xml:space="preserve">C12386243</t>
  </si>
  <si>
    <t xml:space="preserve">https://condos.ca/toronto/concord-canada-house-23-spadina-ave-1-3-concord-cityplace-way/unit-5203-C12386243</t>
  </si>
  <si>
    <t xml:space="preserve">condos.ca registered area 740 sqft* (source Calculated), in MLS bracket 700-799; leased 2025-09-18.</t>
  </si>
  <si>
    <t xml:space="preserve">5303</t>
  </si>
  <si>
    <t xml:space="preserve">2025-09-14</t>
  </si>
  <si>
    <t xml:space="preserve">C12385866</t>
  </si>
  <si>
    <t xml:space="preserve">https://condos.ca/toronto/concord-canada-house-23-spadina-ave-1-3-concord-cityplace-way/unit-5303-C12385866</t>
  </si>
  <si>
    <t xml:space="preserve">condos.ca registered area 740 sqft* (source Calculated), in MLS bracket 700-799; leased 2025-09-14.</t>
  </si>
  <si>
    <t xml:space="preserve">4805</t>
  </si>
  <si>
    <t xml:space="preserve">2025-09-09</t>
  </si>
  <si>
    <t xml:space="preserve">C12381029</t>
  </si>
  <si>
    <t xml:space="preserve">https://condos.ca/toronto/concord-canada-house-23-spadina-ave-1-3-concord-cityplace-way/unit-4805-C12381029</t>
  </si>
  <si>
    <t xml:space="preserve">condos.ca area 692 sqft*; calc SF 692 outside MLS bracket 500-599 — flagged; leased 2025-09-09.</t>
  </si>
  <si>
    <t xml:space="preserve">701</t>
  </si>
  <si>
    <t xml:space="preserve">C12372697</t>
  </si>
  <si>
    <t xml:space="preserve">https://condos.ca/toronto/concord-canada-house-23-spadina-ave-1-3-concord-cityplace-way/unit-701-C12372697</t>
  </si>
  <si>
    <t xml:space="preserve">condos.ca area 550 sqft*; calc SF 550 outside MLS bracket 600-699 — flagged; leased 2025-09-09.</t>
  </si>
  <si>
    <t xml:space="preserve">5212</t>
  </si>
  <si>
    <t xml:space="preserve">2025-09-06</t>
  </si>
  <si>
    <t xml:space="preserve">C12377970</t>
  </si>
  <si>
    <t xml:space="preserve">https://condos.ca/toronto/concord-canada-house-23-spadina-ave-1-3-concord-cityplace-way/unit-5212-C12377970</t>
  </si>
  <si>
    <t xml:space="preserve">condos.ca registered area 505 sqft* (source Calculated), in MLS bracket 500-599; leased 2025-09-06.</t>
  </si>
  <si>
    <t xml:space="preserve">915</t>
  </si>
  <si>
    <t xml:space="preserve">2025-08-29</t>
  </si>
  <si>
    <t xml:space="preserve">C12212795</t>
  </si>
  <si>
    <t xml:space="preserve">https://condos.ca/toronto/concord-canada-house-23-spadina-ave-1-3-concord-cityplace-way/unit-915-C12212795</t>
  </si>
  <si>
    <t xml:space="preserve">condos.ca registered area 738 sqft* (source Calculated), in MLS bracket 700-799; leased 2025-08-29.</t>
  </si>
  <si>
    <t xml:space="preserve">3901</t>
  </si>
  <si>
    <t xml:space="preserve">2025-08-25</t>
  </si>
  <si>
    <t xml:space="preserve">C12356283</t>
  </si>
  <si>
    <t xml:space="preserve">https://condos.ca/toronto/concord-canada-house-23-spadina-ave-1-3-concord-cityplace-way/unit-3901-C12356283</t>
  </si>
  <si>
    <t xml:space="preserve">condos.ca registered area 492 sqft* (source Calculated), in MLS bracket 0-499; leased 2025-08-25.</t>
  </si>
  <si>
    <t xml:space="preserve">#807</t>
  </si>
  <si>
    <t xml:space="preserve">2025-08-23</t>
  </si>
  <si>
    <t xml:space="preserve">C12340979</t>
  </si>
  <si>
    <t xml:space="preserve">https://condos.ca/toronto/concord-canada-house-23-spadina-ave-1-3-concord-cityplace-way/unit-807-C12340979</t>
  </si>
  <si>
    <t xml:space="preserve">condos.ca registered area 560 sqft* (source Calculated), in MLS bracket 500-599; leased 2025-08-23.</t>
  </si>
  <si>
    <t xml:space="preserve">4202</t>
  </si>
  <si>
    <t xml:space="preserve">2025-08-18</t>
  </si>
  <si>
    <t xml:space="preserve">C12347148</t>
  </si>
  <si>
    <t xml:space="preserve">https://condos.ca/toronto/concord-canada-house-23-spadina-ave-1-3-concord-cityplace-way/unit-4202-C12347148</t>
  </si>
  <si>
    <t xml:space="preserve">condos.ca registered area 505 sqft* (source Calculated), in MLS bracket 500-599; leased 2025-08-18.</t>
  </si>
  <si>
    <t xml:space="preserve">2711</t>
  </si>
  <si>
    <t xml:space="preserve">2025-08-17</t>
  </si>
  <si>
    <t xml:space="preserve">C12346181</t>
  </si>
  <si>
    <t xml:space="preserve">https://condos.ca/toronto/concord-canada-house-23-spadina-ave-1-3-concord-cityplace-way/unit-2711-C12346181</t>
  </si>
  <si>
    <t xml:space="preserve">condos.ca registered area 770 sqft* (source Calculated), in MLS bracket 700-799; leased 2025-08-17.</t>
  </si>
  <si>
    <t xml:space="preserve">5202</t>
  </si>
  <si>
    <t xml:space="preserve">2025-08-14</t>
  </si>
  <si>
    <t xml:space="preserve">C12326494</t>
  </si>
  <si>
    <t xml:space="preserve">https://condos.ca/toronto/concord-canada-house-23-spadina-ave-1-3-concord-cityplace-way/unit-5202-C12326494</t>
  </si>
  <si>
    <t xml:space="preserve">condos.ca registered area 505 sqft* (source Calculated), in MLS bracket 500-599; leased 2025-08-14.</t>
  </si>
  <si>
    <t xml:space="preserve">5512</t>
  </si>
  <si>
    <t xml:space="preserve">2025-08-13</t>
  </si>
  <si>
    <t xml:space="preserve">C12253277</t>
  </si>
  <si>
    <t xml:space="preserve">https://condos.ca/toronto/concord-canada-house-23-spadina-ave-1-3-concord-cityplace-way/unit-5512-C12253277</t>
  </si>
  <si>
    <t xml:space="preserve">condos.ca registered area 505 sqft* (source Calculated), in MLS bracket 500-599; leased 2025-08-13.</t>
  </si>
  <si>
    <t xml:space="preserve">4915</t>
  </si>
  <si>
    <t xml:space="preserve">2025-08-12</t>
  </si>
  <si>
    <t xml:space="preserve">C12259948</t>
  </si>
  <si>
    <t xml:space="preserve">https://condos.ca/toronto/concord-canada-house-23-spadina-ave-1-3-concord-cityplace-way/unit-4915-C12259948</t>
  </si>
  <si>
    <t xml:space="preserve">condos.ca registered area 492 sqft* (source Calculated), in MLS bracket 0-499; leased 2025-08-12.</t>
  </si>
  <si>
    <t xml:space="preserve">3301</t>
  </si>
  <si>
    <t xml:space="preserve">2025-08-11</t>
  </si>
  <si>
    <t xml:space="preserve">C12335001</t>
  </si>
  <si>
    <t xml:space="preserve">https://condos.ca/toronto/concord-canada-house-23-spadina-ave-1-3-concord-cityplace-way/unit-3301-C12335001</t>
  </si>
  <si>
    <t xml:space="preserve">condos.ca registered area 492 sqft* (source Calculated), in MLS bracket 0-499; leased 2025-08-11.</t>
  </si>
  <si>
    <t xml:space="preserve">3202</t>
  </si>
  <si>
    <t xml:space="preserve">C12311605</t>
  </si>
  <si>
    <t xml:space="preserve">https://condos.ca/toronto/concord-canada-house-23-spadina-ave-1-3-concord-cityplace-way/unit-3202-C12311605</t>
  </si>
  <si>
    <t xml:space="preserve">condos.ca registered area 505 sqft* (source Calculated), in MLS bracket 500-599; leased 2025-08-11.</t>
  </si>
  <si>
    <t xml:space="preserve">6708</t>
  </si>
  <si>
    <t xml:space="preserve">2025-08-09</t>
  </si>
  <si>
    <t xml:space="preserve">C12329004</t>
  </si>
  <si>
    <t xml:space="preserve">https://condos.ca/toronto/concord-canada-house-23-spadina-ave-1-3-concord-cityplace-way/unit-6708-C12329004</t>
  </si>
  <si>
    <t xml:space="preserve">condos.ca registered area 770 sqft* (source Calculated), in MLS bracket 700-799; leased 2025-08-09.</t>
  </si>
  <si>
    <t xml:space="preserve">5108</t>
  </si>
  <si>
    <t xml:space="preserve">C12324137</t>
  </si>
  <si>
    <t xml:space="preserve">https://condos.ca/toronto/concord-canada-house-23-spadina-ave-1-3-concord-cityplace-way/unit-5108-C12324137</t>
  </si>
  <si>
    <t xml:space="preserve">condos.ca area 600 sqft*; calc SF 600 outside MLS bracket 500-599 — flagged; leased 2025-08-09.</t>
  </si>
  <si>
    <t xml:space="preserve">2602</t>
  </si>
  <si>
    <t xml:space="preserve">2025-08-07</t>
  </si>
  <si>
    <t xml:space="preserve">C12318122</t>
  </si>
  <si>
    <t xml:space="preserve">https://condos.ca/toronto/concord-canada-house-23-spadina-ave-1-3-concord-cityplace-way/unit-2602-C12318122</t>
  </si>
  <si>
    <t xml:space="preserve">condos.ca registered area 505 sqft* (source Calculated), in MLS bracket 500-599; leased 2025-08-07.</t>
  </si>
  <si>
    <t xml:space="preserve">3909</t>
  </si>
  <si>
    <t xml:space="preserve">2025-08-06</t>
  </si>
  <si>
    <t xml:space="preserve">C12321546</t>
  </si>
  <si>
    <t xml:space="preserve">https://condos.ca/toronto/concord-canada-house-23-spadina-ave-1-3-concord-cityplace-way/unit-3909-C12321546</t>
  </si>
  <si>
    <t xml:space="preserve">condos.ca area 535 sqft*; calc SF 535 outside MLS bracket 600-699 — flagged; leased 2025-08-06.</t>
  </si>
  <si>
    <t xml:space="preserve">6308</t>
  </si>
  <si>
    <t xml:space="preserve">C12318215</t>
  </si>
  <si>
    <t xml:space="preserve">https://condos.ca/toronto/concord-canada-house-23-spadina-ave-1-3-concord-cityplace-way/unit-6308-C12318215</t>
  </si>
  <si>
    <t xml:space="preserve">condos.ca registered area 718 sqft* (source Calculated), in MLS bracket 700-799; leased 2025-08-06.</t>
  </si>
  <si>
    <t xml:space="preserve">4101</t>
  </si>
  <si>
    <t xml:space="preserve">2025-08-04</t>
  </si>
  <si>
    <t xml:space="preserve">C12310361</t>
  </si>
  <si>
    <t xml:space="preserve">https://condos.ca/toronto/concord-canada-house-23-spadina-ave-1-3-concord-cityplace-way/unit-4101-C12310361</t>
  </si>
  <si>
    <t xml:space="preserve">condos.ca registered area 492 sqft* (source Calculated), in MLS bracket 0-499; leased 2025-08-04.</t>
  </si>
  <si>
    <t xml:space="preserve">4009</t>
  </si>
  <si>
    <t xml:space="preserve">C12226888</t>
  </si>
  <si>
    <t xml:space="preserve">https://condos.ca/toronto/concord-canada-house-23-spadina-ave-1-3-concord-cityplace-way/unit-4009-C12226888</t>
  </si>
  <si>
    <t xml:space="preserve">condos.ca area 535 sqft*; calc SF 535 outside MLS bracket 600-699 — flagged; leased 2025-08-04.</t>
  </si>
  <si>
    <t xml:space="preserve">1801</t>
  </si>
  <si>
    <t xml:space="preserve">2025-08-02</t>
  </si>
  <si>
    <t xml:space="preserve">C12313310</t>
  </si>
  <si>
    <t xml:space="preserve">https://condos.ca/toronto/concord-canada-house-23-spadina-ave-1-3-concord-cityplace-way/unit-1801-C12313310</t>
  </si>
  <si>
    <t xml:space="preserve">condos.ca registered area 492 sqft* (source Calculated), in MLS bracket 0-499; leased 2025-08-02.</t>
  </si>
  <si>
    <t xml:space="preserve">2512</t>
  </si>
  <si>
    <t xml:space="preserve">C12311701</t>
  </si>
  <si>
    <t xml:space="preserve">https://condos.ca/toronto/concord-canada-house-23-spadina-ave-1-3-concord-cityplace-way/unit-2512-C12311701</t>
  </si>
  <si>
    <t xml:space="preserve">condos.ca registered area 505 sqft* (source Calculated), in MLS bracket 500-599; leased 2025-08-02.</t>
  </si>
  <si>
    <t xml:space="preserve">912</t>
  </si>
  <si>
    <t xml:space="preserve">2025-08-01</t>
  </si>
  <si>
    <t xml:space="preserve">C12306464</t>
  </si>
  <si>
    <t xml:space="preserve">https://condos.ca/toronto/concord-canada-house-23-spadina-ave-1-3-concord-cityplace-way/unit-912-C12306464</t>
  </si>
  <si>
    <t xml:space="preserve">condos.ca registered area 710 sqft* (source Calculated), in MLS bracket 700-799; leased 2025-08-01.</t>
  </si>
  <si>
    <t xml:space="preserve">1912</t>
  </si>
  <si>
    <t xml:space="preserve">C12171775</t>
  </si>
  <si>
    <t xml:space="preserve">https://condos.ca/toronto/concord-canada-house-23-spadina-ave-1-3-concord-cityplace-way/unit-1912-C12171775</t>
  </si>
  <si>
    <t xml:space="preserve">condos.ca registered area 505 sqft* (source Calculated), in MLS bracket 500-599; leased 2025-08-01.</t>
  </si>
  <si>
    <t xml:space="preserve">4507</t>
  </si>
  <si>
    <t xml:space="preserve">2025-07-29</t>
  </si>
  <si>
    <t xml:space="preserve">C12308888</t>
  </si>
  <si>
    <t xml:space="preserve">https://condos.ca/toronto/concord-canada-house-23-spadina-ave-1-3-concord-cityplace-way/unit-4507-C12308888</t>
  </si>
  <si>
    <t xml:space="preserve">condos.ca area 545 sqft*; calc SF 545 outside MLS bracket 600-699 — flagged; leased 2025-07-29.</t>
  </si>
  <si>
    <t xml:space="preserve">2015</t>
  </si>
  <si>
    <t xml:space="preserve">C12297086</t>
  </si>
  <si>
    <t xml:space="preserve">https://condos.ca/toronto/concord-canada-house-23-spadina-ave-1-3-concord-cityplace-way/unit-2015-C12297086</t>
  </si>
  <si>
    <t xml:space="preserve">condos.ca registered area 492 sqft* (source Calculated), in MLS bracket 0-499; leased 2025-07-29.</t>
  </si>
  <si>
    <t xml:space="preserve">5015</t>
  </si>
  <si>
    <t xml:space="preserve">2025-07-28</t>
  </si>
  <si>
    <t xml:space="preserve">C12299258</t>
  </si>
  <si>
    <t xml:space="preserve">https://condos.ca/toronto/concord-canada-house-23-spadina-ave-1-3-concord-cityplace-way/unit-5015-C12299258</t>
  </si>
  <si>
    <t xml:space="preserve">condos.ca registered area 492 sqft* (source Calculated), in MLS bracket 0-499; leased 2025-07-28.</t>
  </si>
  <si>
    <t xml:space="preserve">712</t>
  </si>
  <si>
    <t xml:space="preserve">C12183000</t>
  </si>
  <si>
    <t xml:space="preserve">https://condos.ca/toronto/concord-canada-house-23-spadina-ave-1-3-concord-cityplace-way/unit-712-C12183000</t>
  </si>
  <si>
    <t xml:space="preserve">condos.ca registered area 736 sqft* (source Calculated), in MLS bracket 700-799; leased 2025-07-28.</t>
  </si>
  <si>
    <t xml:space="preserve">5602</t>
  </si>
  <si>
    <t xml:space="preserve">2025-07-25</t>
  </si>
  <si>
    <t xml:space="preserve">C12304469</t>
  </si>
  <si>
    <t xml:space="preserve">https://condos.ca/toronto/concord-canada-house-23-spadina-ave-1-3-concord-cityplace-way/unit-5602-C12304469</t>
  </si>
  <si>
    <t xml:space="preserve">condos.ca registered area 505 sqft* (source Calculated), in MLS bracket 500-599; leased 2025-07-25.</t>
  </si>
  <si>
    <t xml:space="preserve">5101</t>
  </si>
  <si>
    <t xml:space="preserve">C12282293</t>
  </si>
  <si>
    <t xml:space="preserve">https://condos.ca/toronto/concord-canada-house-23-spadina-ave-1-3-concord-cityplace-way/unit-5101-C12282293</t>
  </si>
  <si>
    <t xml:space="preserve">condos.ca registered area 492 sqft* (source Calculated), in MLS bracket 0-499; leased 2025-07-25.</t>
  </si>
  <si>
    <t xml:space="preserve">5002</t>
  </si>
  <si>
    <t xml:space="preserve">C12246564</t>
  </si>
  <si>
    <t xml:space="preserve">https://condos.ca/toronto/concord-canada-house-23-spadina-ave-1-3-concord-cityplace-way/unit-5002-C12246564</t>
  </si>
  <si>
    <t xml:space="preserve">4908</t>
  </si>
  <si>
    <t xml:space="preserve">2025-07-24</t>
  </si>
  <si>
    <t xml:space="preserve">C12300441</t>
  </si>
  <si>
    <t xml:space="preserve">https://condos.ca/toronto/concord-canada-house-23-spadina-ave-1-3-concord-cityplace-way/unit-4908-C12300441</t>
  </si>
  <si>
    <t xml:space="preserve">condos.ca area 600 sqft*; calc SF 600 outside MLS bracket 500-599 — flagged; leased 2025-07-24.</t>
  </si>
  <si>
    <t xml:space="preserve">3711</t>
  </si>
  <si>
    <t xml:space="preserve">2025-07-22</t>
  </si>
  <si>
    <t xml:space="preserve">C12201950</t>
  </si>
  <si>
    <t xml:space="preserve">https://condos.ca/toronto/concord-canada-house-23-spadina-ave-1-3-concord-cityplace-way/unit-3711-C12201950</t>
  </si>
  <si>
    <t xml:space="preserve">condos.ca registered area 770 sqft* (source Calculated), in MLS bracket 700-799; leased 2025-07-22.</t>
  </si>
  <si>
    <t xml:space="preserve">2002</t>
  </si>
  <si>
    <t xml:space="preserve">2025-07-20</t>
  </si>
  <si>
    <t xml:space="preserve">C12281172</t>
  </si>
  <si>
    <t xml:space="preserve">https://condos.ca/toronto/concord-canada-house-23-spadina-ave-1-3-concord-cityplace-way/unit-2002-C12281172</t>
  </si>
  <si>
    <t xml:space="preserve">condos.ca registered area 505 sqft* (source Calculated), in MLS bracket 500-599; leased 2025-07-20.</t>
  </si>
  <si>
    <t xml:space="preserve">5111</t>
  </si>
  <si>
    <t xml:space="preserve">C12254412</t>
  </si>
  <si>
    <t xml:space="preserve">https://condos.ca/toronto/concord-canada-house-23-spadina-ave-1-3-concord-cityplace-way/unit-5111-C12254412</t>
  </si>
  <si>
    <t xml:space="preserve">condos.ca registered area 770 sqft* (source Calculated), in MLS bracket 700-799; leased 2025-07-20.</t>
  </si>
  <si>
    <t xml:space="preserve">2801</t>
  </si>
  <si>
    <t xml:space="preserve">C12250422</t>
  </si>
  <si>
    <t xml:space="preserve">https://condos.ca/toronto/concord-canada-house-23-spadina-ave-1-3-concord-cityplace-way/unit-2801-C12250422</t>
  </si>
  <si>
    <t xml:space="preserve">condos.ca registered area 492 sqft* (source Calculated), in MLS bracket 0-499; leased 2025-07-20.</t>
  </si>
  <si>
    <t xml:space="preserve">3201</t>
  </si>
  <si>
    <t xml:space="preserve">2025-07-19</t>
  </si>
  <si>
    <t xml:space="preserve">C12250358</t>
  </si>
  <si>
    <t xml:space="preserve">https://condos.ca/toronto/concord-canada-house-23-spadina-ave-1-3-concord-cityplace-way/unit-3201-C12250358</t>
  </si>
  <si>
    <t xml:space="preserve">condos.ca registered area 492 sqft* (source Calculated), in MLS bracket 0-499; leased 2025-07-19.</t>
  </si>
  <si>
    <t xml:space="preserve">4110</t>
  </si>
  <si>
    <t xml:space="preserve">2025-07-18</t>
  </si>
  <si>
    <t xml:space="preserve">C12266347</t>
  </si>
  <si>
    <t xml:space="preserve">https://condos.ca/toronto/concord-canada-house-23-spadina-ave-1-3-concord-cityplace-way/unit-4110-C12266347</t>
  </si>
  <si>
    <t xml:space="preserve">condos.ca area 920 sqft*; calc SF 920 outside MLS bracket 700-799 — flagged; leased 2025-07-18.</t>
  </si>
  <si>
    <t xml:space="preserve">5612</t>
  </si>
  <si>
    <t xml:space="preserve">C12246548</t>
  </si>
  <si>
    <t xml:space="preserve">https://condos.ca/toronto/concord-canada-house-23-spadina-ave-1-3-concord-cityplace-way/unit-5612-C12246548</t>
  </si>
  <si>
    <t xml:space="preserve">condos.ca registered area 505 sqft* (source Calculated), in MLS bracket 500-599; leased 2025-07-18.</t>
  </si>
  <si>
    <t xml:space="preserve">1909</t>
  </si>
  <si>
    <t xml:space="preserve">2025-07-17</t>
  </si>
  <si>
    <t xml:space="preserve">C12248974</t>
  </si>
  <si>
    <t xml:space="preserve">https://condos.ca/toronto/concord-canada-house-23-spadina-ave-1-3-concord-cityplace-way/unit-1909-C12248974</t>
  </si>
  <si>
    <t xml:space="preserve">condos.ca area 535 sqft*; calc SF 535 outside MLS bracket 600-699 — flagged; leased 2025-07-17.</t>
  </si>
  <si>
    <t xml:space="preserve">3315</t>
  </si>
  <si>
    <t xml:space="preserve">C12248816</t>
  </si>
  <si>
    <t xml:space="preserve">https://condos.ca/toronto/concord-canada-house-23-spadina-ave-1-3-concord-cityplace-way/unit-3315-C12248816</t>
  </si>
  <si>
    <t xml:space="preserve">condos.ca registered area 492 sqft* (source Calculated), in MLS bracket 0-499; leased 2025-07-17.</t>
  </si>
  <si>
    <t xml:space="preserve">2909</t>
  </si>
  <si>
    <t xml:space="preserve">C12223102</t>
  </si>
  <si>
    <t xml:space="preserve">https://condos.ca/toronto/concord-canada-house-23-spadina-ave-1-3-concord-cityplace-way/unit-2909-C12223102</t>
  </si>
  <si>
    <t xml:space="preserve">3310</t>
  </si>
  <si>
    <t xml:space="preserve">C12197383</t>
  </si>
  <si>
    <t xml:space="preserve">https://condos.ca/toronto/concord-canada-house-23-spadina-ave-1-3-concord-cityplace-way/unit-3310-C12197383</t>
  </si>
  <si>
    <t xml:space="preserve">condos.ca area 920 sqft*; calc SF 920 outside MLS bracket 700-799 — flagged; leased 2025-07-17.</t>
  </si>
  <si>
    <t xml:space="preserve">5209</t>
  </si>
  <si>
    <t xml:space="preserve">2025-07-16</t>
  </si>
  <si>
    <t xml:space="preserve">C12281021</t>
  </si>
  <si>
    <t xml:space="preserve">https://condos.ca/toronto/concord-canada-house-23-spadina-ave-1-3-concord-cityplace-way/unit-5209-C12281021</t>
  </si>
  <si>
    <t xml:space="preserve">condos.ca area 535 sqft*; calc SF 535 outside MLS bracket 600-699 — flagged; leased 2025-07-16.</t>
  </si>
  <si>
    <t xml:space="preserve">5006</t>
  </si>
  <si>
    <t xml:space="preserve">C12280840</t>
  </si>
  <si>
    <t xml:space="preserve">https://condos.ca/toronto/concord-canada-house-23-spadina-ave-1-3-concord-cityplace-way/unit-5006-C12280840</t>
  </si>
  <si>
    <t xml:space="preserve">condos.ca area 650 sqft*; calc SF 650 outside MLS bracket 500-599 — flagged; leased 2025-07-16.</t>
  </si>
  <si>
    <t xml:space="preserve">3702</t>
  </si>
  <si>
    <t xml:space="preserve">C12243371</t>
  </si>
  <si>
    <t xml:space="preserve">https://condos.ca/toronto/concord-canada-house-23-spadina-ave-1-3-concord-cityplace-way/unit-3702-C12243371</t>
  </si>
  <si>
    <t xml:space="preserve">condos.ca registered area 505 sqft* (source Calculated), in MLS bracket 500-599; leased 2025-07-16.</t>
  </si>
  <si>
    <t xml:space="preserve">5615</t>
  </si>
  <si>
    <t xml:space="preserve">2025-07-15</t>
  </si>
  <si>
    <t xml:space="preserve">C12265902</t>
  </si>
  <si>
    <t xml:space="preserve">https://condos.ca/toronto/concord-canada-house-23-spadina-ave-1-3-concord-cityplace-way/unit-5615-C12265902</t>
  </si>
  <si>
    <t xml:space="preserve">condos.ca registered area 492 sqft* (source Calculated), in MLS bracket 0-499; leased 2025-07-15.</t>
  </si>
  <si>
    <t xml:space="preserve">4112</t>
  </si>
  <si>
    <t xml:space="preserve">C12204265</t>
  </si>
  <si>
    <t xml:space="preserve">https://condos.ca/toronto/concord-canada-house-23-spadina-ave-1-3-concord-cityplace-way/unit-4112-C12204265</t>
  </si>
  <si>
    <t xml:space="preserve">condos.ca registered area 505 sqft* (source Calculated), in MLS bracket 500-599; leased 2025-07-15.</t>
  </si>
  <si>
    <t xml:space="preserve">5601</t>
  </si>
  <si>
    <t xml:space="preserve">2025-07-14</t>
  </si>
  <si>
    <t xml:space="preserve">C12250836</t>
  </si>
  <si>
    <t xml:space="preserve">https://condos.ca/toronto/concord-canada-house-23-spadina-ave-1-3-concord-cityplace-way/unit-5601-C12250836</t>
  </si>
  <si>
    <t xml:space="preserve">condos.ca registered area 492 sqft* (source Calculated), in MLS bracket 0-499; leased 2025-07-14.</t>
  </si>
  <si>
    <t xml:space="preserve">5315</t>
  </si>
  <si>
    <t xml:space="preserve">C12248479</t>
  </si>
  <si>
    <t xml:space="preserve">https://condos.ca/toronto/concord-canada-house-23-spadina-ave-1-3-concord-cityplace-way/unit-5315-C12248479</t>
  </si>
  <si>
    <t xml:space="preserve">2025-07-12</t>
  </si>
  <si>
    <t xml:space="preserve">C12262518</t>
  </si>
  <si>
    <t xml:space="preserve">https://condos.ca/toronto/concord-canada-house-23-spadina-ave-1-3-concord-cityplace-way/unit-5515-C12262518</t>
  </si>
  <si>
    <t xml:space="preserve">condos.ca registered area 492 sqft* (source Calculated), in MLS bracket 0-499; leased 2025-07-12.</t>
  </si>
  <si>
    <t xml:space="preserve">5306</t>
  </si>
  <si>
    <t xml:space="preserve">C12262240</t>
  </si>
  <si>
    <t xml:space="preserve">https://condos.ca/toronto/concord-canada-house-23-spadina-ave-1-3-concord-cityplace-way/unit-5306-C12262240</t>
  </si>
  <si>
    <t xml:space="preserve">condos.ca area 650 sqft*; calc SF 650 outside MLS bracket 500-599 — flagged; leased 2025-07-12.</t>
  </si>
  <si>
    <t xml:space="preserve">2025-07-11</t>
  </si>
  <si>
    <t xml:space="preserve">C12246459</t>
  </si>
  <si>
    <t xml:space="preserve">https://condos.ca/toronto/concord-canada-house-23-spadina-ave-1-3-concord-cityplace-way/unit-5212-C12246459</t>
  </si>
  <si>
    <t xml:space="preserve">condos.ca registered area 505 sqft* (source Calculated), in MLS bracket 500-599; leased 2025-07-11.</t>
  </si>
  <si>
    <t xml:space="preserve">4002</t>
  </si>
  <si>
    <t xml:space="preserve">C12224964</t>
  </si>
  <si>
    <t xml:space="preserve">https://condos.ca/toronto/concord-canada-house-23-spadina-ave-1-3-concord-cityplace-way/unit-4002-C12224964</t>
  </si>
  <si>
    <t xml:space="preserve">817</t>
  </si>
  <si>
    <t xml:space="preserve">C12156845</t>
  </si>
  <si>
    <t xml:space="preserve">https://condos.ca/toronto/concord-canada-house-23-spadina-ave-1-3-concord-cityplace-way/unit-817-C12156845</t>
  </si>
  <si>
    <t xml:space="preserve">condos.ca registered area 622 sqft* (source Calculated), in MLS bracket 600-699; leased 2025-07-11.</t>
  </si>
  <si>
    <t xml:space="preserve">3808</t>
  </si>
  <si>
    <t xml:space="preserve">2025-07-09</t>
  </si>
  <si>
    <t xml:space="preserve">C12228071</t>
  </si>
  <si>
    <t xml:space="preserve">https://condos.ca/toronto/concord-canada-house-23-spadina-ave-1-3-concord-cityplace-way/unit-3808-C12228071</t>
  </si>
  <si>
    <t xml:space="preserve">condos.ca area 600 sqft*; calc SF 600 outside MLS bracket 500-599 — flagged; leased 2025-07-09.</t>
  </si>
  <si>
    <t xml:space="preserve">2901</t>
  </si>
  <si>
    <t xml:space="preserve">C12205040</t>
  </si>
  <si>
    <t xml:space="preserve">https://condos.ca/toronto/concord-canada-house-23-spadina-ave-1-3-concord-cityplace-way/unit-2901-C12205040</t>
  </si>
  <si>
    <t xml:space="preserve">condos.ca registered area 492 sqft* (source Calculated), in MLS bracket 0-499; leased 2025-07-09.</t>
  </si>
  <si>
    <t xml:space="preserve">3215</t>
  </si>
  <si>
    <t xml:space="preserve">C12201059</t>
  </si>
  <si>
    <t xml:space="preserve">https://condos.ca/toronto/concord-canada-house-23-spadina-ave-1-3-concord-cityplace-way/unit-3215-C12201059</t>
  </si>
  <si>
    <t xml:space="preserve">4109</t>
  </si>
  <si>
    <t xml:space="preserve">2025-07-08</t>
  </si>
  <si>
    <t xml:space="preserve">C12204894</t>
  </si>
  <si>
    <t xml:space="preserve">https://condos.ca/toronto/concord-canada-house-23-spadina-ave-1-3-concord-cityplace-way/unit-4109-C12204894</t>
  </si>
  <si>
    <t xml:space="preserve">condos.ca area 535 sqft*; calc SF 535 outside MLS bracket 600-699 — flagged; leased 2025-07-08.</t>
  </si>
  <si>
    <t xml:space="preserve">3809</t>
  </si>
  <si>
    <t xml:space="preserve">C12199633</t>
  </si>
  <si>
    <t xml:space="preserve">https://condos.ca/toronto/concord-canada-house-23-spadina-ave-1-3-concord-cityplace-way/unit-3809-C12199633</t>
  </si>
  <si>
    <t xml:space="preserve">4212</t>
  </si>
  <si>
    <t xml:space="preserve">2025-07-07</t>
  </si>
  <si>
    <t xml:space="preserve">C12205205</t>
  </si>
  <si>
    <t xml:space="preserve">https://condos.ca/toronto/concord-canada-house-23-spadina-ave-1-3-concord-cityplace-way/unit-4212-C12205205</t>
  </si>
  <si>
    <t xml:space="preserve">condos.ca registered area 505 sqft* (source Calculated), in MLS bracket 500-599; leased 2025-07-07.</t>
  </si>
  <si>
    <t xml:space="preserve">5608</t>
  </si>
  <si>
    <t xml:space="preserve">2025-07-06</t>
  </si>
  <si>
    <t xml:space="preserve">C12252727</t>
  </si>
  <si>
    <t xml:space="preserve">https://condos.ca/toronto/concord-canada-house-23-spadina-ave-1-3-concord-cityplace-way/unit-5608-C12252727</t>
  </si>
  <si>
    <t xml:space="preserve">condos.ca area 600 sqft*; calc SF 600 outside MLS bracket 500-599 — flagged; leased 2025-07-06.</t>
  </si>
  <si>
    <t xml:space="preserve">5610</t>
  </si>
  <si>
    <t xml:space="preserve">2025-07-05</t>
  </si>
  <si>
    <t xml:space="preserve">C12249102</t>
  </si>
  <si>
    <t xml:space="preserve">https://condos.ca/toronto/concord-canada-house-23-spadina-ave-1-3-concord-cityplace-way/unit-5610-C12249102</t>
  </si>
  <si>
    <t xml:space="preserve">condos.ca area 920 sqft*; calc SF 920 outside MLS bracket 700-799 — flagged; leased 2025-07-05.</t>
  </si>
  <si>
    <t xml:space="preserve">5009</t>
  </si>
  <si>
    <t xml:space="preserve">C12246700</t>
  </si>
  <si>
    <t xml:space="preserve">https://condos.ca/toronto/concord-canada-house-23-spadina-ave-1-3-concord-cityplace-way/unit-5009-C12246700</t>
  </si>
  <si>
    <t xml:space="preserve">condos.ca area 535 sqft*; calc SF 535 outside MLS bracket 600-699 — flagged; leased 2025-07-05.</t>
  </si>
  <si>
    <t xml:space="preserve">1711</t>
  </si>
  <si>
    <t xml:space="preserve">C12169794</t>
  </si>
  <si>
    <t xml:space="preserve">https://condos.ca/toronto/concord-canada-house-23-spadina-ave-1-3-concord-cityplace-way/unit-1711-C12169794</t>
  </si>
  <si>
    <t xml:space="preserve">condos.ca registered area 770 sqft* (source Calculated), in MLS bracket 700-799; leased 2025-07-05.</t>
  </si>
  <si>
    <t xml:space="preserve">3802</t>
  </si>
  <si>
    <t xml:space="preserve">2025-07-04</t>
  </si>
  <si>
    <t xml:space="preserve">C12244799</t>
  </si>
  <si>
    <t xml:space="preserve">https://condos.ca/toronto/concord-canada-house-23-spadina-ave-1-3-concord-cityplace-way/unit-3802-C12244799</t>
  </si>
  <si>
    <t xml:space="preserve">condos.ca registered area 505 sqft* (source Calculated), in MLS bracket 500-599; leased 2025-07-04.</t>
  </si>
  <si>
    <t xml:space="preserve">4910</t>
  </si>
  <si>
    <t xml:space="preserve">2025-07-03</t>
  </si>
  <si>
    <t xml:space="preserve">C12257623</t>
  </si>
  <si>
    <t xml:space="preserve">https://condos.ca/toronto/concord-canada-house-23-spadina-ave-1-3-concord-cityplace-way/unit-4910-C12257623</t>
  </si>
  <si>
    <t xml:space="preserve">condos.ca area 920 sqft*; calc SF 920 outside MLS bracket 700-799 — flagged; leased 2025-07-03.</t>
  </si>
  <si>
    <t xml:space="preserve">4907</t>
  </si>
  <si>
    <t xml:space="preserve">C12243400</t>
  </si>
  <si>
    <t xml:space="preserve">https://condos.ca/toronto/concord-canada-house-23-spadina-ave-1-3-concord-cityplace-way/unit-4907-C12243400</t>
  </si>
  <si>
    <t xml:space="preserve">condos.ca registered area 545 sqft* (source Calculated), in MLS bracket 500-599; leased 2025-07-03.</t>
  </si>
  <si>
    <t xml:space="preserve">4106</t>
  </si>
  <si>
    <t xml:space="preserve">C12230354</t>
  </si>
  <si>
    <t xml:space="preserve">https://condos.ca/toronto/concord-canada-house-23-spadina-ave-1-3-concord-cityplace-way/unit-4106-C12230354</t>
  </si>
  <si>
    <t xml:space="preserve">condos.ca registered area 650 sqft* (source Calculated), in MLS bracket 600-699; leased 2025-07-03.</t>
  </si>
  <si>
    <t xml:space="preserve">4509</t>
  </si>
  <si>
    <t xml:space="preserve">C12225106</t>
  </si>
  <si>
    <t xml:space="preserve">https://condos.ca/toronto/concord-canada-house-23-spadina-ave-1-3-concord-cityplace-way/unit-4509-C12225106</t>
  </si>
  <si>
    <t xml:space="preserve">condos.ca area 535 sqft*; calc SF 535 outside MLS bracket 600-699 — flagged; leased 2025-07-03.</t>
  </si>
  <si>
    <t xml:space="preserve">2902</t>
  </si>
  <si>
    <t xml:space="preserve">C12208777</t>
  </si>
  <si>
    <t xml:space="preserve">https://condos.ca/toronto/concord-canada-house-23-spadina-ave-1-3-concord-cityplace-way/unit-2902-C12208777</t>
  </si>
  <si>
    <t xml:space="preserve">condos.ca registered area 505 sqft* (source Calculated), in MLS bracket 500-599; leased 2025-07-03.</t>
  </si>
  <si>
    <t xml:space="preserve">5211</t>
  </si>
  <si>
    <t xml:space="preserve">2025-07-02</t>
  </si>
  <si>
    <t xml:space="preserve">C12251469</t>
  </si>
  <si>
    <t xml:space="preserve">https://condos.ca/toronto/concord-canada-house-23-spadina-ave-1-3-concord-cityplace-way/unit-5211-C12251469</t>
  </si>
  <si>
    <t xml:space="preserve">condos.ca area 770 sqft*; calc SF 770 outside MLS bracket 900-999 — flagged; leased 2025-07-02.</t>
  </si>
  <si>
    <t xml:space="preserve">4201</t>
  </si>
  <si>
    <t xml:space="preserve">C12237347</t>
  </si>
  <si>
    <t xml:space="preserve">https://condos.ca/toronto/concord-canada-house-23-spadina-ave-1-3-concord-cityplace-way/unit-4201-C12237347</t>
  </si>
  <si>
    <t xml:space="preserve">condos.ca registered area 492 sqft* (source Calculated), in MLS bracket 0-499; leased 2025-07-02.</t>
  </si>
  <si>
    <t xml:space="preserve">510</t>
  </si>
  <si>
    <t xml:space="preserve">C12200122</t>
  </si>
  <si>
    <t xml:space="preserve">https://condos.ca/toronto/concord-canada-house-23-spadina-ave-1-3-concord-cityplace-way/unit-510-C12200122</t>
  </si>
  <si>
    <t xml:space="preserve">condos.ca registered area 530 sqft* (source Calculated), in MLS bracket 500-599; leased 2025-07-02.</t>
  </si>
  <si>
    <t xml:space="preserve">3612</t>
  </si>
  <si>
    <t xml:space="preserve">2025-07-01</t>
  </si>
  <si>
    <t xml:space="preserve">C12211512</t>
  </si>
  <si>
    <t xml:space="preserve">https://condos.ca/toronto/concord-canada-house-23-spadina-ave-1-3-concord-cityplace-way/unit-3612-C12211512</t>
  </si>
  <si>
    <t xml:space="preserve">condos.ca registered area 505 sqft* (source Calculated), in MLS bracket 500-599; leased 2025-07-01.</t>
  </si>
  <si>
    <t xml:space="preserve">610</t>
  </si>
  <si>
    <t xml:space="preserve">2025-06-30</t>
  </si>
  <si>
    <t xml:space="preserve">C12248970</t>
  </si>
  <si>
    <t xml:space="preserve">https://condos.ca/toronto/concord-canada-house-23-spadina-ave-1-3-concord-cityplace-way/unit-610-C12248970</t>
  </si>
  <si>
    <t xml:space="preserve">condos.ca registered area 530 sqft* (source Calculated), in MLS bracket 500-599; leased 2025-06-30.</t>
  </si>
  <si>
    <t xml:space="preserve">612</t>
  </si>
  <si>
    <t xml:space="preserve">2025-06-29</t>
  </si>
  <si>
    <t xml:space="preserve">C12247193</t>
  </si>
  <si>
    <t xml:space="preserve">https://condos.ca/toronto/concord-canada-house-23-spadina-ave-1-3-concord-cityplace-way/unit-612-C12247193</t>
  </si>
  <si>
    <t xml:space="preserve">condos.ca registered area 736 sqft* (source Calculated), in MLS bracket 700-799; leased 2025-06-29.</t>
  </si>
  <si>
    <t xml:space="preserve">739</t>
  </si>
  <si>
    <t xml:space="preserve">C12228228</t>
  </si>
  <si>
    <t xml:space="preserve">https://condos.ca/toronto/concord-canada-house-23-spadina-ave-1-3-concord-cityplace-way/unit-739-C12228228</t>
  </si>
  <si>
    <t xml:space="preserve">condos.ca registered area 555 sqft* (source Calculated), in MLS bracket 500-599; leased 2025-06-29.</t>
  </si>
  <si>
    <t xml:space="preserve">5106</t>
  </si>
  <si>
    <t xml:space="preserve">2025-06-28</t>
  </si>
  <si>
    <t xml:space="preserve">C12248767</t>
  </si>
  <si>
    <t xml:space="preserve">https://condos.ca/toronto/concord-canada-house-23-spadina-ave-1-3-concord-cityplace-way/unit-5106-C12248767</t>
  </si>
  <si>
    <t xml:space="preserve">condos.ca area 650 sqft*; calc SF 650 outside MLS bracket 500-599 — flagged; leased 2025-06-28.</t>
  </si>
  <si>
    <t xml:space="preserve">311</t>
  </si>
  <si>
    <t xml:space="preserve">C12156785</t>
  </si>
  <si>
    <t xml:space="preserve">https://condos.ca/toronto/concord-canada-house-23-spadina-ave-1-3-concord-cityplace-way/unit-311-C12156785</t>
  </si>
  <si>
    <t xml:space="preserve">condos.ca registered area 1122 sqft* (source Calculated), in MLS bracket 1000-1199; leased 2025-06-28.</t>
  </si>
  <si>
    <t xml:space="preserve">4501</t>
  </si>
  <si>
    <t xml:space="preserve">2025-06-27</t>
  </si>
  <si>
    <t xml:space="preserve">C12240644</t>
  </si>
  <si>
    <t xml:space="preserve">https://condos.ca/toronto/concord-canada-house-23-spadina-ave-1-3-concord-cityplace-way/unit-4501-C12240644</t>
  </si>
  <si>
    <t xml:space="preserve">condos.ca area 492 sqft*; calc SF 492 outside MLS bracket 500-599 — flagged; leased 2025-06-27.</t>
  </si>
  <si>
    <t xml:space="preserve">C12204884</t>
  </si>
  <si>
    <t xml:space="preserve">https://condos.ca/toronto/concord-canada-house-23-spadina-ave-1-3-concord-cityplace-way/unit-3012-C12204884</t>
  </si>
  <si>
    <t xml:space="preserve">condos.ca registered area 505 sqft* (source Calculated), in MLS bracket 500-599; leased 2025-06-27.</t>
  </si>
  <si>
    <t xml:space="preserve">4102</t>
  </si>
  <si>
    <t xml:space="preserve">2025-06-26</t>
  </si>
  <si>
    <t xml:space="preserve">C12210625</t>
  </si>
  <si>
    <t xml:space="preserve">https://condos.ca/toronto/concord-canada-house-23-spadina-ave-1-3-concord-cityplace-way/unit-4102-C12210625</t>
  </si>
  <si>
    <t xml:space="preserve">condos.ca registered area 505 sqft* (source Calculated), in MLS bracket 500-599; leased 2025-06-26.</t>
  </si>
  <si>
    <t xml:space="preserve">3701</t>
  </si>
  <si>
    <t xml:space="preserve">2025-06-25</t>
  </si>
  <si>
    <t xml:space="preserve">C12242806</t>
  </si>
  <si>
    <t xml:space="preserve">https://condos.ca/toronto/concord-canada-house-23-spadina-ave-1-3-concord-cityplace-way/unit-3701-C12242806</t>
  </si>
  <si>
    <t xml:space="preserve">condos.ca registered area 492 sqft* (source Calculated), in MLS bracket 0-499; leased 2025-06-25.</t>
  </si>
  <si>
    <t xml:space="preserve">C12220981</t>
  </si>
  <si>
    <t xml:space="preserve">https://condos.ca/toronto/concord-canada-house-23-spadina-ave-1-3-concord-cityplace-way/unit-2212-C12220981</t>
  </si>
  <si>
    <t xml:space="preserve">condos.ca registered area 505 sqft* (source Calculated), in MLS bracket 500-599; leased 2025-06-25.</t>
  </si>
  <si>
    <t xml:space="preserve">4515</t>
  </si>
  <si>
    <t xml:space="preserve">C12219267</t>
  </si>
  <si>
    <t xml:space="preserve">https://condos.ca/toronto/concord-canada-house-23-spadina-ave-1-3-concord-cityplace-way/unit-4515-C12219267</t>
  </si>
  <si>
    <t xml:space="preserve">2810</t>
  </si>
  <si>
    <t xml:space="preserve">C12216326</t>
  </si>
  <si>
    <t xml:space="preserve">https://condos.ca/toronto/concord-canada-house-23-spadina-ave-1-3-concord-cityplace-way/unit-2810-C12216326</t>
  </si>
  <si>
    <t xml:space="preserve">condos.ca area 920 sqft*; calc SF 920 outside MLS bracket 700-799 — flagged; leased 2025-06-25.</t>
  </si>
  <si>
    <t xml:space="preserve">4308</t>
  </si>
  <si>
    <t xml:space="preserve">C12214251</t>
  </si>
  <si>
    <t xml:space="preserve">https://condos.ca/toronto/concord-canada-house-23-spadina-ave-1-3-concord-cityplace-way/unit-4308-C12214251</t>
  </si>
  <si>
    <t xml:space="preserve">condos.ca area 600 sqft*; calc SF 600 outside MLS bracket 500-599 — flagged; leased 2025-06-25.</t>
  </si>
  <si>
    <t xml:space="preserve">2606</t>
  </si>
  <si>
    <t xml:space="preserve">C12191509</t>
  </si>
  <si>
    <t xml:space="preserve">https://condos.ca/toronto/concord-canada-house-23-spadina-ave-1-3-concord-cityplace-way/unit-2606-C12191509</t>
  </si>
  <si>
    <t xml:space="preserve">condos.ca area 650 sqft*; calc SF 650 outside MLS bracket 500-599 — flagged; leased 2025-06-25.</t>
  </si>
  <si>
    <t xml:space="preserve">4215</t>
  </si>
  <si>
    <t xml:space="preserve">2025-06-24</t>
  </si>
  <si>
    <t xml:space="preserve">C12237095</t>
  </si>
  <si>
    <t xml:space="preserve">https://condos.ca/toronto/concord-canada-house-23-spadina-ave-1-3-concord-cityplace-way/unit-4215-C12237095</t>
  </si>
  <si>
    <t xml:space="preserve">condos.ca registered area 492 sqft* (source Calculated), in MLS bracket 0-499; leased 2025-06-24.</t>
  </si>
  <si>
    <t xml:space="preserve">4015</t>
  </si>
  <si>
    <t xml:space="preserve">C12198534</t>
  </si>
  <si>
    <t xml:space="preserve">https://condos.ca/toronto/concord-canada-house-23-spadina-ave-1-3-concord-cityplace-way/unit-4015-C12198534</t>
  </si>
  <si>
    <t xml:space="preserve">2812</t>
  </si>
  <si>
    <t xml:space="preserve">C12198114</t>
  </si>
  <si>
    <t xml:space="preserve">https://condos.ca/toronto/concord-canada-house-23-spadina-ave-1-3-concord-cityplace-way/unit-2812-C12198114</t>
  </si>
  <si>
    <t xml:space="preserve">condos.ca registered area 505 sqft* (source Calculated), in MLS bracket 500-599; leased 2025-06-24.</t>
  </si>
  <si>
    <t xml:space="preserve">4115</t>
  </si>
  <si>
    <t xml:space="preserve">2025-06-23</t>
  </si>
  <si>
    <t xml:space="preserve">C12232802</t>
  </si>
  <si>
    <t xml:space="preserve">https://condos.ca/toronto/concord-canada-house-23-spadina-ave-1-3-concord-cityplace-way/unit-4115-C12232802</t>
  </si>
  <si>
    <t xml:space="preserve">condos.ca area 492 sqft*; calc SF 492 outside MLS bracket 500-599 — flagged; leased 2025-06-23.</t>
  </si>
  <si>
    <t xml:space="preserve">539</t>
  </si>
  <si>
    <t xml:space="preserve">C12224468</t>
  </si>
  <si>
    <t xml:space="preserve">https://condos.ca/toronto/concord-canada-house-23-spadina-ave-1-3-concord-cityplace-way/unit-539-C12224468</t>
  </si>
  <si>
    <t xml:space="preserve">condos.ca registered area 545 sqft* (source Calculated), in MLS bracket 500-599; leased 2025-06-23.</t>
  </si>
  <si>
    <t xml:space="preserve">3009</t>
  </si>
  <si>
    <t xml:space="preserve">C12222612</t>
  </si>
  <si>
    <t xml:space="preserve">https://condos.ca/toronto/concord-canada-house-23-spadina-ave-1-3-concord-cityplace-way/unit-3009-C12222612</t>
  </si>
  <si>
    <t xml:space="preserve">condos.ca area 535 sqft*; calc SF 535 outside MLS bracket 600-699 — flagged; leased 2025-06-23.</t>
  </si>
  <si>
    <t xml:space="preserve">2809</t>
  </si>
  <si>
    <t xml:space="preserve">C12222574</t>
  </si>
  <si>
    <t xml:space="preserve">https://condos.ca/toronto/concord-canada-house-23-spadina-ave-1-3-concord-cityplace-way/unit-2809-C12222574</t>
  </si>
  <si>
    <t xml:space="preserve">C12216074</t>
  </si>
  <si>
    <t xml:space="preserve">https://condos.ca/toronto/concord-canada-house-23-spadina-ave-1-3-concord-cityplace-way/unit-4302-C12216074</t>
  </si>
  <si>
    <t xml:space="preserve">condos.ca registered area 505 sqft* (source Calculated), in MLS bracket 500-599; leased 2025-06-23.</t>
  </si>
  <si>
    <t xml:space="preserve">2515</t>
  </si>
  <si>
    <t xml:space="preserve">Common</t>
  </si>
  <si>
    <t xml:space="preserve">C12160715</t>
  </si>
  <si>
    <t xml:space="preserve">https://condos.ca/toronto/concord-canada-house-23-spadina-ave-1-3-concord-cityplace-way/unit-2515-C12160715</t>
  </si>
  <si>
    <t xml:space="preserve">condos.ca registered area 492 sqft* (source Calculated), in MLS bracket 0-499; leased 2025-06-23.</t>
  </si>
  <si>
    <t xml:space="preserve">4011</t>
  </si>
  <si>
    <t xml:space="preserve">2025-06-22</t>
  </si>
  <si>
    <t xml:space="preserve">C12232806</t>
  </si>
  <si>
    <t xml:space="preserve">https://condos.ca/toronto/concord-canada-house-23-spadina-ave-1-3-concord-cityplace-way/unit-4011-C12232806</t>
  </si>
  <si>
    <t xml:space="preserve">condos.ca registered area 770 sqft* (source Calculated), in MLS bracket 700-799; leased 2025-06-22.</t>
  </si>
  <si>
    <t xml:space="preserve">3815</t>
  </si>
  <si>
    <t xml:space="preserve">2025-06-21</t>
  </si>
  <si>
    <t xml:space="preserve">C12211484</t>
  </si>
  <si>
    <t xml:space="preserve">https://condos.ca/toronto/concord-canada-house-23-spadina-ave-1-3-concord-cityplace-way/unit-3815-C12211484</t>
  </si>
  <si>
    <t xml:space="preserve">condos.ca registered area 492 sqft* (source Calculated), in MLS bracket 0-499; leased 2025-06-21.</t>
  </si>
  <si>
    <t xml:space="preserve">4208</t>
  </si>
  <si>
    <t xml:space="preserve">2025-06-20</t>
  </si>
  <si>
    <t xml:space="preserve">C12222292</t>
  </si>
  <si>
    <t xml:space="preserve">https://condos.ca/toronto/concord-canada-house-23-spadina-ave-1-3-concord-cityplace-way/unit-4208-C12222292</t>
  </si>
  <si>
    <t xml:space="preserve">condos.ca area 600 sqft*; calc SF 600 outside MLS bracket 500-599 — flagged; leased 2025-06-20.</t>
  </si>
  <si>
    <t xml:space="preserve">4008</t>
  </si>
  <si>
    <t xml:space="preserve">C12221721</t>
  </si>
  <si>
    <t xml:space="preserve">https://condos.ca/toronto/concord-canada-house-23-spadina-ave-1-3-concord-cityplace-way/unit-4008-C12221721</t>
  </si>
  <si>
    <t xml:space="preserve">3002</t>
  </si>
  <si>
    <t xml:space="preserve">C12199026</t>
  </si>
  <si>
    <t xml:space="preserve">https://condos.ca/toronto/concord-canada-house-23-spadina-ave-1-3-concord-cityplace-way/unit-3002-C12199026</t>
  </si>
  <si>
    <t xml:space="preserve">condos.ca registered area 505 sqft* (source Calculated), in MLS bracket 500-599; leased 2025-06-20.</t>
  </si>
  <si>
    <t xml:space="preserve">2815</t>
  </si>
  <si>
    <t xml:space="preserve">C12195735</t>
  </si>
  <si>
    <t xml:space="preserve">https://condos.ca/toronto/concord-canada-house-23-spadina-ave-1-3-concord-cityplace-way/unit-2815-C12195735</t>
  </si>
  <si>
    <t xml:space="preserve">condos.ca registered area 492 sqft* (source Calculated), in MLS bracket 0-499; leased 2025-06-20.</t>
  </si>
  <si>
    <t xml:space="preserve">C12193833</t>
  </si>
  <si>
    <t xml:space="preserve">https://condos.ca/toronto/concord-canada-house-23-spadina-ave-1-3-concord-cityplace-way/unit-3207-C12193833</t>
  </si>
  <si>
    <t xml:space="preserve">condos.ca registered area 545 sqft* (source Calculated), in MLS bracket 500-599; leased 2025-06-20.</t>
  </si>
  <si>
    <t xml:space="preserve">4310</t>
  </si>
  <si>
    <t xml:space="preserve">2025-06-19</t>
  </si>
  <si>
    <t xml:space="preserve">C12221485</t>
  </si>
  <si>
    <t xml:space="preserve">https://condos.ca/toronto/concord-canada-house-23-spadina-ave-1-3-concord-cityplace-way/unit-4310-C12221485</t>
  </si>
  <si>
    <t xml:space="preserve">condos.ca area 920 sqft*; calc SF 920 outside MLS bracket 700-799 — flagged; leased 2025-06-19.</t>
  </si>
  <si>
    <t xml:space="preserve">4508</t>
  </si>
  <si>
    <t xml:space="preserve">C12208497</t>
  </si>
  <si>
    <t xml:space="preserve">https://condos.ca/toronto/concord-canada-house-23-spadina-ave-1-3-concord-cityplace-way/unit-4508-C12208497</t>
  </si>
  <si>
    <t xml:space="preserve">condos.ca area 600 sqft*; calc SF 600 outside MLS bracket 500-599 — flagged; leased 2025-06-19.</t>
  </si>
  <si>
    <t xml:space="preserve">3306</t>
  </si>
  <si>
    <t xml:space="preserve">C12197511</t>
  </si>
  <si>
    <t xml:space="preserve">https://condos.ca/toronto/concord-canada-house-23-spadina-ave-1-3-concord-cityplace-way/unit-3306-C12197511</t>
  </si>
  <si>
    <t xml:space="preserve">condos.ca area 650 sqft*; calc SF 650 outside MLS bracket 500-599 — flagged; leased 2025-06-19.</t>
  </si>
  <si>
    <t xml:space="preserve">3501</t>
  </si>
  <si>
    <t xml:space="preserve">C12196753</t>
  </si>
  <si>
    <t xml:space="preserve">https://condos.ca/toronto/concord-canada-house-23-spadina-ave-1-3-concord-cityplace-way/unit-3501-C12196753</t>
  </si>
  <si>
    <t xml:space="preserve">condos.ca registered area 492 sqft* (source Calculated), in MLS bracket 0-499; leased 2025-06-19.</t>
  </si>
  <si>
    <t xml:space="preserve">2501</t>
  </si>
  <si>
    <t xml:space="preserve">2025-06-18</t>
  </si>
  <si>
    <t xml:space="preserve">C12175441</t>
  </si>
  <si>
    <t xml:space="preserve">https://condos.ca/toronto/concord-canada-house-23-spadina-ave-1-3-concord-cityplace-way/unit-2501-C12175441</t>
  </si>
  <si>
    <t xml:space="preserve">condos.ca registered area 492 sqft* (source Calculated), in MLS bracket 0-499; leased 2025-06-18.</t>
  </si>
  <si>
    <t xml:space="preserve">808</t>
  </si>
  <si>
    <t xml:space="preserve">2025-06-17</t>
  </si>
  <si>
    <t xml:space="preserve">C12162034</t>
  </si>
  <si>
    <t xml:space="preserve">https://condos.ca/toronto/concord-canada-house-23-spadina-ave-1-3-concord-cityplace-way/unit-808-C12162034</t>
  </si>
  <si>
    <t xml:space="preserve">condos.ca registered area 612 sqft* (source Calculated), in MLS bracket 600-699; leased 2025-06-17.</t>
  </si>
  <si>
    <t xml:space="preserve">3708</t>
  </si>
  <si>
    <t xml:space="preserve">2025-06-16</t>
  </si>
  <si>
    <t xml:space="preserve">C12205499</t>
  </si>
  <si>
    <t xml:space="preserve">https://condos.ca/toronto/concord-canada-house-23-spadina-ave-1-3-concord-cityplace-way/unit-3708-C12205499</t>
  </si>
  <si>
    <t xml:space="preserve">condos.ca area 600 sqft*; calc SF 600 outside MLS bracket 500-599 — flagged; leased 2025-06-16.</t>
  </si>
  <si>
    <t xml:space="preserve">3208</t>
  </si>
  <si>
    <t xml:space="preserve">C12205404</t>
  </si>
  <si>
    <t xml:space="preserve">https://condos.ca/toronto/concord-canada-house-23-spadina-ave-1-3-concord-cityplace-way/unit-3208-C12205404</t>
  </si>
  <si>
    <t xml:space="preserve">condos.ca registered area 600 sqft* (source Calculated), in MLS bracket 600-699; leased 2025-06-16.</t>
  </si>
  <si>
    <t xml:space="preserve">2702</t>
  </si>
  <si>
    <t xml:space="preserve">2025-06-15</t>
  </si>
  <si>
    <t xml:space="preserve">C12194891</t>
  </si>
  <si>
    <t xml:space="preserve">https://condos.ca/toronto/concord-canada-house-23-spadina-ave-1-3-concord-cityplace-way/unit-2702-C12194891</t>
  </si>
  <si>
    <t xml:space="preserve">condos.ca registered area 505 sqft* (source Calculated), in MLS bracket 500-599; leased 2025-06-15.</t>
  </si>
  <si>
    <t xml:space="preserve">2708</t>
  </si>
  <si>
    <t xml:space="preserve">2025-06-14</t>
  </si>
  <si>
    <t xml:space="preserve">C12201034</t>
  </si>
  <si>
    <t xml:space="preserve">https://condos.ca/toronto/concord-canada-house-23-spadina-ave-1-3-concord-cityplace-way/unit-2708-C12201034</t>
  </si>
  <si>
    <t xml:space="preserve">condos.ca area 600 sqft*; calc SF 600 outside MLS bracket 500-599 — flagged; leased 2025-06-14.</t>
  </si>
  <si>
    <t xml:space="preserve">508</t>
  </si>
  <si>
    <t xml:space="preserve">C12156074</t>
  </si>
  <si>
    <t xml:space="preserve">https://condos.ca/toronto/concord-canada-house-23-spadina-ave-1-3-concord-cityplace-way/unit-508-C12156074</t>
  </si>
  <si>
    <t xml:space="preserve">condos.ca registered area 612 sqft* (source Calculated), in MLS bracket 600-699; leased 2025-06-14.</t>
  </si>
  <si>
    <t xml:space="preserve">2806</t>
  </si>
  <si>
    <t xml:space="preserve">2025-06-13</t>
  </si>
  <si>
    <t xml:space="preserve">C12213166</t>
  </si>
  <si>
    <t xml:space="preserve">https://condos.ca/toronto/concord-canada-house-23-spadina-ave-1-3-concord-cityplace-way/unit-2806-C12213166</t>
  </si>
  <si>
    <t xml:space="preserve">condos.ca area 650 sqft*; calc SF 650 outside MLS bracket 500-599 — flagged; leased 2025-06-13.</t>
  </si>
  <si>
    <t xml:space="preserve">3811</t>
  </si>
  <si>
    <t xml:space="preserve">C12208733</t>
  </si>
  <si>
    <t xml:space="preserve">https://condos.ca/toronto/concord-canada-house-23-spadina-ave-1-3-concord-cityplace-way/unit-3811-C12208733</t>
  </si>
  <si>
    <t xml:space="preserve">condos.ca registered area 770 sqft* (source Calculated), in MLS bracket 700-799; leased 2025-06-13.</t>
  </si>
  <si>
    <t xml:space="preserve">4006</t>
  </si>
  <si>
    <t xml:space="preserve">2025-06-12</t>
  </si>
  <si>
    <t xml:space="preserve">C12210994</t>
  </si>
  <si>
    <t xml:space="preserve">https://condos.ca/toronto/concord-canada-house-23-spadina-ave-1-3-concord-cityplace-way/unit-4006-C12210994</t>
  </si>
  <si>
    <t xml:space="preserve">condos.ca area 650 sqft*; calc SF 650 outside MLS bracket 500-599 — flagged; leased 2025-06-12.</t>
  </si>
  <si>
    <t xml:space="preserve">4511</t>
  </si>
  <si>
    <t xml:space="preserve">C12205300</t>
  </si>
  <si>
    <t xml:space="preserve">https://condos.ca/toronto/concord-canada-house-23-spadina-ave-1-3-concord-cityplace-way/unit-4511-C12205300</t>
  </si>
  <si>
    <t xml:space="preserve">condos.ca area 770 sqft*; calc SF 770 outside MLS bracket 900-999 — flagged; leased 2025-06-12.</t>
  </si>
  <si>
    <t xml:space="preserve">2706</t>
  </si>
  <si>
    <t xml:space="preserve">C12200712</t>
  </si>
  <si>
    <t xml:space="preserve">https://condos.ca/toronto/concord-canada-house-23-spadina-ave-1-3-concord-cityplace-way/unit-2706-C12200712</t>
  </si>
  <si>
    <t xml:space="preserve">2715</t>
  </si>
  <si>
    <t xml:space="preserve">C12193717</t>
  </si>
  <si>
    <t xml:space="preserve">https://condos.ca/toronto/concord-canada-house-23-spadina-ave-1-3-concord-cityplace-way/unit-2715-C12193717</t>
  </si>
  <si>
    <t xml:space="preserve">condos.ca registered area 492 sqft* (source Calculated), in MLS bracket 0-499; leased 2025-06-12.</t>
  </si>
  <si>
    <t xml:space="preserve">716</t>
  </si>
  <si>
    <t xml:space="preserve">2025-06-11</t>
  </si>
  <si>
    <t xml:space="preserve">C12183206</t>
  </si>
  <si>
    <t xml:space="preserve">https://condos.ca/toronto/concord-canada-house-23-spadina-ave-1-3-concord-cityplace-way/unit-716-C12183206</t>
  </si>
  <si>
    <t xml:space="preserve">condos.ca registered area 738 sqft* (source Calculated), in MLS bracket 700-799; leased 2025-06-11.</t>
  </si>
  <si>
    <t xml:space="preserve">2025-06-10</t>
  </si>
  <si>
    <t xml:space="preserve">C12204356</t>
  </si>
  <si>
    <t xml:space="preserve">https://condos.ca/toronto/concord-canada-house-23-spadina-ave-1-3-concord-cityplace-way/unit-2808-C12204356</t>
  </si>
  <si>
    <t xml:space="preserve">condos.ca area 600 sqft*; calc SF 600 outside MLS bracket 500-599 — flagged; leased 2025-06-10.</t>
  </si>
  <si>
    <t xml:space="preserve">3807</t>
  </si>
  <si>
    <t xml:space="preserve">C12200454</t>
  </si>
  <si>
    <t xml:space="preserve">https://condos.ca/toronto/concord-canada-house-23-spadina-ave-1-3-concord-cityplace-way/unit-3807-C12200454</t>
  </si>
  <si>
    <t xml:space="preserve">condos.ca registered area 545 sqft* (source Calculated), in MLS bracket 500-599; leased 2025-06-10.</t>
  </si>
  <si>
    <t xml:space="preserve">3507</t>
  </si>
  <si>
    <t xml:space="preserve">C12198427</t>
  </si>
  <si>
    <t xml:space="preserve">https://condos.ca/toronto/concord-canada-house-23-spadina-ave-1-3-concord-cityplace-way/unit-3507-C12198427</t>
  </si>
  <si>
    <t xml:space="preserve">3602</t>
  </si>
  <si>
    <t xml:space="preserve">2025-06-09</t>
  </si>
  <si>
    <t xml:space="preserve">C12200970</t>
  </si>
  <si>
    <t xml:space="preserve">https://condos.ca/toronto/concord-canada-house-23-spadina-ave-1-3-concord-cityplace-way/unit-3602-C12200970</t>
  </si>
  <si>
    <t xml:space="preserve">condos.ca registered area 505 sqft* (source Calculated), in MLS bracket 500-599; leased 2025-06-09.</t>
  </si>
  <si>
    <t xml:space="preserve">C12200142</t>
  </si>
  <si>
    <t xml:space="preserve">https://condos.ca/toronto/concord-canada-house-23-spadina-ave-1-3-concord-cityplace-way/unit-2612-C12200142</t>
  </si>
  <si>
    <t xml:space="preserve">3109</t>
  </si>
  <si>
    <t xml:space="preserve">C12197260</t>
  </si>
  <si>
    <t xml:space="preserve">https://condos.ca/toronto/concord-canada-house-23-spadina-ave-1-3-concord-cityplace-way/unit-3109-C12197260</t>
  </si>
  <si>
    <t xml:space="preserve">condos.ca area 535 sqft*; calc SF 535 outside MLS bracket 600-699 — flagged; leased 2025-06-09.</t>
  </si>
  <si>
    <t xml:space="preserve">3101</t>
  </si>
  <si>
    <t xml:space="preserve">C12196621</t>
  </si>
  <si>
    <t xml:space="preserve">https://condos.ca/toronto/concord-canada-house-23-spadina-ave-1-3-concord-cityplace-way/unit-3101-C12196621</t>
  </si>
  <si>
    <t xml:space="preserve">condos.ca registered area 492 sqft* (source Calculated), in MLS bracket 0-499; leased 2025-06-09.</t>
  </si>
  <si>
    <t xml:space="preserve">4502</t>
  </si>
  <si>
    <t xml:space="preserve">2025-06-07</t>
  </si>
  <si>
    <t xml:space="preserve">C12203858</t>
  </si>
  <si>
    <t xml:space="preserve">https://condos.ca/toronto/concord-canada-house-23-spadina-ave-1-3-concord-cityplace-way/unit-4502-C12203858</t>
  </si>
  <si>
    <t xml:space="preserve">condos.ca registered area 505 sqft* (source Calculated), in MLS bracket 500-599; leased 2025-06-07.</t>
  </si>
  <si>
    <t xml:space="preserve">3509</t>
  </si>
  <si>
    <t xml:space="preserve">C12201052</t>
  </si>
  <si>
    <t xml:space="preserve">https://condos.ca/toronto/concord-canada-house-23-spadina-ave-1-3-concord-cityplace-way/unit-3509-C12201052</t>
  </si>
  <si>
    <t xml:space="preserve">condos.ca area 535 sqft*; calc SF 535 outside MLS bracket 600-699 — flagged; leased 2025-06-07.</t>
  </si>
  <si>
    <t xml:space="preserve">2025-06-06</t>
  </si>
  <si>
    <t xml:space="preserve">C12193567</t>
  </si>
  <si>
    <t xml:space="preserve">https://condos.ca/toronto/concord-canada-house-23-spadina-ave-1-3-concord-cityplace-way/unit-2615-C12193567</t>
  </si>
  <si>
    <t xml:space="preserve">condos.ca registered area 492 sqft* (source Calculated), in MLS bracket 0-499; leased 2025-06-06.</t>
  </si>
  <si>
    <t xml:space="preserve">3911</t>
  </si>
  <si>
    <t xml:space="preserve">2025-06-05</t>
  </si>
  <si>
    <t xml:space="preserve">C12198546</t>
  </si>
  <si>
    <t xml:space="preserve">https://condos.ca/toronto/concord-canada-house-23-spadina-ave-1-3-concord-cityplace-way/unit-3911-C12198546</t>
  </si>
  <si>
    <t xml:space="preserve">condos.ca registered area 770 sqft* (source Calculated), in MLS bracket 700-799; leased 2025-06-05.</t>
  </si>
  <si>
    <t xml:space="preserve">3508</t>
  </si>
  <si>
    <t xml:space="preserve">C12193980</t>
  </si>
  <si>
    <t xml:space="preserve">https://condos.ca/toronto/concord-canada-house-23-spadina-ave-1-3-concord-cityplace-way/unit-3508-C12193980</t>
  </si>
  <si>
    <t xml:space="preserve">condos.ca area 600 sqft*; calc SF 600 outside MLS bracket 500-599 — flagged; leased 2025-06-05.</t>
  </si>
  <si>
    <t xml:space="preserve">2112</t>
  </si>
  <si>
    <t xml:space="preserve">C12166216</t>
  </si>
  <si>
    <t xml:space="preserve">https://condos.ca/toronto/concord-canada-house-23-spadina-ave-1-3-concord-cityplace-way/unit-2112-C12166216</t>
  </si>
  <si>
    <t xml:space="preserve">condos.ca registered area 505 sqft* (source Calculated), in MLS bracket 500-599; leased 2025-06-05.</t>
  </si>
  <si>
    <t xml:space="preserve">3007</t>
  </si>
  <si>
    <t xml:space="preserve">2025-06-04</t>
  </si>
  <si>
    <t xml:space="preserve">C12191767</t>
  </si>
  <si>
    <t xml:space="preserve">https://condos.ca/toronto/concord-canada-house-23-spadina-ave-1-3-concord-cityplace-way/unit-3007-C12191767</t>
  </si>
  <si>
    <t xml:space="preserve">condos.ca registered area 545 sqft* (source Calculated), in MLS bracket 500-599; leased 2025-06-04.</t>
  </si>
  <si>
    <t xml:space="preserve">C12179835</t>
  </si>
  <si>
    <t xml:space="preserve">https://condos.ca/toronto/concord-canada-house-23-spadina-ave-1-3-concord-cityplace-way/unit-2509-C12179835</t>
  </si>
  <si>
    <t xml:space="preserve">condos.ca area 535 sqft*; calc SF 535 outside MLS bracket 600-699 — flagged; leased 2025-06-04.</t>
  </si>
  <si>
    <t xml:space="preserve">2211</t>
  </si>
  <si>
    <t xml:space="preserve">C12169416</t>
  </si>
  <si>
    <t xml:space="preserve">https://condos.ca/toronto/concord-canada-house-23-spadina-ave-1-3-concord-cityplace-way/unit-2211-C12169416</t>
  </si>
  <si>
    <t xml:space="preserve">condos.ca registered area 770 sqft* (source Calculated), in MLS bracket 700-799; leased 2025-06-04.</t>
  </si>
  <si>
    <t xml:space="preserve">2012</t>
  </si>
  <si>
    <t xml:space="preserve">2025-05-31</t>
  </si>
  <si>
    <t xml:space="preserve">C12170450</t>
  </si>
  <si>
    <t xml:space="preserve">https://condos.ca/toronto/concord-canada-house-23-spadina-ave-1-3-concord-cityplace-way/unit-2012-C12170450</t>
  </si>
  <si>
    <t xml:space="preserve">condos.ca registered area 505 sqft* (source Calculated), in MLS bracket 500-599; leased 2025-05-31.</t>
  </si>
  <si>
    <t xml:space="preserve">907</t>
  </si>
  <si>
    <t xml:space="preserve">C12166851</t>
  </si>
  <si>
    <t xml:space="preserve">https://condos.ca/toronto/concord-canada-house-23-spadina-ave-1-3-concord-cityplace-way/unit-907-C12166851</t>
  </si>
  <si>
    <t xml:space="preserve">condos.ca registered area 612 sqft* (source Calculated), in MLS bracket 600-699; leased 2025-05-31.</t>
  </si>
  <si>
    <t xml:space="preserve">816</t>
  </si>
  <si>
    <t xml:space="preserve">2025-05-30</t>
  </si>
  <si>
    <t xml:space="preserve">C12177039</t>
  </si>
  <si>
    <t xml:space="preserve">https://condos.ca/toronto/concord-canada-house-23-spadina-ave-1-3-concord-cityplace-way/unit-816-C12177039</t>
  </si>
  <si>
    <t xml:space="preserve">condos.ca registered area 738 sqft* (source Calculated), in MLS bracket 700-799; leased 2025-05-30.</t>
  </si>
  <si>
    <t xml:space="preserve">2312</t>
  </si>
  <si>
    <t xml:space="preserve">2025-05-29</t>
  </si>
  <si>
    <t xml:space="preserve">C12171608</t>
  </si>
  <si>
    <t xml:space="preserve">https://condos.ca/toronto/concord-canada-house-23-spadina-ave-1-3-concord-cityplace-way/unit-2312-C12171608</t>
  </si>
  <si>
    <t xml:space="preserve">condos.ca registered area 505 sqft* (source Calculated), in MLS bracket 500-599; leased 2025-05-29.</t>
  </si>
  <si>
    <t xml:space="preserve">2510</t>
  </si>
  <si>
    <t xml:space="preserve">2025-05-28</t>
  </si>
  <si>
    <t xml:space="preserve">C12169892</t>
  </si>
  <si>
    <t xml:space="preserve">https://condos.ca/toronto/concord-canada-house-23-spadina-ave-1-3-concord-cityplace-way/unit-2510-C12169892</t>
  </si>
  <si>
    <t xml:space="preserve">condos.ca area 920 sqft*; calc SF 920 outside MLS bracket 700-799 — flagged; leased 2025-05-28.</t>
  </si>
  <si>
    <t xml:space="preserve">C12164302</t>
  </si>
  <si>
    <t xml:space="preserve">https://condos.ca/toronto/concord-canada-house-23-spadina-ave-1-3-concord-cityplace-way/unit-2208-C12164302</t>
  </si>
  <si>
    <t xml:space="preserve">condos.ca area 600 sqft*; calc SF 600 outside MLS bracket 500-599 — flagged; leased 2025-05-28.</t>
  </si>
  <si>
    <t xml:space="preserve">2111</t>
  </si>
  <si>
    <t xml:space="preserve">2025-05-26</t>
  </si>
  <si>
    <t xml:space="preserve">C12170968</t>
  </si>
  <si>
    <t xml:space="preserve">https://condos.ca/toronto/concord-canada-house-23-spadina-ave-1-3-concord-cityplace-way/unit-2111-C12170968</t>
  </si>
  <si>
    <t xml:space="preserve">condos.ca registered area 770 sqft* (source Calculated), in MLS bracket 700-799; leased 2025-05-26.</t>
  </si>
  <si>
    <t xml:space="preserve">2302</t>
  </si>
  <si>
    <t xml:space="preserve">C12166272</t>
  </si>
  <si>
    <t xml:space="preserve">https://condos.ca/toronto/concord-canada-house-23-spadina-ave-1-3-concord-cityplace-way/unit-2302-C12166272</t>
  </si>
  <si>
    <t xml:space="preserve">condos.ca registered area 505 sqft* (source Calculated), in MLS bracket 500-599; leased 2025-05-26.</t>
  </si>
  <si>
    <t xml:space="preserve">1009</t>
  </si>
  <si>
    <t xml:space="preserve">C12156898</t>
  </si>
  <si>
    <t xml:space="preserve">https://condos.ca/toronto/concord-canada-house-23-spadina-ave-1-3-concord-cityplace-way/unit-1009-C12156898</t>
  </si>
  <si>
    <t xml:space="preserve">condos.ca area 530 sqft*; calc SF 530 outside MLS bracket 600-699 — flagged; leased 2025-05-26.</t>
  </si>
  <si>
    <t xml:space="preserve">2307</t>
  </si>
  <si>
    <t xml:space="preserve">C12152917</t>
  </si>
  <si>
    <t xml:space="preserve">https://condos.ca/toronto/concord-canada-house-23-spadina-ave-1-3-concord-cityplace-way/unit-2307-C12152917</t>
  </si>
  <si>
    <t xml:space="preserve">condos.ca registered area 545 sqft* (source Calculated), in MLS bracket 500-599; leased 2025-05-26.</t>
  </si>
  <si>
    <t xml:space="preserve">2306</t>
  </si>
  <si>
    <t xml:space="preserve">2025-05-25</t>
  </si>
  <si>
    <t xml:space="preserve">C12168425</t>
  </si>
  <si>
    <t xml:space="preserve">https://condos.ca/toronto/concord-canada-house-23-spadina-ave-1-3-concord-cityplace-way/unit-2306-C12168425</t>
  </si>
  <si>
    <t xml:space="preserve">condos.ca area 650 sqft*; calc SF 650 outside MLS bracket 500-599 — flagged; leased 2025-05-25.</t>
  </si>
  <si>
    <t xml:space="preserve">307</t>
  </si>
  <si>
    <t xml:space="preserve">2025-05-24</t>
  </si>
  <si>
    <t xml:space="preserve">C12157692</t>
  </si>
  <si>
    <t xml:space="preserve">https://condos.ca/toronto/concord-canada-house-23-spadina-ave-1-3-concord-cityplace-way/unit-307-C12157692</t>
  </si>
  <si>
    <t xml:space="preserve">condos.ca registered area 560 sqft* (source Calculated), in MLS bracket 500-599; leased 2025-05-24.</t>
  </si>
  <si>
    <t xml:space="preserve">2025-05-23</t>
  </si>
  <si>
    <t xml:space="preserve">C12156659</t>
  </si>
  <si>
    <t xml:space="preserve">https://condos.ca/toronto/concord-canada-house-23-spadina-ave-1-3-concord-cityplace-way/unit-2106-C12156659</t>
  </si>
  <si>
    <t xml:space="preserve">condos.ca registered area 650 sqft* (source Calculated), in MLS bracket 600-699; leased 2025-05-23.</t>
  </si>
  <si>
    <t xml:space="preserve">2101</t>
  </si>
  <si>
    <t xml:space="preserve">2025-05-22</t>
  </si>
  <si>
    <t xml:space="preserve">C12160339</t>
  </si>
  <si>
    <t xml:space="preserve">https://condos.ca/toronto/concord-canada-house-23-spadina-ave-1-3-concord-cityplace-way/unit-2101-C12160339</t>
  </si>
  <si>
    <t xml:space="preserve">condos.ca registered area 492 sqft* (source Calculated), in MLS bracket 0-499; leased 2025-05-22.</t>
  </si>
  <si>
    <t xml:space="preserve">511</t>
  </si>
  <si>
    <t xml:space="preserve">C12154773</t>
  </si>
  <si>
    <t xml:space="preserve">https://condos.ca/toronto/concord-canada-house-23-spadina-ave-1-3-concord-cityplace-way/unit-511-C12154773</t>
  </si>
  <si>
    <t xml:space="preserve">condos.ca registered area 1122 sqft* (source Calculated), in MLS bracket 1000-1199; leased 2025-05-22.</t>
  </si>
  <si>
    <t xml:space="preserve">2009</t>
  </si>
  <si>
    <t xml:space="preserve">2025-05-17</t>
  </si>
  <si>
    <t xml:space="preserve">C12156057</t>
  </si>
  <si>
    <t xml:space="preserve">https://condos.ca/toronto/concord-canada-house-23-spadina-ave-1-3-concord-cityplace-way/unit-2009-C12156057</t>
  </si>
  <si>
    <t xml:space="preserve">condos.ca area 535 sqft*; calc SF 535 outside MLS bracket 600-699 — flagged; leased 2025-05-17.</t>
  </si>
  <si>
    <t xml:space="preserve">405</t>
  </si>
  <si>
    <t xml:space="preserve">Built 2024 (2 yrs)</t>
  </si>
  <si>
    <t xml:space="preserve">2026-06-16</t>
  </si>
  <si>
    <t xml:space="preserve">C13092264</t>
  </si>
  <si>
    <t xml:space="preserve">https://condos.ca/toronto/nobu-residences-15-mercer-st-35-mercer-st/unit-405-C13092264</t>
  </si>
  <si>
    <t xml:space="preserve">condos.ca registered area 594 sqft* (source Calculated), in MLS bracket 500-599; leased 2026-06-16.</t>
  </si>
  <si>
    <t xml:space="preserve">2504</t>
  </si>
  <si>
    <t xml:space="preserve">2026-06-15</t>
  </si>
  <si>
    <t xml:space="preserve">C12881654</t>
  </si>
  <si>
    <t xml:space="preserve">https://condos.ca/toronto/nobu-residences-15-mercer-st-35-mercer-st/unit-2504-C12881654</t>
  </si>
  <si>
    <t xml:space="preserve">condos.ca registered area 929 sqft* (source Calculated), in MLS bracket 900-999; leased 2026-06-15.</t>
  </si>
  <si>
    <t xml:space="preserve">818</t>
  </si>
  <si>
    <t xml:space="preserve">2026-06-13</t>
  </si>
  <si>
    <t xml:space="preserve">C13117738</t>
  </si>
  <si>
    <t xml:space="preserve">https://condos.ca/toronto/nobu-residences-15-mercer-st-35-mercer-st/unit-818-C13117738</t>
  </si>
  <si>
    <t xml:space="preserve">condos.ca registered area 649 sqft* (source Calculated), in MLS bracket 600-699; leased 2026-06-13.</t>
  </si>
  <si>
    <t xml:space="preserve">3910</t>
  </si>
  <si>
    <t xml:space="preserve">C13222970</t>
  </si>
  <si>
    <t xml:space="preserve">https://condos.ca/toronto/nobu-residences-15-mercer-st-35-mercer-st/unit-3910-C13222970</t>
  </si>
  <si>
    <t xml:space="preserve">condos.ca registered area 799 sqft* (source Calculated), in MLS bracket 700-799; leased 2026-06-08.</t>
  </si>
  <si>
    <t xml:space="preserve">1103</t>
  </si>
  <si>
    <t xml:space="preserve">2026-06-07</t>
  </si>
  <si>
    <t xml:space="preserve">C13049560</t>
  </si>
  <si>
    <t xml:space="preserve">https://condos.ca/toronto/nobu-residences-15-mercer-st-35-mercer-st/unit-1103-C13049560</t>
  </si>
  <si>
    <t xml:space="preserve">condos.ca registered area 416 sqft* (source Calculated), in MLS bracket 0-499; leased 2026-06-07.</t>
  </si>
  <si>
    <t xml:space="preserve">1706</t>
  </si>
  <si>
    <t xml:space="preserve">C13106892</t>
  </si>
  <si>
    <t xml:space="preserve">https://condos.ca/toronto/nobu-residences-15-mercer-st-35-mercer-st/unit-1706-C13106892</t>
  </si>
  <si>
    <t xml:space="preserve">condos.ca registered area 799 sqft* (source Calculated), in MLS bracket 700-799; leased 2026-06-05.</t>
  </si>
  <si>
    <t xml:space="preserve">C13149188</t>
  </si>
  <si>
    <t xml:space="preserve">https://condos.ca/toronto/nobu-residences-15-mercer-st-35-mercer-st/unit-702-C13149188</t>
  </si>
  <si>
    <t xml:space="preserve">condos.ca area 625 sqft*; calc SF 625 outside MLS bracket 700-799 — flagged; leased 2026-06-04.</t>
  </si>
  <si>
    <t xml:space="preserve">1603</t>
  </si>
  <si>
    <t xml:space="preserve">C13110904</t>
  </si>
  <si>
    <t xml:space="preserve">https://condos.ca/toronto/nobu-residences-15-mercer-st-35-mercer-st/unit-1603-C13110904</t>
  </si>
  <si>
    <t xml:space="preserve">condos.ca area 427 sqft*; size 'Known'/stated (not registered area); leased 2026-06-04.</t>
  </si>
  <si>
    <t xml:space="preserve">2316</t>
  </si>
  <si>
    <t xml:space="preserve">C13209116</t>
  </si>
  <si>
    <t xml:space="preserve">https://condos.ca/toronto/nobu-residences-15-mercer-st-35-mercer-st/unit-2316-C13209116</t>
  </si>
  <si>
    <t xml:space="preserve">condos.ca registered area 667 sqft* (source Calculated), in MLS bracket 600-699; leased 2026-05-30.</t>
  </si>
  <si>
    <t xml:space="preserve">1904</t>
  </si>
  <si>
    <t xml:space="preserve">C13091688</t>
  </si>
  <si>
    <t xml:space="preserve">https://condos.ca/toronto/nobu-residences-15-mercer-st-35-mercer-st/unit-1904-C13091688</t>
  </si>
  <si>
    <t xml:space="preserve">condos.ca registered area 814 sqft* (source Calculated), in MLS bracket 800-899; leased 2026-05-29.</t>
  </si>
  <si>
    <t xml:space="preserve">2013</t>
  </si>
  <si>
    <t xml:space="preserve">2026-05-28</t>
  </si>
  <si>
    <t xml:space="preserve">C13130320</t>
  </si>
  <si>
    <t xml:space="preserve">https://condos.ca/toronto/nobu-residences-15-mercer-st-35-mercer-st/unit-2013-C13130320</t>
  </si>
  <si>
    <t xml:space="preserve">condos.ca area 692 sqft*; calc SF 692 outside MLS bracket 700-799 — flagged; furnished/short-term lease; leased 2026-05-28.</t>
  </si>
  <si>
    <t xml:space="preserve">C13032942</t>
  </si>
  <si>
    <t xml:space="preserve">https://condos.ca/toronto/nobu-residences-15-mercer-st-35-mercer-st/unit-3809-C13032942</t>
  </si>
  <si>
    <t xml:space="preserve">condos.ca registered area 652 sqft* (source Calculated), in MLS bracket 600-699; leased 2026-05-25.</t>
  </si>
  <si>
    <t xml:space="preserve">2514</t>
  </si>
  <si>
    <t xml:space="preserve">2026-05-21</t>
  </si>
  <si>
    <t xml:space="preserve">C13132508</t>
  </si>
  <si>
    <t xml:space="preserve">https://condos.ca/toronto/nobu-residences-15-mercer-st-35-mercer-st/unit-2514-C13132508</t>
  </si>
  <si>
    <t xml:space="preserve">condos.ca registered area 639 sqft* (source Calculated), in MLS bracket 600-699; leased 2026-05-21.</t>
  </si>
  <si>
    <t xml:space="preserve">2214</t>
  </si>
  <si>
    <t xml:space="preserve">C13038894</t>
  </si>
  <si>
    <t xml:space="preserve">https://condos.ca/toronto/nobu-residences-15-mercer-st-35-mercer-st/unit-2214-C13038894</t>
  </si>
  <si>
    <t xml:space="preserve">condos.ca registered area 639 sqft* (source Calculated), in MLS bracket 600-699; leased 2026-05-20.</t>
  </si>
  <si>
    <t xml:space="preserve">C13111678</t>
  </si>
  <si>
    <t xml:space="preserve">https://condos.ca/toronto/nobu-residences-15-mercer-st-35-mercer-st/unit-801-C13111678</t>
  </si>
  <si>
    <t xml:space="preserve">condos.ca registered area 701 sqft* (source Calculated), in MLS bracket 700-799; leased 2026-05-19.</t>
  </si>
  <si>
    <t xml:space="preserve">C13065856</t>
  </si>
  <si>
    <t xml:space="preserve">https://condos.ca/toronto/nobu-residences-15-mercer-st-35-mercer-st/unit-2602-C13065856</t>
  </si>
  <si>
    <t xml:space="preserve">condos.ca area 776 sqft*; calc SF 776 outside MLS bracket 800-899 — flagged; leased 2026-05-08.</t>
  </si>
  <si>
    <t xml:space="preserve">2803</t>
  </si>
  <si>
    <t xml:space="preserve">2026-05-07</t>
  </si>
  <si>
    <t xml:space="preserve">C13057612</t>
  </si>
  <si>
    <t xml:space="preserve">https://condos.ca/toronto/nobu-residences-15-mercer-st-35-mercer-st/unit-2803-C13057612</t>
  </si>
  <si>
    <t xml:space="preserve">condos.ca registered area 427 sqft* (source Calculated), in MLS bracket 0-499; leased 2026-05-07.</t>
  </si>
  <si>
    <t xml:space="preserve">2703</t>
  </si>
  <si>
    <t xml:space="preserve">C12929848</t>
  </si>
  <si>
    <t xml:space="preserve">https://condos.ca/toronto/nobu-residences-15-mercer-st-35-mercer-st/unit-2703-C12929848</t>
  </si>
  <si>
    <t xml:space="preserve">condos.ca registered area 527 sqft* (source Calculated), in MLS bracket 500-599; leased 2026-05-06.</t>
  </si>
  <si>
    <t xml:space="preserve">1915</t>
  </si>
  <si>
    <t xml:space="preserve">C12942180</t>
  </si>
  <si>
    <t xml:space="preserve">https://condos.ca/toronto/nobu-residences-15-mercer-st-35-mercer-st/unit-1915-C12942180</t>
  </si>
  <si>
    <t xml:space="preserve">condos.ca registered area 510 sqft* (source Calculated), in MLS bracket 500-599; leased 2026-05-04.</t>
  </si>
  <si>
    <t xml:space="preserve">2303</t>
  </si>
  <si>
    <t xml:space="preserve">2026-05-01</t>
  </si>
  <si>
    <t xml:space="preserve">C12910024</t>
  </si>
  <si>
    <t xml:space="preserve">https://condos.ca/toronto/nobu-residences-15-mercer-st-35-mercer-st/unit-2303-C12910024</t>
  </si>
  <si>
    <t xml:space="preserve">condos.ca area 527 sqft*; calc SF 527 outside MLS bracket 0-499 — flagged; leased 2026-05-01.</t>
  </si>
  <si>
    <t xml:space="preserve">2026-04-29</t>
  </si>
  <si>
    <t xml:space="preserve">C13044254</t>
  </si>
  <si>
    <t xml:space="preserve">https://condos.ca/toronto/nobu-residences-15-mercer-st-35-mercer-st/unit-2711-C13044254</t>
  </si>
  <si>
    <t xml:space="preserve">condos.ca registered area 652 sqft* (source Calculated), in MLS bracket 600-699; leased 2026-04-29.</t>
  </si>
  <si>
    <t xml:space="preserve">706</t>
  </si>
  <si>
    <t xml:space="preserve">2026-04-28</t>
  </si>
  <si>
    <t xml:space="preserve">C13028084</t>
  </si>
  <si>
    <t xml:space="preserve">https://condos.ca/toronto/nobu-residences-15-mercer-st-35-mercer-st/unit-706-C13028084</t>
  </si>
  <si>
    <t xml:space="preserve">condos.ca registered area 723 sqft* (source Calculated), in MLS bracket 700-799; leased 2026-04-28.</t>
  </si>
  <si>
    <t xml:space="preserve">514</t>
  </si>
  <si>
    <t xml:space="preserve">C12948666</t>
  </si>
  <si>
    <t xml:space="preserve">https://condos.ca/toronto/nobu-residences-15-mercer-st-35-mercer-st/unit-514-C12948666</t>
  </si>
  <si>
    <t xml:space="preserve">condos.ca registered area 599 sqft* (source Calculated), in MLS bracket 500-599; leased 2026-04-27.</t>
  </si>
  <si>
    <t xml:space="preserve">3705</t>
  </si>
  <si>
    <t xml:space="preserve">2026-04-25</t>
  </si>
  <si>
    <t xml:space="preserve">C12943288</t>
  </si>
  <si>
    <t xml:space="preserve">https://condos.ca/toronto/nobu-residences-15-mercer-st-35-mercer-st/unit-3705-C12943288</t>
  </si>
  <si>
    <t xml:space="preserve">condos.ca registered area 1015 sqft* (source Calculated), in MLS bracket 1000-1199; leased 2026-04-25.</t>
  </si>
  <si>
    <t xml:space="preserve">2116</t>
  </si>
  <si>
    <t xml:space="preserve">C13018262</t>
  </si>
  <si>
    <t xml:space="preserve">https://condos.ca/toronto/nobu-residences-15-mercer-st-35-mercer-st/unit-2116-C13018262</t>
  </si>
  <si>
    <t xml:space="preserve">condos.ca area 701 sqft*; calc SF 701 outside MLS bracket 600-699 — flagged; leased 2026-04-23.</t>
  </si>
  <si>
    <t xml:space="preserve">710</t>
  </si>
  <si>
    <t xml:space="preserve">C12837460</t>
  </si>
  <si>
    <t xml:space="preserve">https://condos.ca/toronto/nobu-residences-15-mercer-st-35-mercer-st/unit-710-C12837460</t>
  </si>
  <si>
    <t xml:space="preserve">condos.ca registered area 652 sqft* (source Calculated), in MLS bracket 600-699; leased 2026-04-23.</t>
  </si>
  <si>
    <t xml:space="preserve">3813</t>
  </si>
  <si>
    <t xml:space="preserve">2026-04-22</t>
  </si>
  <si>
    <t xml:space="preserve">C12984906</t>
  </si>
  <si>
    <t xml:space="preserve">https://condos.ca/toronto/nobu-residences-15-mercer-st-35-mercer-st/unit-3813-C12984906</t>
  </si>
  <si>
    <t xml:space="preserve">condos.ca registered area 417 sqft* (source Calculated), in MLS bracket 0-499; leased 2026-04-22.</t>
  </si>
  <si>
    <t xml:space="preserve">2614</t>
  </si>
  <si>
    <t xml:space="preserve">2026-04-21</t>
  </si>
  <si>
    <t xml:space="preserve">C12955870</t>
  </si>
  <si>
    <t xml:space="preserve">https://condos.ca/toronto/nobu-residences-15-mercer-st-35-mercer-st/unit-2614-C12955870</t>
  </si>
  <si>
    <t xml:space="preserve">condos.ca area 639 sqft*; furnished/short-term lease; leased 2026-04-21.</t>
  </si>
  <si>
    <t xml:space="preserve">722</t>
  </si>
  <si>
    <t xml:space="preserve">2026-04-20</t>
  </si>
  <si>
    <t xml:space="preserve">C13013566</t>
  </si>
  <si>
    <t xml:space="preserve">https://condos.ca/toronto/nobu-residences-15-mercer-st-35-mercer-st/unit-722-C13013566</t>
  </si>
  <si>
    <t xml:space="preserve">condos.ca registered area 890 sqft* (source Calculated), in MLS bracket 800-899; leased 2026-04-20.</t>
  </si>
  <si>
    <t xml:space="preserve">3016</t>
  </si>
  <si>
    <t xml:space="preserve">C12935756</t>
  </si>
  <si>
    <t xml:space="preserve">https://condos.ca/toronto/nobu-residences-15-mercer-st-35-mercer-st/unit-3016-C12935756</t>
  </si>
  <si>
    <t xml:space="preserve">condos.ca area 776 sqft*; calc SF 776 outside MLS bracket 800-899 — flagged; leased 2026-04-20.</t>
  </si>
  <si>
    <t xml:space="preserve">C12957914</t>
  </si>
  <si>
    <t xml:space="preserve">https://condos.ca/toronto/nobu-residences-15-mercer-st-35-mercer-st/unit-2515-C12957914</t>
  </si>
  <si>
    <t xml:space="preserve">condos.ca registered area 417 sqft* (source Calculated), in MLS bracket 0-499; leased 2026-04-19.</t>
  </si>
  <si>
    <t xml:space="preserve">2005</t>
  </si>
  <si>
    <t xml:space="preserve">2026-04-17</t>
  </si>
  <si>
    <t xml:space="preserve">C12987464</t>
  </si>
  <si>
    <t xml:space="preserve">https://condos.ca/toronto/nobu-residences-15-mercer-st-35-mercer-st/unit-2005-C12987464</t>
  </si>
  <si>
    <t xml:space="preserve">condos.ca registered area 719 sqft* (source Calculated), in MLS bracket 700-799; leased 2026-04-17.</t>
  </si>
  <si>
    <t xml:space="preserve">3913</t>
  </si>
  <si>
    <t xml:space="preserve">C12970842</t>
  </si>
  <si>
    <t xml:space="preserve">https://condos.ca/toronto/nobu-residences-15-mercer-st-35-mercer-st/unit-3913-C12970842</t>
  </si>
  <si>
    <t xml:space="preserve">condos.ca registered area 417 sqft* (source Calculated), in MLS bracket 0-499; leased 2026-04-15.</t>
  </si>
  <si>
    <t xml:space="preserve">2507</t>
  </si>
  <si>
    <t xml:space="preserve">2026-04-14</t>
  </si>
  <si>
    <t xml:space="preserve">C12941484</t>
  </si>
  <si>
    <t xml:space="preserve">https://condos.ca/toronto/nobu-residences-15-mercer-st-35-mercer-st/unit-2507-C12941484</t>
  </si>
  <si>
    <t xml:space="preserve">condos.ca registered area 652 sqft* (source Calculated), in MLS bracket 600-699; leased 2026-04-14.</t>
  </si>
  <si>
    <t xml:space="preserve">523</t>
  </si>
  <si>
    <t xml:space="preserve">C12955556</t>
  </si>
  <si>
    <t xml:space="preserve">https://condos.ca/toronto/nobu-residences-15-mercer-st-35-mercer-st/unit-523-C12955556</t>
  </si>
  <si>
    <t xml:space="preserve">condos.ca registered area 905 sqft* (source Calculated), in MLS bracket 900-999; leased 2026-04-13.</t>
  </si>
  <si>
    <t xml:space="preserve">4014</t>
  </si>
  <si>
    <t xml:space="preserve">2026-04-10</t>
  </si>
  <si>
    <t xml:space="preserve">C12967524</t>
  </si>
  <si>
    <t xml:space="preserve">https://condos.ca/toronto/nobu-residences-15-mercer-st-35-mercer-st/unit-4014-C12967524</t>
  </si>
  <si>
    <t xml:space="preserve">condos.ca area 667 sqft*; furnished/short-term lease; leased 2026-04-10.</t>
  </si>
  <si>
    <t xml:space="preserve">2026-04-09</t>
  </si>
  <si>
    <t xml:space="preserve">C12726720</t>
  </si>
  <si>
    <t xml:space="preserve">https://condos.ca/toronto/nobu-residences-15-mercer-st-35-mercer-st/unit-2212-C12726720</t>
  </si>
  <si>
    <t xml:space="preserve">condos.ca area 799 sqft*; calc SF 799 outside MLS bracket 800-899 — flagged; leased 2026-04-09.</t>
  </si>
  <si>
    <t xml:space="preserve">2916</t>
  </si>
  <si>
    <t xml:space="preserve">2026-04-06</t>
  </si>
  <si>
    <t xml:space="preserve">C12934466</t>
  </si>
  <si>
    <t xml:space="preserve">https://condos.ca/toronto/nobu-residences-15-mercer-st-35-mercer-st/unit-2916-C12934466</t>
  </si>
  <si>
    <t xml:space="preserve">condos.ca area 776 sqft*; calc SF 776 outside MLS bracket 800-899 — flagged; leased 2026-04-06.</t>
  </si>
  <si>
    <t xml:space="preserve">3511</t>
  </si>
  <si>
    <t xml:space="preserve">656-656 sqft</t>
  </si>
  <si>
    <t xml:space="preserve">2026-04-03</t>
  </si>
  <si>
    <t xml:space="preserve">40806785</t>
  </si>
  <si>
    <t xml:space="preserve">https://condos.ca/toronto/nobu-residences-15-mercer-st-35-mercer-st/unit-3511-40806785</t>
  </si>
  <si>
    <t xml:space="preserve">condos.ca area 652 sqft*; calc SF 652 outside MLS bracket 656-656 — flagged; leased 2026-04-03.</t>
  </si>
  <si>
    <t xml:space="preserve">C12906324</t>
  </si>
  <si>
    <t xml:space="preserve">https://condos.ca/toronto/nobu-residences-15-mercer-st-35-mercer-st/unit-517-C12906324</t>
  </si>
  <si>
    <t xml:space="preserve">condos.ca area 595 sqft*; calc SF 595 outside MLS bracket 600-699 — flagged; leased 2026-03-30.</t>
  </si>
  <si>
    <t xml:space="preserve">319</t>
  </si>
  <si>
    <t xml:space="preserve">C12703874</t>
  </si>
  <si>
    <t xml:space="preserve">https://condos.ca/toronto/nobu-residences-15-mercer-st-35-mercer-st/unit-319-C12703874</t>
  </si>
  <si>
    <t xml:space="preserve">condos.ca registered area 594 sqft* (source Calculated), in MLS bracket 500-599; leased 2026-03-28.</t>
  </si>
  <si>
    <t xml:space="preserve">3908</t>
  </si>
  <si>
    <t xml:space="preserve">C12909770</t>
  </si>
  <si>
    <t xml:space="preserve">https://condos.ca/toronto/nobu-residences-15-mercer-st-35-mercer-st/unit-3908-C12909770</t>
  </si>
  <si>
    <t xml:space="preserve">condos.ca registered area 862 sqft* (source Calculated), in MLS bracket 800-899; leased 2026-03-27.</t>
  </si>
  <si>
    <t xml:space="preserve">2026-03-26</t>
  </si>
  <si>
    <t xml:space="preserve">C12898606</t>
  </si>
  <si>
    <t xml:space="preserve">https://condos.ca/toronto/nobu-residences-15-mercer-st-35-mercer-st/unit-2206-C12898606</t>
  </si>
  <si>
    <t xml:space="preserve">condos.ca registered area 701 sqft* (source Calculated), in MLS bracket 700-799; leased 2026-03-26.</t>
  </si>
  <si>
    <t xml:space="preserve">1404</t>
  </si>
  <si>
    <t xml:space="preserve">2026-03-24</t>
  </si>
  <si>
    <t xml:space="preserve">C12860866</t>
  </si>
  <si>
    <t xml:space="preserve">https://condos.ca/toronto/nobu-residences-15-mercer-st-35-mercer-st/unit-1404-C12860866</t>
  </si>
  <si>
    <t xml:space="preserve">condos.ca area 814 sqft*; calc SF 814 outside MLS bracket 700-799 — flagged; leased 2026-03-24.</t>
  </si>
  <si>
    <t xml:space="preserve">2104</t>
  </si>
  <si>
    <t xml:space="preserve">C12855778</t>
  </si>
  <si>
    <t xml:space="preserve">https://condos.ca/toronto/nobu-residences-15-mercer-st-35-mercer-st/unit-2104-C12855778</t>
  </si>
  <si>
    <t xml:space="preserve">condos.ca area 929 sqft*; furnished/short-term lease; leased 2026-03-24.</t>
  </si>
  <si>
    <t xml:space="preserve">C12710788</t>
  </si>
  <si>
    <t xml:space="preserve">https://condos.ca/toronto/nobu-residences-15-mercer-st-35-mercer-st/unit-1705-C12710788</t>
  </si>
  <si>
    <t xml:space="preserve">condos.ca registered area 719 sqft* (source Calculated), in MLS bracket 700-799; leased 2026-03-24.</t>
  </si>
  <si>
    <t xml:space="preserve">3406</t>
  </si>
  <si>
    <t xml:space="preserve">C12805406</t>
  </si>
  <si>
    <t xml:space="preserve">https://condos.ca/toronto/nobu-residences-15-mercer-st-35-mercer-st/unit-3406-C12805406</t>
  </si>
  <si>
    <t xml:space="preserve">condos.ca registered area 799 sqft* (source Calculated), in MLS bracket 700-799; leased 2026-03-20.</t>
  </si>
  <si>
    <t xml:space="preserve">512</t>
  </si>
  <si>
    <t xml:space="preserve">2026-03-19</t>
  </si>
  <si>
    <t xml:space="preserve">C12724014</t>
  </si>
  <si>
    <t xml:space="preserve">https://condos.ca/toronto/nobu-residences-15-mercer-st-35-mercer-st/unit-512-C12724014</t>
  </si>
  <si>
    <t xml:space="preserve">condos.ca registered area 827 sqft* (source Calculated), in MLS bracket 800-899; leased 2026-03-19.</t>
  </si>
  <si>
    <t xml:space="preserve">3105</t>
  </si>
  <si>
    <t xml:space="preserve">2026-03-15</t>
  </si>
  <si>
    <t xml:space="preserve">C12842434</t>
  </si>
  <si>
    <t xml:space="preserve">https://condos.ca/toronto/nobu-residences-15-mercer-st-35-mercer-st/unit-3105-C12842434</t>
  </si>
  <si>
    <t xml:space="preserve">condos.ca registered area 719 sqft* (source Calculated), in MLS bracket 700-799; leased 2026-03-15.</t>
  </si>
  <si>
    <t xml:space="preserve">3305</t>
  </si>
  <si>
    <t xml:space="preserve">C12863102</t>
  </si>
  <si>
    <t xml:space="preserve">https://condos.ca/toronto/nobu-residences-15-mercer-st-35-mercer-st/unit-3305-C12863102</t>
  </si>
  <si>
    <t xml:space="preserve">condos.ca registered area 719 sqft* (source Calculated), in MLS bracket 700-799; leased 2026-03-14.</t>
  </si>
  <si>
    <t xml:space="preserve">3013</t>
  </si>
  <si>
    <t xml:space="preserve">2026-03-12</t>
  </si>
  <si>
    <t xml:space="preserve">C12838578</t>
  </si>
  <si>
    <t xml:space="preserve">https://condos.ca/toronto/nobu-residences-15-mercer-st-35-mercer-st/unit-3013-C12838578</t>
  </si>
  <si>
    <t xml:space="preserve">condos.ca registered area 692 sqft* (source Calculated), in MLS bracket 600-699; leased 2026-03-12.</t>
  </si>
  <si>
    <t xml:space="preserve">4010</t>
  </si>
  <si>
    <t xml:space="preserve">C12833206</t>
  </si>
  <si>
    <t xml:space="preserve">https://condos.ca/toronto/nobu-residences-15-mercer-st-35-mercer-st/unit-4010-C12833206</t>
  </si>
  <si>
    <t xml:space="preserve">condos.ca area 799 sqft*; calc SF 799 outside MLS bracket 800-899 — flagged; leased 2026-03-09.</t>
  </si>
  <si>
    <t xml:space="preserve">2026-03-05</t>
  </si>
  <si>
    <t xml:space="preserve">C12814990</t>
  </si>
  <si>
    <t xml:space="preserve">https://condos.ca/toronto/nobu-residences-15-mercer-st-35-mercer-st/unit-1909-C12814990</t>
  </si>
  <si>
    <t xml:space="preserve">condos.ca registered area 748 sqft* (source Calculated), in MLS bracket 700-799; leased 2026-03-05.</t>
  </si>
  <si>
    <t xml:space="preserve">C12763634</t>
  </si>
  <si>
    <t xml:space="preserve">https://condos.ca/toronto/nobu-residences-15-mercer-st-35-mercer-st/unit-4101-C12763634</t>
  </si>
  <si>
    <t xml:space="preserve">condos.ca area 864 sqft*; furnished/short-term lease; leased 2026-03-01.</t>
  </si>
  <si>
    <t xml:space="preserve">822</t>
  </si>
  <si>
    <t xml:space="preserve">C12793262</t>
  </si>
  <si>
    <t xml:space="preserve">https://condos.ca/toronto/nobu-residences-15-mercer-st-35-mercer-st/unit-822-C12793262</t>
  </si>
  <si>
    <t xml:space="preserve">condos.ca registered area 890 sqft* (source Calculated), in MLS bracket 800-899; leased 2026-02-28.</t>
  </si>
  <si>
    <t xml:space="preserve">2026-02-25</t>
  </si>
  <si>
    <t xml:space="preserve">C12753348</t>
  </si>
  <si>
    <t xml:space="preserve">https://condos.ca/toronto/nobu-residences-15-mercer-st-35-mercer-st/unit-2505-C12753348</t>
  </si>
  <si>
    <t xml:space="preserve">condos.ca area 719 sqft*; calc SF 719 outside MLS bracket 600-699 — flagged; leased 2026-02-25.</t>
  </si>
  <si>
    <t xml:space="preserve">2026-02-20</t>
  </si>
  <si>
    <t xml:space="preserve">C12796180</t>
  </si>
  <si>
    <t xml:space="preserve">https://condos.ca/toronto/nobu-residences-15-mercer-st-35-mercer-st/unit-2112-C12796180</t>
  </si>
  <si>
    <t xml:space="preserve">condos.ca registered area 799 sqft* (source Calculated), in MLS bracket 700-799; leased 2026-02-20.</t>
  </si>
  <si>
    <t xml:space="preserve">2305</t>
  </si>
  <si>
    <t xml:space="preserve">C12610220</t>
  </si>
  <si>
    <t xml:space="preserve">https://condos.ca/toronto/nobu-residences-15-mercer-st-35-mercer-st/unit-2305-C12610220</t>
  </si>
  <si>
    <t xml:space="preserve">condos.ca registered area 719 sqft* (source Calculated), in MLS bracket 700-799; leased 2026-02-20.</t>
  </si>
  <si>
    <t xml:space="preserve">1114</t>
  </si>
  <si>
    <t xml:space="preserve">C12766538</t>
  </si>
  <si>
    <t xml:space="preserve">https://condos.ca/toronto/nobu-residences-15-mercer-st-35-mercer-st/unit-1114-C12766538</t>
  </si>
  <si>
    <t xml:space="preserve">condos.ca registered area 756 sqft* (source Calculated), in MLS bracket 700-799; leased 2026-02-18.</t>
  </si>
  <si>
    <t xml:space="preserve">2508</t>
  </si>
  <si>
    <t xml:space="preserve">2026-02-14</t>
  </si>
  <si>
    <t xml:space="preserve">C12773588</t>
  </si>
  <si>
    <t xml:space="preserve">https://condos.ca/toronto/nobu-residences-15-mercer-st-35-mercer-st/unit-2508-C12773588</t>
  </si>
  <si>
    <t xml:space="preserve">condos.ca registered area 862 sqft* (source Calculated), in MLS bracket 800-899; leased 2026-02-14.</t>
  </si>
  <si>
    <t xml:space="preserve">2026-02-10</t>
  </si>
  <si>
    <t xml:space="preserve">C12754512</t>
  </si>
  <si>
    <t xml:space="preserve">https://condos.ca/toronto/nobu-residences-15-mercer-st-35-mercer-st/unit-2815-C12754512</t>
  </si>
  <si>
    <t xml:space="preserve">condos.ca registered area 520 sqft* (source Calculated), in MLS bracket 500-599; leased 2026-02-10.</t>
  </si>
  <si>
    <t xml:space="preserve">2411</t>
  </si>
  <si>
    <t xml:space="preserve">2026-02-09</t>
  </si>
  <si>
    <t xml:space="preserve">C12753836</t>
  </si>
  <si>
    <t xml:space="preserve">https://condos.ca/toronto/nobu-residences-15-mercer-st-35-mercer-st/unit-2411-C12753836</t>
  </si>
  <si>
    <t xml:space="preserve">condos.ca registered area 652 sqft* (source Calculated), in MLS bracket 600-699; leased 2026-02-09.</t>
  </si>
  <si>
    <t xml:space="preserve">3713</t>
  </si>
  <si>
    <t xml:space="preserve">C12712842</t>
  </si>
  <si>
    <t xml:space="preserve">https://condos.ca/toronto/nobu-residences-15-mercer-st-35-mercer-st/unit-3713-C12712842</t>
  </si>
  <si>
    <t xml:space="preserve">condos.ca registered area 417 sqft* (source Calculated), in MLS bracket 0-499; leased 2026-02-09.</t>
  </si>
  <si>
    <t xml:space="preserve">2026-02-07</t>
  </si>
  <si>
    <t xml:space="preserve">C12681706</t>
  </si>
  <si>
    <t xml:space="preserve">https://condos.ca/toronto/nobu-residences-15-mercer-st-35-mercer-st/unit-605-C12681706</t>
  </si>
  <si>
    <t xml:space="preserve">condos.ca registered area 706 sqft* (source Calculated), in MLS bracket 700-799; leased 2026-02-07.</t>
  </si>
  <si>
    <t xml:space="preserve">3512</t>
  </si>
  <si>
    <t xml:space="preserve">2026-02-06</t>
  </si>
  <si>
    <t xml:space="preserve">C12757820</t>
  </si>
  <si>
    <t xml:space="preserve">https://condos.ca/toronto/nobu-residences-15-mercer-st-35-mercer-st/unit-3512-C12757820</t>
  </si>
  <si>
    <t xml:space="preserve">condos.ca registered area 799 sqft* (source Calculated), in MLS bracket 700-799; leased 2026-02-06.</t>
  </si>
  <si>
    <t xml:space="preserve">1507</t>
  </si>
  <si>
    <t xml:space="preserve">2026-02-04</t>
  </si>
  <si>
    <t xml:space="preserve">C12746654</t>
  </si>
  <si>
    <t xml:space="preserve">https://condos.ca/toronto/nobu-residences-15-mercer-st-35-mercer-st/unit-1507-C12746654</t>
  </si>
  <si>
    <t xml:space="preserve">condos.ca registered area 652 sqft* (source Calculated), in MLS bracket 600-699; leased 2026-02-04.</t>
  </si>
  <si>
    <t xml:space="preserve">3415</t>
  </si>
  <si>
    <t xml:space="preserve">C12740234</t>
  </si>
  <si>
    <t xml:space="preserve">https://condos.ca/toronto/nobu-residences-15-mercer-st-35-mercer-st/unit-3415-C12740234</t>
  </si>
  <si>
    <t xml:space="preserve">condos.ca registered area 520 sqft* (source Calculated), in MLS bracket 500-599; leased 2026-02-04.</t>
  </si>
  <si>
    <t xml:space="preserve">3608</t>
  </si>
  <si>
    <t xml:space="preserve">C12733830</t>
  </si>
  <si>
    <t xml:space="preserve">https://condos.ca/toronto/nobu-residences-15-mercer-st-35-mercer-st/unit-3608-C12733830</t>
  </si>
  <si>
    <t xml:space="preserve">condos.ca registered area 862 sqft* (source Calculated), in MLS bracket 800-899; leased 2026-02-04.</t>
  </si>
  <si>
    <t xml:space="preserve">C12565732</t>
  </si>
  <si>
    <t xml:space="preserve">https://condos.ca/toronto/nobu-residences-15-mercer-st-35-mercer-st/unit-806-C12565732</t>
  </si>
  <si>
    <t xml:space="preserve">condos.ca registered area 723 sqft* (source Calculated), in MLS bracket 700-799; leased 2026-02-02.</t>
  </si>
  <si>
    <t xml:space="preserve">3314</t>
  </si>
  <si>
    <t xml:space="preserve">2026-02-01</t>
  </si>
  <si>
    <t xml:space="preserve">C12710324</t>
  </si>
  <si>
    <t xml:space="preserve">https://condos.ca/toronto/nobu-residences-15-mercer-st-35-mercer-st/unit-3314-C12710324</t>
  </si>
  <si>
    <t xml:space="preserve">condos.ca registered area 756 sqft* (source Calculated), in MLS bracket 700-799; leased 2026-02-01.</t>
  </si>
  <si>
    <t xml:space="preserve">3412</t>
  </si>
  <si>
    <t xml:space="preserve">2026-01-30</t>
  </si>
  <si>
    <t xml:space="preserve">C12391651</t>
  </si>
  <si>
    <t xml:space="preserve">https://condos.ca/toronto/nobu-residences-15-mercer-st-35-mercer-st/unit-3412-C12391651</t>
  </si>
  <si>
    <t xml:space="preserve">condos.ca area 799 sqft*; furnished/short-term lease; leased 2026-01-30.</t>
  </si>
  <si>
    <t xml:space="preserve">3513</t>
  </si>
  <si>
    <t xml:space="preserve">C12727280</t>
  </si>
  <si>
    <t xml:space="preserve">https://condos.ca/toronto/nobu-residences-15-mercer-st-35-mercer-st/unit-3513-C12727280</t>
  </si>
  <si>
    <t xml:space="preserve">condos.ca registered area 692 sqft* (source Calculated), in MLS bracket 600-699; leased 2026-01-29.</t>
  </si>
  <si>
    <t xml:space="preserve">4405</t>
  </si>
  <si>
    <t xml:space="preserve">2026-01-27</t>
  </si>
  <si>
    <t xml:space="preserve">C12726744</t>
  </si>
  <si>
    <t xml:space="preserve">https://condos.ca/toronto/nobu-residences-15-mercer-st-35-mercer-st/unit-4405-C12726744</t>
  </si>
  <si>
    <t xml:space="preserve">condos.ca registered area 1367 sqft* (source Calculated), in MLS bracket 1200-1399; leased 2026-01-27.</t>
  </si>
  <si>
    <t xml:space="preserve">810</t>
  </si>
  <si>
    <t xml:space="preserve">2026-01-26</t>
  </si>
  <si>
    <t xml:space="preserve">C12691630</t>
  </si>
  <si>
    <t xml:space="preserve">https://condos.ca/toronto/nobu-residences-15-mercer-st-35-mercer-st/unit-810-C12691630</t>
  </si>
  <si>
    <t xml:space="preserve">condos.ca area 652 sqft*; furnished/short-term lease; leased 2026-01-26.</t>
  </si>
  <si>
    <t xml:space="preserve">2314</t>
  </si>
  <si>
    <t xml:space="preserve">EW</t>
  </si>
  <si>
    <t xml:space="preserve">2026-01-17</t>
  </si>
  <si>
    <t xml:space="preserve">C12685358</t>
  </si>
  <si>
    <t xml:space="preserve">https://condos.ca/toronto/nobu-residences-15-mercer-st-35-mercer-st/unit-2314-C12685358</t>
  </si>
  <si>
    <t xml:space="preserve">condos.ca area 639 sqft*; calc SF 639 outside MLS bracket 0-499 — flagged; leased 2026-01-17.</t>
  </si>
  <si>
    <t xml:space="preserve">1003</t>
  </si>
  <si>
    <t xml:space="preserve">C12643464</t>
  </si>
  <si>
    <t xml:space="preserve">https://condos.ca/toronto/nobu-residences-15-mercer-st-35-mercer-st/unit-1003-C12643464</t>
  </si>
  <si>
    <t xml:space="preserve">condos.ca area 652 sqft*; furnished/short-term lease; leased 2026-01-17.</t>
  </si>
  <si>
    <t xml:space="preserve">1312</t>
  </si>
  <si>
    <t xml:space="preserve">C12657316</t>
  </si>
  <si>
    <t xml:space="preserve">https://condos.ca/toronto/nobu-residences-15-mercer-st-35-mercer-st/unit-1312-C12657316</t>
  </si>
  <si>
    <t xml:space="preserve">condos.ca area 799 sqft*; calc SF 799 outside MLS bracket 800-899 — flagged; furnished/short-term lease; leased 2026-01-16.</t>
  </si>
  <si>
    <t xml:space="preserve">1315</t>
  </si>
  <si>
    <t xml:space="preserve">2026-01-15</t>
  </si>
  <si>
    <t xml:space="preserve">C12670226</t>
  </si>
  <si>
    <t xml:space="preserve">https://condos.ca/toronto/nobu-residences-15-mercer-st-35-mercer-st/unit-1315-C12670226</t>
  </si>
  <si>
    <t xml:space="preserve">condos.ca registered area 510 sqft* (source Calculated), in MLS bracket 500-599; leased 2026-01-15.</t>
  </si>
  <si>
    <t xml:space="preserve">3510</t>
  </si>
  <si>
    <t xml:space="preserve">C12662870</t>
  </si>
  <si>
    <t xml:space="preserve">https://condos.ca/toronto/nobu-residences-15-mercer-st-35-mercer-st/unit-3510-C12662870</t>
  </si>
  <si>
    <t xml:space="preserve">condos.ca registered area 862 sqft* (source Calculated), in MLS bracket 800-899; leased 2026-01-13.</t>
  </si>
  <si>
    <t xml:space="preserve">1512</t>
  </si>
  <si>
    <t xml:space="preserve">2026-01-05</t>
  </si>
  <si>
    <t xml:space="preserve">C12628784</t>
  </si>
  <si>
    <t xml:space="preserve">https://condos.ca/toronto/nobu-residences-15-mercer-st-35-mercer-st/unit-1512-C12628784</t>
  </si>
  <si>
    <t xml:space="preserve">condos.ca registered area 799 sqft* (source Calculated), in MLS bracket 700-799; leased 2026-01-05.</t>
  </si>
  <si>
    <t xml:space="preserve">1708</t>
  </si>
  <si>
    <t xml:space="preserve">C12638164</t>
  </si>
  <si>
    <t xml:space="preserve">https://condos.ca/toronto/nobu-residences-15-mercer-st-35-mercer-st/unit-1708-C12638164</t>
  </si>
  <si>
    <t xml:space="preserve">condos.ca registered area 862 sqft* (source Calculated), in MLS bracket 800-899; leased 2025-12-26.</t>
  </si>
  <si>
    <t xml:space="preserve">419</t>
  </si>
  <si>
    <t xml:space="preserve">2025-12-21</t>
  </si>
  <si>
    <t xml:space="preserve">C12502786</t>
  </si>
  <si>
    <t xml:space="preserve">https://condos.ca/toronto/nobu-residences-15-mercer-st-35-mercer-st/unit-419-C12502786</t>
  </si>
  <si>
    <t xml:space="preserve">condos.ca area 594 sqft*; furnished/short-term lease; leased 2025-12-21.</t>
  </si>
  <si>
    <t xml:space="preserve">3804</t>
  </si>
  <si>
    <t xml:space="preserve">C12448872</t>
  </si>
  <si>
    <t xml:space="preserve">https://condos.ca/toronto/nobu-residences-15-mercer-st-35-mercer-st/unit-3804-C12448872</t>
  </si>
  <si>
    <t xml:space="preserve">condos.ca registered area 1011 sqft* (source Calculated), in MLS bracket 1000-1199; leased 2025-12-17.</t>
  </si>
  <si>
    <t xml:space="preserve">C12605604</t>
  </si>
  <si>
    <t xml:space="preserve">https://condos.ca/toronto/nobu-residences-15-mercer-st-35-mercer-st/unit-511-C12605604</t>
  </si>
  <si>
    <t xml:space="preserve">condos.ca registered area 676 sqft* (source Calculated), in MLS bracket 600-699; leased 2025-12-16.</t>
  </si>
  <si>
    <t xml:space="preserve">1910</t>
  </si>
  <si>
    <t xml:space="preserve">2025-12-11</t>
  </si>
  <si>
    <t xml:space="preserve">C12494504</t>
  </si>
  <si>
    <t xml:space="preserve">https://condos.ca/toronto/nobu-residences-15-mercer-st-35-mercer-st/unit-1910-C12494504</t>
  </si>
  <si>
    <t xml:space="preserve">condos.ca registered area 862 sqft* (source Calculated), in MLS bracket 800-899; leased 2025-12-11.</t>
  </si>
  <si>
    <t xml:space="preserve">614</t>
  </si>
  <si>
    <t xml:space="preserve">C12394392</t>
  </si>
  <si>
    <t xml:space="preserve">https://condos.ca/toronto/nobu-residences-15-mercer-st-35-mercer-st/unit-614-C12394392</t>
  </si>
  <si>
    <t xml:space="preserve">condos.ca registered area 707 sqft* (source Calculated), in MLS bracket 700-799; leased 2025-12-10.</t>
  </si>
  <si>
    <t xml:space="preserve">1614</t>
  </si>
  <si>
    <t xml:space="preserve">2025-11-28</t>
  </si>
  <si>
    <t xml:space="preserve">C12558376</t>
  </si>
  <si>
    <t xml:space="preserve">https://condos.ca/toronto/nobu-residences-15-mercer-st-35-mercer-st/unit-1614-C12558376</t>
  </si>
  <si>
    <t xml:space="preserve">condos.ca area 756 sqft*; furnished/short-term lease; leased 2025-11-28.</t>
  </si>
  <si>
    <t xml:space="preserve">1002</t>
  </si>
  <si>
    <t xml:space="preserve">2025-11-24</t>
  </si>
  <si>
    <t xml:space="preserve">C12542342</t>
  </si>
  <si>
    <t xml:space="preserve">https://condos.ca/toronto/nobu-residences-15-mercer-st-35-mercer-st/unit-1002-C12542342</t>
  </si>
  <si>
    <t xml:space="preserve">condos.ca registered area 799 sqft* (source Calculated), in MLS bracket 700-799; leased 2025-11-24.</t>
  </si>
  <si>
    <t xml:space="preserve">2109</t>
  </si>
  <si>
    <t xml:space="preserve">2025-11-23</t>
  </si>
  <si>
    <t xml:space="preserve">C12552496</t>
  </si>
  <si>
    <t xml:space="preserve">https://condos.ca/toronto/nobu-residences-15-mercer-st-35-mercer-st/unit-2109-C12552496</t>
  </si>
  <si>
    <t xml:space="preserve">condos.ca registered area 748 sqft* (source Calculated), in MLS bracket 700-799; leased 2025-11-23.</t>
  </si>
  <si>
    <t xml:space="preserve">C12514638</t>
  </si>
  <si>
    <t xml:space="preserve">https://condos.ca/toronto/nobu-residences-15-mercer-st-35-mercer-st/unit-2708-C12514638</t>
  </si>
  <si>
    <t xml:space="preserve">condos.ca registered area 862 sqft* (source Calculated), in MLS bracket 800-899; leased 2025-11-23.</t>
  </si>
  <si>
    <t xml:space="preserve">1001</t>
  </si>
  <si>
    <t xml:space="preserve">2025-11-20</t>
  </si>
  <si>
    <t xml:space="preserve">C12535070</t>
  </si>
  <si>
    <t xml:space="preserve">https://condos.ca/toronto/nobu-residences-15-mercer-st-35-mercer-st/unit-1001-C12535070</t>
  </si>
  <si>
    <t xml:space="preserve">condos.ca registered area 648 sqft* (source Calculated), in MLS bracket 600-699; leased 2025-11-20.</t>
  </si>
  <si>
    <t xml:space="preserve">1410</t>
  </si>
  <si>
    <t xml:space="preserve">2025-11-14</t>
  </si>
  <si>
    <t xml:space="preserve">C12399319</t>
  </si>
  <si>
    <t xml:space="preserve">https://condos.ca/toronto/nobu-residences-15-mercer-st-35-mercer-st/unit-1410-C12399319</t>
  </si>
  <si>
    <t xml:space="preserve">condos.ca registered area 862 sqft* (source Calculated), in MLS bracket 800-899; leased 2025-11-14.</t>
  </si>
  <si>
    <t xml:space="preserve">2713</t>
  </si>
  <si>
    <t xml:space="preserve">2025-11-12</t>
  </si>
  <si>
    <t xml:space="preserve">C12433255</t>
  </si>
  <si>
    <t xml:space="preserve">https://condos.ca/toronto/nobu-residences-15-mercer-st-35-mercer-st/unit-2713-C12433255</t>
  </si>
  <si>
    <t xml:space="preserve">condos.ca registered area 692 sqft* (source Calculated), in MLS bracket 600-699; leased 2025-11-12.</t>
  </si>
  <si>
    <t xml:space="preserve">2025-11-11</t>
  </si>
  <si>
    <t xml:space="preserve">C12483680</t>
  </si>
  <si>
    <t xml:space="preserve">https://condos.ca/toronto/nobu-residences-15-mercer-st-35-mercer-st/unit-3303-C12483680</t>
  </si>
  <si>
    <t xml:space="preserve">condos.ca registered area 427 sqft* (source Calculated), in MLS bracket 0-499; leased 2025-11-11.</t>
  </si>
  <si>
    <t xml:space="preserve">2025-11-09</t>
  </si>
  <si>
    <t xml:space="preserve">C12499742</t>
  </si>
  <si>
    <t xml:space="preserve">https://condos.ca/toronto/nobu-residences-15-mercer-st-35-mercer-st/unit-312-C12499742</t>
  </si>
  <si>
    <t xml:space="preserve">condos.ca area 827 sqft*; furnished/short-term lease; leased 2025-11-09.</t>
  </si>
  <si>
    <t xml:space="preserve">1804</t>
  </si>
  <si>
    <t xml:space="preserve">C12506386</t>
  </si>
  <si>
    <t xml:space="preserve">https://condos.ca/toronto/nobu-residences-15-mercer-st-35-mercer-st/unit-1804-C12506386</t>
  </si>
  <si>
    <t xml:space="preserve">condos.ca registered area 814 sqft* (source Calculated), in MLS bracket 800-899; leased 2025-11-07.</t>
  </si>
  <si>
    <t xml:space="preserve">C12500582</t>
  </si>
  <si>
    <t xml:space="preserve">https://condos.ca/toronto/nobu-residences-15-mercer-st-35-mercer-st/unit-3115-C12500582</t>
  </si>
  <si>
    <t xml:space="preserve">condos.ca registered area 520 sqft* (source Calculated), in MLS bracket 500-599; leased 2025-11-06.</t>
  </si>
  <si>
    <t xml:space="preserve">1514</t>
  </si>
  <si>
    <t xml:space="preserve">2025-11-04</t>
  </si>
  <si>
    <t xml:space="preserve">C12499896</t>
  </si>
  <si>
    <t xml:space="preserve">https://condos.ca/toronto/nobu-residences-15-mercer-st-35-mercer-st/unit-1514-C12499896</t>
  </si>
  <si>
    <t xml:space="preserve">condos.ca registered area 756 sqft* (source Calculated), in MLS bracket 700-799; leased 2025-11-04.</t>
  </si>
  <si>
    <t xml:space="preserve">2301</t>
  </si>
  <si>
    <t xml:space="preserve">C12464675</t>
  </si>
  <si>
    <t xml:space="preserve">https://condos.ca/toronto/nobu-residences-15-mercer-st-35-mercer-st/unit-2301-C12464675</t>
  </si>
  <si>
    <t xml:space="preserve">condos.ca area 748 sqft*; furnished/short-term lease; leased 2025-10-29.</t>
  </si>
  <si>
    <t xml:space="preserve">2025-10-16</t>
  </si>
  <si>
    <t xml:space="preserve">C12439847</t>
  </si>
  <si>
    <t xml:space="preserve">https://condos.ca/toronto/nobu-residences-15-mercer-st-35-mercer-st/unit-2312-C12439847</t>
  </si>
  <si>
    <t xml:space="preserve">condos.ca registered area 799 sqft* (source Calculated), in MLS bracket 700-799; leased 2025-10-16.</t>
  </si>
  <si>
    <t xml:space="preserve">2416</t>
  </si>
  <si>
    <t xml:space="preserve">2025-10-14</t>
  </si>
  <si>
    <t xml:space="preserve">C12432555</t>
  </si>
  <si>
    <t xml:space="preserve">https://condos.ca/toronto/nobu-residences-15-mercer-st-35-mercer-st/unit-2416-C12432555</t>
  </si>
  <si>
    <t xml:space="preserve">condos.ca registered area 667 sqft* (source Calculated), in MLS bracket 600-699; leased 2025-10-14.</t>
  </si>
  <si>
    <t xml:space="preserve">708</t>
  </si>
  <si>
    <t xml:space="preserve">C12417194</t>
  </si>
  <si>
    <t xml:space="preserve">https://condos.ca/toronto/nobu-residences-15-mercer-st-35-mercer-st/unit-708-C12417194</t>
  </si>
  <si>
    <t xml:space="preserve">condos.ca registered area 689 sqft* (source Calculated), in MLS bracket 600-699; leased 2025-10-14.</t>
  </si>
  <si>
    <t xml:space="preserve">2025-10-09</t>
  </si>
  <si>
    <t xml:space="preserve">C12341120</t>
  </si>
  <si>
    <t xml:space="preserve">https://condos.ca/toronto/nobu-residences-15-mercer-st-35-mercer-st/unit-3701-C12341120</t>
  </si>
  <si>
    <t xml:space="preserve">condos.ca area 864 sqft*; calc SF 864 outside MLS bracket 1000-1199 — flagged; leased 2025-10-09.</t>
  </si>
  <si>
    <t xml:space="preserve">1501</t>
  </si>
  <si>
    <t xml:space="preserve">2025-10-06</t>
  </si>
  <si>
    <t xml:space="preserve">C12369205</t>
  </si>
  <si>
    <t xml:space="preserve">https://condos.ca/toronto/nobu-residences-15-mercer-st-35-mercer-st/unit-1501-C12369205</t>
  </si>
  <si>
    <t xml:space="preserve">condos.ca area 748 sqft*; furnished/short-term lease; leased 2025-10-06.</t>
  </si>
  <si>
    <t xml:space="preserve">C12396006</t>
  </si>
  <si>
    <t xml:space="preserve">https://condos.ca/toronto/nobu-residences-15-mercer-st-35-mercer-st/unit-806-C12396006</t>
  </si>
  <si>
    <t xml:space="preserve">condos.ca area 723 sqft*; furnished/short-term lease; leased 2025-09-26.</t>
  </si>
  <si>
    <t xml:space="preserve">3611</t>
  </si>
  <si>
    <t xml:space="preserve">2025-09-24</t>
  </si>
  <si>
    <t xml:space="preserve">C12383680</t>
  </si>
  <si>
    <t xml:space="preserve">https://condos.ca/toronto/nobu-residences-15-mercer-st-35-mercer-st/unit-3611-C12383680</t>
  </si>
  <si>
    <t xml:space="preserve">condos.ca registered area 692 sqft* (source Calculated), in MLS bracket 600-699; leased 2025-09-24.</t>
  </si>
  <si>
    <t xml:space="preserve">3304</t>
  </si>
  <si>
    <t xml:space="preserve">2025-09-20</t>
  </si>
  <si>
    <t xml:space="preserve">C12351335</t>
  </si>
  <si>
    <t xml:space="preserve">https://condos.ca/toronto/nobu-residences-15-mercer-st-35-mercer-st/unit-3304-C12351335</t>
  </si>
  <si>
    <t xml:space="preserve">condos.ca registered area 814 sqft* (source Calculated), in MLS bracket 800-899; leased 2025-09-20.</t>
  </si>
  <si>
    <t xml:space="preserve">1212</t>
  </si>
  <si>
    <t xml:space="preserve">2025-09-15</t>
  </si>
  <si>
    <t xml:space="preserve">C12401584</t>
  </si>
  <si>
    <t xml:space="preserve">https://condos.ca/toronto/nobu-residences-15-mercer-st-35-mercer-st/unit-1212-C12401584</t>
  </si>
  <si>
    <t xml:space="preserve">condos.ca area 799 sqft*; calc SF 799 outside MLS bracket 800-899 — flagged; leased 2025-09-15.</t>
  </si>
  <si>
    <t xml:space="preserve">619</t>
  </si>
  <si>
    <t xml:space="preserve">2025-09-13</t>
  </si>
  <si>
    <t xml:space="preserve">C12345404</t>
  </si>
  <si>
    <t xml:space="preserve">https://condos.ca/toronto/nobu-residences-15-mercer-st-35-mercer-st/unit-619-C12345404</t>
  </si>
  <si>
    <t xml:space="preserve">condos.ca registered area 712 sqft* (source Calculated), in MLS bracket 700-799; leased 2025-09-13.</t>
  </si>
  <si>
    <t xml:space="preserve">2102</t>
  </si>
  <si>
    <t xml:space="preserve">2025-09-12</t>
  </si>
  <si>
    <t xml:space="preserve">C12323446</t>
  </si>
  <si>
    <t xml:space="preserve">https://condos.ca/toronto/nobu-residences-15-mercer-st-35-mercer-st/unit-2102-C12323446</t>
  </si>
  <si>
    <t xml:space="preserve">condos.ca area 776 sqft*; furnished/short-term lease; leased 2025-09-12.</t>
  </si>
  <si>
    <t xml:space="preserve">807</t>
  </si>
  <si>
    <t xml:space="preserve">2025-08-28</t>
  </si>
  <si>
    <t xml:space="preserve">C12323716</t>
  </si>
  <si>
    <t xml:space="preserve">https://condos.ca/toronto/nobu-residences-15-mercer-st-35-mercer-st/unit-807-C12323716</t>
  </si>
  <si>
    <t xml:space="preserve">condos.ca registered area 553 sqft* (source Calculated), in MLS bracket 500-599; leased 2025-08-28.</t>
  </si>
  <si>
    <t xml:space="preserve">3102</t>
  </si>
  <si>
    <t xml:space="preserve">2025-08-26</t>
  </si>
  <si>
    <t xml:space="preserve">C12360592</t>
  </si>
  <si>
    <t xml:space="preserve">https://condos.ca/toronto/nobu-residences-15-mercer-st-35-mercer-st/unit-3102-C12360592</t>
  </si>
  <si>
    <t xml:space="preserve">condos.ca registered area 667 sqft* (source Calculated), in MLS bracket 600-699; leased 2025-08-26.</t>
  </si>
  <si>
    <t xml:space="preserve">908</t>
  </si>
  <si>
    <t xml:space="preserve">C12336585</t>
  </si>
  <si>
    <t xml:space="preserve">https://condos.ca/toronto/nobu-residences-15-mercer-st-35-mercer-st/unit-908-C12336585</t>
  </si>
  <si>
    <t xml:space="preserve">condos.ca area 652 sqft*; calc SF 652 outside MLS bracket 700-799 — flagged; leased 2025-08-23.</t>
  </si>
  <si>
    <t xml:space="preserve">C12313098</t>
  </si>
  <si>
    <t xml:space="preserve">https://condos.ca/toronto/nobu-residences-15-mercer-st-35-mercer-st/unit-1103-C12313098</t>
  </si>
  <si>
    <t xml:space="preserve">condos.ca registered area 416 sqft* (source Calculated), in MLS bracket 0-499; leased 2025-08-23.</t>
  </si>
  <si>
    <t xml:space="preserve">418</t>
  </si>
  <si>
    <t xml:space="preserve">C12260340</t>
  </si>
  <si>
    <t xml:space="preserve">https://condos.ca/toronto/nobu-residences-15-mercer-st-35-mercer-st/unit-418-C12260340</t>
  </si>
  <si>
    <t xml:space="preserve">condos.ca area 595 sqft*; calc SF 595 outside MLS bracket 600-699 — flagged; leased 2025-08-23.</t>
  </si>
  <si>
    <t xml:space="preserve">3906</t>
  </si>
  <si>
    <t xml:space="preserve">2025-08-22</t>
  </si>
  <si>
    <t xml:space="preserve">C12325347</t>
  </si>
  <si>
    <t xml:space="preserve">https://condos.ca/toronto/nobu-residences-15-mercer-st-35-mercer-st/unit-3906-C12325347</t>
  </si>
  <si>
    <t xml:space="preserve">condos.ca registered area 1036 sqft* (source Calculated), in MLS bracket 1000-1199; leased 2025-08-22.</t>
  </si>
  <si>
    <t xml:space="preserve">2701</t>
  </si>
  <si>
    <t xml:space="preserve">2025-08-19</t>
  </si>
  <si>
    <t xml:space="preserve">C12346177</t>
  </si>
  <si>
    <t xml:space="preserve">https://condos.ca/toronto/nobu-residences-15-mercer-st-35-mercer-st/unit-2701-C12346177</t>
  </si>
  <si>
    <t xml:space="preserve">condos.ca registered area 748 sqft* (source Calculated), in MLS bracket 700-799; leased 2025-08-19.</t>
  </si>
  <si>
    <t xml:space="preserve">1506</t>
  </si>
  <si>
    <t xml:space="preserve">2025-08-15</t>
  </si>
  <si>
    <t xml:space="preserve">C12173321</t>
  </si>
  <si>
    <t xml:space="preserve">https://condos.ca/toronto/nobu-residences-15-mercer-st-35-mercer-st/unit-1506-C12173321</t>
  </si>
  <si>
    <t xml:space="preserve">condos.ca area 799 sqft*; calc SF 799 outside MLS bracket 900-999 — flagged; leased 2025-08-15.</t>
  </si>
  <si>
    <t xml:space="preserve">C12296628</t>
  </si>
  <si>
    <t xml:space="preserve">https://condos.ca/toronto/nobu-residences-15-mercer-st-35-mercer-st/unit-3201-C12296628</t>
  </si>
  <si>
    <t xml:space="preserve">condos.ca area 748 sqft*; furnished/short-term lease; leased 2025-08-09.</t>
  </si>
  <si>
    <t xml:space="preserve">526</t>
  </si>
  <si>
    <t xml:space="preserve">2025-08-08</t>
  </si>
  <si>
    <t xml:space="preserve">C12319765</t>
  </si>
  <si>
    <t xml:space="preserve">https://condos.ca/toronto/nobu-residences-15-mercer-st-35-mercer-st/unit-526-C12319765</t>
  </si>
  <si>
    <t xml:space="preserve">condos.ca registered area 455 sqft* (source Calculated), in MLS bracket 0-499; leased 2025-08-08.</t>
  </si>
  <si>
    <t xml:space="preserve">C12265883</t>
  </si>
  <si>
    <t xml:space="preserve">https://condos.ca/toronto/nobu-residences-15-mercer-st-35-mercer-st/unit-2305-C12265883</t>
  </si>
  <si>
    <t xml:space="preserve">condos.ca registered area 719 sqft* (source Calculated), in MLS bracket 700-799; leased 2025-08-07.</t>
  </si>
  <si>
    <t xml:space="preserve">C12323235</t>
  </si>
  <si>
    <t xml:space="preserve">https://condos.ca/toronto/nobu-residences-15-mercer-st-35-mercer-st/unit-2005-C12323235</t>
  </si>
  <si>
    <t xml:space="preserve">condos.ca registered area 719 sqft* (source Calculated), in MLS bracket 700-799; leased 2025-08-06.</t>
  </si>
  <si>
    <t xml:space="preserve">603</t>
  </si>
  <si>
    <t xml:space="preserve">C12271928</t>
  </si>
  <si>
    <t xml:space="preserve">https://condos.ca/toronto/nobu-residences-15-mercer-st-35-mercer-st/unit-603-C12271928</t>
  </si>
  <si>
    <t xml:space="preserve">condos.ca registered area 706 sqft* (source Calculated), in MLS bracket 700-799; leased 2025-08-06.</t>
  </si>
  <si>
    <t xml:space="preserve">C12322369</t>
  </si>
  <si>
    <t xml:space="preserve">https://condos.ca/toronto/nobu-residences-15-mercer-st-35-mercer-st/unit-1102-C12322369</t>
  </si>
  <si>
    <t xml:space="preserve">condos.ca registered area 667 sqft* (source Calculated), in MLS bracket 600-699; leased 2025-08-04.</t>
  </si>
  <si>
    <t xml:space="preserve">1911</t>
  </si>
  <si>
    <t xml:space="preserve">C12286143</t>
  </si>
  <si>
    <t xml:space="preserve">https://condos.ca/toronto/nobu-residences-15-mercer-st-35-mercer-st/unit-1911-C12286143</t>
  </si>
  <si>
    <t xml:space="preserve">condos.ca registered area 652 sqft* (source Calculated), in MLS bracket 600-699; leased 2025-08-01.</t>
  </si>
  <si>
    <t xml:space="preserve">3707</t>
  </si>
  <si>
    <t xml:space="preserve">2025-07-26</t>
  </si>
  <si>
    <t xml:space="preserve">C12304299</t>
  </si>
  <si>
    <t xml:space="preserve">https://condos.ca/toronto/nobu-residences-15-mercer-st-35-mercer-st/unit-3707-C12304299</t>
  </si>
  <si>
    <t xml:space="preserve">condos.ca registered area 748 sqft* (source Calculated), in MLS bracket 700-799; leased 2025-07-26.</t>
  </si>
  <si>
    <t xml:space="preserve">C12245215</t>
  </si>
  <si>
    <t xml:space="preserve">https://condos.ca/toronto/nobu-residences-15-mercer-st-35-mercer-st/unit-3812-C12245215</t>
  </si>
  <si>
    <t xml:space="preserve">condos.ca area 639 sqft*; furnished/short-term lease; leased 2025-07-24.</t>
  </si>
  <si>
    <t xml:space="preserve">3614</t>
  </si>
  <si>
    <t xml:space="preserve">2025-07-23</t>
  </si>
  <si>
    <t xml:space="preserve">C12296689</t>
  </si>
  <si>
    <t xml:space="preserve">https://condos.ca/toronto/nobu-residences-15-mercer-st-35-mercer-st/unit-3614-C12296689</t>
  </si>
  <si>
    <t xml:space="preserve">condos.ca registered area 667 sqft* (source Calculated), in MLS bracket 600-699; leased 2025-07-23.</t>
  </si>
  <si>
    <t xml:space="preserve">C12291042</t>
  </si>
  <si>
    <t xml:space="preserve">https://condos.ca/toronto/nobu-residences-15-mercer-st-35-mercer-st/unit-2306-C12291042</t>
  </si>
  <si>
    <t xml:space="preserve">condos.ca registered area 799 sqft* (source Calculated), in MLS bracket 700-799; leased 2025-07-22.</t>
  </si>
  <si>
    <t xml:space="preserve">325</t>
  </si>
  <si>
    <t xml:space="preserve">2025-07-21</t>
  </si>
  <si>
    <t xml:space="preserve">C12125063</t>
  </si>
  <si>
    <t xml:space="preserve">https://condos.ca/toronto/nobu-residences-15-mercer-st-35-mercer-st/unit-325-C12125063</t>
  </si>
  <si>
    <t xml:space="preserve">condos.ca area 807 sqft*; furnished/short-term lease; leased 2025-07-21.</t>
  </si>
  <si>
    <t xml:space="preserve">715</t>
  </si>
  <si>
    <t xml:space="preserve">C12293779</t>
  </si>
  <si>
    <t xml:space="preserve">https://condos.ca/toronto/nobu-residences-15-mercer-st-35-mercer-st/unit-715-C12293779</t>
  </si>
  <si>
    <t xml:space="preserve">condos.ca area 706 sqft*; calc SF 706 outside MLS bracket 600-699 — flagged; leased 2025-07-20.</t>
  </si>
  <si>
    <t xml:space="preserve">501</t>
  </si>
  <si>
    <t xml:space="preserve">C12277354</t>
  </si>
  <si>
    <t xml:space="preserve">https://condos.ca/toronto/nobu-residences-15-mercer-st-35-mercer-st/unit-501-C12277354</t>
  </si>
  <si>
    <t xml:space="preserve">condos.ca area 455 sqft*; calc SF 455 outside MLS bracket 700-799 — flagged; leased 2025-07-18.</t>
  </si>
  <si>
    <t xml:space="preserve">C12252423</t>
  </si>
  <si>
    <t xml:space="preserve">https://condos.ca/toronto/nobu-residences-15-mercer-st-35-mercer-st/unit-1711-C12252423</t>
  </si>
  <si>
    <t xml:space="preserve">condos.ca area 652 sqft*; furnished/short-term lease; leased 2025-07-16.</t>
  </si>
  <si>
    <t xml:space="preserve">3710</t>
  </si>
  <si>
    <t xml:space="preserve">C12276717</t>
  </si>
  <si>
    <t xml:space="preserve">https://condos.ca/toronto/nobu-residences-15-mercer-st-35-mercer-st/unit-3710-C12276717</t>
  </si>
  <si>
    <t xml:space="preserve">condos.ca registered area 799 sqft* (source Calculated), in MLS bracket 700-799; leased 2025-07-14.</t>
  </si>
  <si>
    <t xml:space="preserve">1307</t>
  </si>
  <si>
    <t xml:space="preserve">C12275586</t>
  </si>
  <si>
    <t xml:space="preserve">https://condos.ca/toronto/nobu-residences-15-mercer-st-35-mercer-st/unit-1307-C12275586</t>
  </si>
  <si>
    <t xml:space="preserve">condos.ca registered area 652 sqft* (source Calculated), in MLS bracket 600-699; leased 2025-07-14.</t>
  </si>
  <si>
    <t xml:space="preserve">2025-07-10</t>
  </si>
  <si>
    <t xml:space="preserve">C12252525</t>
  </si>
  <si>
    <t xml:space="preserve">https://condos.ca/toronto/nobu-residences-15-mercer-st-35-mercer-st/unit-2609-C12252525</t>
  </si>
  <si>
    <t xml:space="preserve">condos.ca registered area 748 sqft* (source Calculated), in MLS bracket 700-799; leased 2025-07-10.</t>
  </si>
  <si>
    <t xml:space="preserve">322</t>
  </si>
  <si>
    <t xml:space="preserve">C12204938</t>
  </si>
  <si>
    <t xml:space="preserve">https://condos.ca/toronto/nobu-residences-15-mercer-st-35-mercer-st/unit-322-C12204938</t>
  </si>
  <si>
    <t xml:space="preserve">condos.ca registered area 534 sqft* (source Calculated), in MLS bracket 500-599; leased 2025-07-09.</t>
  </si>
  <si>
    <t xml:space="preserve">C12209368</t>
  </si>
  <si>
    <t xml:space="preserve">https://condos.ca/toronto/nobu-residences-15-mercer-st-35-mercer-st/unit-1702-C12209368</t>
  </si>
  <si>
    <t xml:space="preserve">condos.ca registered area 667 sqft* (source Calculated), in MLS bracket 600-699; leased 2025-07-08.</t>
  </si>
  <si>
    <t xml:space="preserve">3108</t>
  </si>
  <si>
    <t xml:space="preserve">C12246733</t>
  </si>
  <si>
    <t xml:space="preserve">https://condos.ca/toronto/nobu-residences-15-mercer-st-35-mercer-st/unit-3108-C12246733</t>
  </si>
  <si>
    <t xml:space="preserve">condos.ca registered area 862 sqft* (source Calculated), in MLS bracket 800-899; leased 2025-07-02.</t>
  </si>
  <si>
    <t xml:space="preserve">C12242830</t>
  </si>
  <si>
    <t xml:space="preserve">https://condos.ca/toronto/nobu-residences-15-mercer-st-35-mercer-st/unit-1003-C12242830</t>
  </si>
  <si>
    <t xml:space="preserve">condos.ca area 652 sqft*; furnished/short-term lease; leased 2025-07-02.</t>
  </si>
  <si>
    <t xml:space="preserve">3006</t>
  </si>
  <si>
    <t xml:space="preserve">C12250007</t>
  </si>
  <si>
    <t xml:space="preserve">https://condos.ca/toronto/nobu-residences-15-mercer-st-35-mercer-st/unit-3006-C12250007</t>
  </si>
  <si>
    <t xml:space="preserve">condos.ca area 799 sqft*; calc SF 799 outside MLS bracket 800-899 — flagged; leased 2025-07-01.</t>
  </si>
  <si>
    <t xml:space="preserve">C12244052</t>
  </si>
  <si>
    <t xml:space="preserve">https://condos.ca/toronto/nobu-residences-15-mercer-st-35-mercer-st/unit-2510-C12244052</t>
  </si>
  <si>
    <t xml:space="preserve">condos.ca registered area 862 sqft* (source Calculated), in MLS bracket 800-899; leased 2025-06-28.</t>
  </si>
  <si>
    <t xml:space="preserve">1707</t>
  </si>
  <si>
    <t xml:space="preserve">C12243199</t>
  </si>
  <si>
    <t xml:space="preserve">https://condos.ca/toronto/nobu-residences-15-mercer-st-35-mercer-st/unit-1707-C12243199</t>
  </si>
  <si>
    <t xml:space="preserve">condos.ca registered area 652 sqft* (source Calculated), in MLS bracket 600-699; leased 2025-06-27.</t>
  </si>
  <si>
    <t xml:space="preserve">C12211621</t>
  </si>
  <si>
    <t xml:space="preserve">https://condos.ca/toronto/nobu-residences-15-mercer-st-35-mercer-st/unit-3911-C12211621</t>
  </si>
  <si>
    <t xml:space="preserve">condos.ca registered area 692 sqft* (source Calculated), in MLS bracket 600-699; leased 2025-06-25.</t>
  </si>
  <si>
    <t xml:space="preserve">C12176792</t>
  </si>
  <si>
    <t xml:space="preserve">https://condos.ca/toronto/nobu-residences-15-mercer-st-35-mercer-st/unit-508-C12176792</t>
  </si>
  <si>
    <t xml:space="preserve">condos.ca area 689 sqft*; size 'Known'/stated (not registered area); leased 2025-06-25.</t>
  </si>
  <si>
    <t xml:space="preserve">C12213151</t>
  </si>
  <si>
    <t xml:space="preserve">https://condos.ca/toronto/nobu-residences-15-mercer-st-35-mercer-st/unit-3913-C12213151</t>
  </si>
  <si>
    <t xml:space="preserve">condos.ca registered area 417 sqft* (source Calculated), in MLS bracket 0-499; leased 2025-06-24.</t>
  </si>
  <si>
    <t xml:space="preserve">C12184131</t>
  </si>
  <si>
    <t xml:space="preserve">https://condos.ca/toronto/nobu-residences-15-mercer-st-35-mercer-st/unit-2802-C12184131</t>
  </si>
  <si>
    <t xml:space="preserve">condos.ca registered area 667 sqft* (source Calculated), in MLS bracket 600-699; leased 2025-06-24.</t>
  </si>
  <si>
    <t xml:space="preserve">C12196998</t>
  </si>
  <si>
    <t xml:space="preserve">https://condos.ca/toronto/nobu-residences-15-mercer-st-35-mercer-st/unit-2307-C12196998</t>
  </si>
  <si>
    <t xml:space="preserve">condos.ca registered area 652 sqft* (source Calculated), in MLS bracket 600-699; leased 2025-06-23.</t>
  </si>
  <si>
    <t xml:space="preserve">C12187925</t>
  </si>
  <si>
    <t xml:space="preserve">https://condos.ca/toronto/nobu-residences-15-mercer-st-35-mercer-st/unit-1605-C12187925</t>
  </si>
  <si>
    <t xml:space="preserve">condos.ca area 719 sqft*; furnished/short-term lease; leased 2025-06-20.</t>
  </si>
  <si>
    <t xml:space="preserve">C12137947</t>
  </si>
  <si>
    <t xml:space="preserve">https://condos.ca/toronto/nobu-residences-15-mercer-st-35-mercer-st/unit-1603-C12137947</t>
  </si>
  <si>
    <t xml:space="preserve">condos.ca area 427 sqft*; size 'Known'/stated (not registered area); leased 2025-06-20.</t>
  </si>
  <si>
    <t xml:space="preserve">613</t>
  </si>
  <si>
    <t xml:space="preserve">C12207683</t>
  </si>
  <si>
    <t xml:space="preserve">https://condos.ca/toronto/nobu-residences-15-mercer-st-35-mercer-st/unit-613-C12207683</t>
  </si>
  <si>
    <t xml:space="preserve">condos.ca area 581 sqft*; furnished/short-term lease; leased 2025-06-19.</t>
  </si>
  <si>
    <t xml:space="preserve">3914</t>
  </si>
  <si>
    <t xml:space="preserve">C12177417</t>
  </si>
  <si>
    <t xml:space="preserve">https://condos.ca/toronto/nobu-residences-15-mercer-st-35-mercer-st/unit-3914-C12177417</t>
  </si>
  <si>
    <t xml:space="preserve">condos.ca registered area 667 sqft* (source Calculated), in MLS bracket 600-699; leased 2025-06-19.</t>
  </si>
  <si>
    <t xml:space="preserve">1504</t>
  </si>
  <si>
    <t xml:space="preserve">C12221433</t>
  </si>
  <si>
    <t xml:space="preserve">https://condos.ca/toronto/nobu-residences-15-mercer-st-35-mercer-st/unit-1504-C12221433</t>
  </si>
  <si>
    <t xml:space="preserve">condos.ca registered area 814 sqft* (source Calculated), in MLS bracket 800-899; leased 2025-06-17.</t>
  </si>
  <si>
    <t xml:space="preserve">1314</t>
  </si>
  <si>
    <t xml:space="preserve">C12179015</t>
  </si>
  <si>
    <t xml:space="preserve">https://condos.ca/toronto/nobu-residences-15-mercer-st-35-mercer-st/unit-1314-C12179015</t>
  </si>
  <si>
    <t xml:space="preserve">condos.ca registered area 756 sqft* (source Calculated), in MLS bracket 700-799; leased 2025-06-14.</t>
  </si>
  <si>
    <t xml:space="preserve">412</t>
  </si>
  <si>
    <t xml:space="preserve">C12172712</t>
  </si>
  <si>
    <t xml:space="preserve">https://condos.ca/toronto/nobu-residences-15-mercer-st-35-mercer-st/unit-412-C12172712</t>
  </si>
  <si>
    <t xml:space="preserve">condos.ca area 827 sqft*; size 'Known'/stated (not registered area); leased 2025-06-14.</t>
  </si>
  <si>
    <t xml:space="preserve">2406</t>
  </si>
  <si>
    <t xml:space="preserve">C12205551</t>
  </si>
  <si>
    <t xml:space="preserve">https://condos.ca/toronto/nobu-residences-15-mercer-st-35-mercer-st/unit-2406-C12205551</t>
  </si>
  <si>
    <t xml:space="preserve">condos.ca registered area 799 sqft* (source Calculated), in MLS bracket 700-799; leased 2025-06-13.</t>
  </si>
  <si>
    <t xml:space="preserve">C12140331</t>
  </si>
  <si>
    <t xml:space="preserve">https://condos.ca/toronto/nobu-residences-15-mercer-st-35-mercer-st/unit-905-C12140331</t>
  </si>
  <si>
    <t xml:space="preserve">condos.ca registered area 890 sqft* (source Calculated), in MLS bracket 800-899; leased 2025-06-09.</t>
  </si>
  <si>
    <t xml:space="preserve">315</t>
  </si>
  <si>
    <t xml:space="preserve">2025-05-20</t>
  </si>
  <si>
    <t xml:space="preserve">C12123135</t>
  </si>
  <si>
    <t xml:space="preserve">https://condos.ca/toronto/nobu-residences-15-mercer-st-35-mercer-st/unit-315-C12123135</t>
  </si>
  <si>
    <t xml:space="preserve">condos.ca registered area 545 sqft* (source Calculated), in MLS bracket 500-599; leased 2025-05-20.</t>
  </si>
  <si>
    <t xml:space="preserve">2025-05-14</t>
  </si>
  <si>
    <t xml:space="preserve">C12141310</t>
  </si>
  <si>
    <t xml:space="preserve">https://condos.ca/toronto/nobu-residences-15-mercer-st-35-mercer-st/unit-1903-C12141310</t>
  </si>
  <si>
    <t xml:space="preserve">condos.ca registered area 427 sqft* (source Calculated), in MLS bracket 0-499; leased 2025-05-14.</t>
  </si>
  <si>
    <t xml:space="preserve">2025-05-12</t>
  </si>
  <si>
    <t xml:space="preserve">C12128930</t>
  </si>
  <si>
    <t xml:space="preserve">https://condos.ca/toronto/nobu-residences-15-mercer-st-35-mercer-st/unit-2703-C12128930</t>
  </si>
  <si>
    <t xml:space="preserve">condos.ca registered area 527 sqft* (source Calculated), in MLS bracket 500-599; leased 2025-05-12.</t>
  </si>
  <si>
    <t xml:space="preserve">2912</t>
  </si>
  <si>
    <t xml:space="preserve">2025-05-10</t>
  </si>
  <si>
    <t xml:space="preserve">C12134308</t>
  </si>
  <si>
    <t xml:space="preserve">https://condos.ca/toronto/nobu-residences-15-mercer-st-35-mercer-st/unit-2912-C12134308</t>
  </si>
  <si>
    <t xml:space="preserve">condos.ca area 799 sqft*; calc SF 799 outside MLS bracket 900-999 — flagged; leased 2025-05-10.</t>
  </si>
  <si>
    <t xml:space="preserve">2403</t>
  </si>
  <si>
    <t xml:space="preserve">2025-05-07</t>
  </si>
  <si>
    <t xml:space="preserve">C12112278</t>
  </si>
  <si>
    <t xml:space="preserve">https://condos.ca/toronto/nobu-residences-15-mercer-st-35-mercer-st/unit-2403-C12112278</t>
  </si>
  <si>
    <t xml:space="preserve">condos.ca registered area 527 sqft* (source Calculated), in MLS bracket 500-599; leased 2025-05-07.</t>
  </si>
  <si>
    <t xml:space="preserve">2113</t>
  </si>
  <si>
    <t xml:space="preserve">2025-05-05</t>
  </si>
  <si>
    <t xml:space="preserve">C12106270</t>
  </si>
  <si>
    <t xml:space="preserve">https://condos.ca/toronto/nobu-residences-15-mercer-st-35-mercer-st/unit-2113-C12106270</t>
  </si>
  <si>
    <t xml:space="preserve">condos.ca area 692 sqft*; calc SF 692 outside MLS bracket 500-599 — flagged; leased 2025-05-05.</t>
  </si>
  <si>
    <t xml:space="preserve">414</t>
  </si>
  <si>
    <t xml:space="preserve">2025-05-01</t>
  </si>
  <si>
    <t xml:space="preserve">C12108073</t>
  </si>
  <si>
    <t xml:space="preserve">https://condos.ca/toronto/nobu-residences-15-mercer-st-35-mercer-st/unit-414-C12108073</t>
  </si>
  <si>
    <t xml:space="preserve">condos.ca area 599 sqft*; furnished/short-term lease; leased 2025-05-01.</t>
  </si>
  <si>
    <t xml:space="preserve">2025-04-30</t>
  </si>
  <si>
    <t xml:space="preserve">C12105323</t>
  </si>
  <si>
    <t xml:space="preserve">https://condos.ca/toronto/nobu-residences-15-mercer-st-35-mercer-st/unit-3012-C12105323</t>
  </si>
  <si>
    <t xml:space="preserve">condos.ca area 799 sqft*; calc SF 799 outside MLS bracket 800-899 — flagged; leased 2025-04-30.</t>
  </si>
  <si>
    <t xml:space="preserve">2025-04-29</t>
  </si>
  <si>
    <t xml:space="preserve">C12097154</t>
  </si>
  <si>
    <t xml:space="preserve">https://condos.ca/toronto/nobu-residences-15-mercer-st-35-mercer-st/unit-2806-C12097154</t>
  </si>
  <si>
    <t xml:space="preserve">condos.ca area 799 sqft*; calc SF 799 outside MLS bracket 800-899 — flagged; leased 2025-04-29.</t>
  </si>
  <si>
    <t xml:space="preserve">2025-04-28</t>
  </si>
  <si>
    <t xml:space="preserve">C12056587</t>
  </si>
  <si>
    <t xml:space="preserve">https://condos.ca/toronto/nobu-residences-15-mercer-st-35-mercer-st/unit-701-C12056587</t>
  </si>
  <si>
    <t xml:space="preserve">condos.ca registered area 701 sqft* (source Calculated), in MLS bracket 700-799; leased 2025-04-28.</t>
  </si>
  <si>
    <t xml:space="preserve">1408</t>
  </si>
  <si>
    <t xml:space="preserve">C12051572</t>
  </si>
  <si>
    <t xml:space="preserve">https://condos.ca/toronto/nobu-residences-15-mercer-st-35-mercer-st/unit-1408-C12051572</t>
  </si>
  <si>
    <t xml:space="preserve">condos.ca registered area 862 sqft* (source Calculated), in MLS bracket 800-899; leased 2025-04-28.</t>
  </si>
  <si>
    <t xml:space="preserve">C11921821</t>
  </si>
  <si>
    <t xml:space="preserve">https://condos.ca/toronto/nobu-residences-15-mercer-st-35-mercer-st/unit-902-C11921821</t>
  </si>
  <si>
    <t xml:space="preserve">condos.ca area 694 sqft*; furnished/short-term lease; leased 2025-04-28.</t>
  </si>
  <si>
    <t xml:space="preserve">2025-04-24</t>
  </si>
  <si>
    <t xml:space="preserve">C12017036</t>
  </si>
  <si>
    <t xml:space="preserve">https://condos.ca/toronto/nobu-residences-15-mercer-st-35-mercer-st/unit-4105-C12017036</t>
  </si>
  <si>
    <t xml:space="preserve">condos.ca registered area 1015 sqft* (source Calculated), in MLS bracket 1000-1199; leased 2025-04-24.</t>
  </si>
  <si>
    <t xml:space="preserve">714</t>
  </si>
  <si>
    <t xml:space="preserve">2025-04-23</t>
  </si>
  <si>
    <t xml:space="preserve">C12086246</t>
  </si>
  <si>
    <t xml:space="preserve">https://condos.ca/toronto/nobu-residences-15-mercer-st-35-mercer-st/unit-714-C12086246</t>
  </si>
  <si>
    <t xml:space="preserve">condos.ca registered area 707 sqft* (source Calculated), in MLS bracket 700-799; leased 2025-04-23.</t>
  </si>
  <si>
    <t xml:space="preserve">1106</t>
  </si>
  <si>
    <t xml:space="preserve">2025-04-22</t>
  </si>
  <si>
    <t xml:space="preserve">C12049828</t>
  </si>
  <si>
    <t xml:space="preserve">https://condos.ca/toronto/nobu-residences-15-mercer-st-35-mercer-st/unit-1106-C12049828</t>
  </si>
  <si>
    <t xml:space="preserve">condos.ca area 799 sqft*; calc SF 799 outside MLS bracket 800-899 — flagged; leased 2025-04-22.</t>
  </si>
  <si>
    <t xml:space="preserve">2025-04-17</t>
  </si>
  <si>
    <t xml:space="preserve">C12045923</t>
  </si>
  <si>
    <t xml:space="preserve">https://condos.ca/toronto/nobu-residences-15-mercer-st-35-mercer-st/unit-4303-C12045923</t>
  </si>
  <si>
    <t xml:space="preserve">condos.ca registered area 888 sqft* (source Calculated), in MLS bracket 800-899; leased 2025-04-17.</t>
  </si>
  <si>
    <t xml:space="preserve">1613</t>
  </si>
  <si>
    <t xml:space="preserve">2025-04-16</t>
  </si>
  <si>
    <t xml:space="preserve">C12057140</t>
  </si>
  <si>
    <t xml:space="preserve">https://condos.ca/toronto/nobu-residences-15-mercer-st-35-mercer-st/unit-1613-C12057140</t>
  </si>
  <si>
    <t xml:space="preserve">condos.ca registered area 692 sqft* (source Calculated), in MLS bracket 600-699; leased 2025-04-16.</t>
  </si>
  <si>
    <t xml:space="preserve">C12038893</t>
  </si>
  <si>
    <t xml:space="preserve">https://condos.ca/toronto/nobu-residences-15-mercer-st-35-mercer-st/unit-305-C12038893</t>
  </si>
  <si>
    <t xml:space="preserve">condos.ca area 594 sqft*; calc SF 594 outside MLS bracket 600-699 — flagged; leased 2025-04-16.</t>
  </si>
  <si>
    <t xml:space="preserve">2616</t>
  </si>
  <si>
    <t xml:space="preserve">2025-04-14</t>
  </si>
  <si>
    <t xml:space="preserve">C12060822</t>
  </si>
  <si>
    <t xml:space="preserve">https://condos.ca/toronto/nobu-residences-15-mercer-st-35-mercer-st/unit-2616-C12060822</t>
  </si>
  <si>
    <t xml:space="preserve">condos.ca registered area 667 sqft* (source Calculated), in MLS bracket 600-699; leased 2025-04-14.</t>
  </si>
  <si>
    <t xml:space="preserve">1607</t>
  </si>
  <si>
    <t xml:space="preserve">2025-04-09</t>
  </si>
  <si>
    <t xml:space="preserve">C12059869</t>
  </si>
  <si>
    <t xml:space="preserve">https://condos.ca/toronto/nobu-residences-15-mercer-st-35-mercer-st/unit-1607-C12059869</t>
  </si>
  <si>
    <t xml:space="preserve">condos.ca registered area 652 sqft* (source Calculated), in MLS bracket 600-699; leased 2025-04-09.</t>
  </si>
  <si>
    <t xml:space="preserve">318</t>
  </si>
  <si>
    <t xml:space="preserve">2025-04-07</t>
  </si>
  <si>
    <t xml:space="preserve">C11981807</t>
  </si>
  <si>
    <t xml:space="preserve">https://condos.ca/toronto/nobu-residences-15-mercer-st-35-mercer-st/unit-318-C11981807</t>
  </si>
  <si>
    <t xml:space="preserve">condos.ca area 594 sqft*; calc SF 594 outside MLS bracket 600-699 — flagged; leased 2025-04-07.</t>
  </si>
  <si>
    <t xml:space="preserve">2025-04-04</t>
  </si>
  <si>
    <t xml:space="preserve">C12059057</t>
  </si>
  <si>
    <t xml:space="preserve">https://condos.ca/toronto/nobu-residences-15-mercer-st-35-mercer-st/unit-1608-C12059057</t>
  </si>
  <si>
    <t xml:space="preserve">condos.ca registered area 862 sqft* (source Calculated), in MLS bracket 800-899; leased 2025-04-04.</t>
  </si>
  <si>
    <t xml:space="preserve">C12020419</t>
  </si>
  <si>
    <t xml:space="preserve">https://condos.ca/toronto/nobu-residences-15-mercer-st-35-mercer-st/unit-3705-C12020419</t>
  </si>
  <si>
    <t xml:space="preserve">condos.ca registered area 1015 sqft* (source Calculated), in MLS bracket 1000-1199; leased 2025-04-04.</t>
  </si>
  <si>
    <t xml:space="preserve">4301</t>
  </si>
  <si>
    <t xml:space="preserve">2025-03-31</t>
  </si>
  <si>
    <t xml:space="preserve">C12020128</t>
  </si>
  <si>
    <t xml:space="preserve">https://condos.ca/toronto/nobu-residences-15-mercer-st-35-mercer-st/unit-4301-C12020128</t>
  </si>
  <si>
    <t xml:space="preserve">condos.ca registered area 864 sqft* (source Calculated), in MLS bracket 800-899; leased 2025-03-31.</t>
  </si>
  <si>
    <t xml:space="preserve">4004</t>
  </si>
  <si>
    <t xml:space="preserve">C12010199</t>
  </si>
  <si>
    <t xml:space="preserve">https://condos.ca/toronto/nobu-residences-15-mercer-st-35-mercer-st/unit-4004-C12010199</t>
  </si>
  <si>
    <t xml:space="preserve">condos.ca registered area 1011 sqft* (source Calculated), in MLS bracket 1000-1199; leased 2025-03-31.</t>
  </si>
  <si>
    <t xml:space="preserve">509</t>
  </si>
  <si>
    <t xml:space="preserve">2025-03-29</t>
  </si>
  <si>
    <t xml:space="preserve">C11976866</t>
  </si>
  <si>
    <t xml:space="preserve">https://condos.ca/toronto/nobu-residences-15-mercer-st-35-mercer-st/unit-509-C11976866</t>
  </si>
  <si>
    <t xml:space="preserve">condos.ca registered area 681 sqft* (source Calculated), in MLS bracket 600-699; leased 2025-03-29.</t>
  </si>
  <si>
    <t xml:space="preserve">507</t>
  </si>
  <si>
    <t xml:space="preserve">2025-03-27</t>
  </si>
  <si>
    <t xml:space="preserve">C12013424</t>
  </si>
  <si>
    <t xml:space="preserve">https://condos.ca/toronto/nobu-residences-15-mercer-st-35-mercer-st/unit-507-C12013424</t>
  </si>
  <si>
    <t xml:space="preserve">condos.ca registered area 478 sqft* (source Calculated), in MLS bracket 0-499; leased 2025-03-27.</t>
  </si>
  <si>
    <t xml:space="preserve">2025-03-25</t>
  </si>
  <si>
    <t xml:space="preserve">C12022419</t>
  </si>
  <si>
    <t xml:space="preserve">https://condos.ca/toronto/nobu-residences-15-mercer-st-35-mercer-st/unit-4106-C12022419</t>
  </si>
  <si>
    <t xml:space="preserve">condos.ca registered area 1036 sqft* (source Calculated), in MLS bracket 1000-1199; leased 2025-03-25.</t>
  </si>
  <si>
    <t xml:space="preserve">813</t>
  </si>
  <si>
    <t xml:space="preserve">2025-03-23</t>
  </si>
  <si>
    <t xml:space="preserve">C12000841</t>
  </si>
  <si>
    <t xml:space="preserve">https://condos.ca/toronto/nobu-residences-15-mercer-st-35-mercer-st/unit-813-C12000841</t>
  </si>
  <si>
    <t xml:space="preserve">condos.ca area 581 sqft*; furnished/short-term lease; leased 2025-03-23.</t>
  </si>
  <si>
    <t xml:space="preserve">2025-03-19</t>
  </si>
  <si>
    <t xml:space="preserve">C11988900</t>
  </si>
  <si>
    <t xml:space="preserve">https://condos.ca/toronto/nobu-residences-15-mercer-st-35-mercer-st/unit-4302-C11988900</t>
  </si>
  <si>
    <t xml:space="preserve">condos.ca registered area 856 sqft* (source Calculated), in MLS bracket 800-899; leased 2025-03-19.</t>
  </si>
  <si>
    <t xml:space="preserve">4104</t>
  </si>
  <si>
    <t xml:space="preserve">C11943542</t>
  </si>
  <si>
    <t xml:space="preserve">https://condos.ca/toronto/nobu-residences-15-mercer-st-35-mercer-st/unit-4104-C11943542</t>
  </si>
  <si>
    <t xml:space="preserve">condos.ca registered area 1011 sqft* (source Calculated), in MLS bracket 1000-1199; leased 2025-03-19.</t>
  </si>
  <si>
    <t xml:space="preserve">4203</t>
  </si>
  <si>
    <t xml:space="preserve">2025-03-12</t>
  </si>
  <si>
    <t xml:space="preserve">C12008908</t>
  </si>
  <si>
    <t xml:space="preserve">https://condos.ca/toronto/nobu-residences-15-mercer-st-35-mercer-st/unit-4203-C12008908</t>
  </si>
  <si>
    <t xml:space="preserve">condos.ca area 888 sqft*; calc SF 888 outside MLS bracket 1000-1199 — flagged; leased 2025-03-12.</t>
  </si>
  <si>
    <t xml:space="preserve">2025-03-01</t>
  </si>
  <si>
    <t xml:space="preserve">C11931469</t>
  </si>
  <si>
    <t xml:space="preserve">https://condos.ca/toronto/nobu-residences-15-mercer-st-35-mercer-st/unit-3802-C11931469</t>
  </si>
  <si>
    <t xml:space="preserve">condos.ca registered area 1049 sqft* (source Calculated), in MLS bracket 1000-1199; leased 2025-03-01.</t>
  </si>
  <si>
    <t xml:space="preserve">901</t>
  </si>
  <si>
    <t xml:space="preserve">2025-02-25</t>
  </si>
  <si>
    <t xml:space="preserve">C11969424</t>
  </si>
  <si>
    <t xml:space="preserve">https://condos.ca/toronto/nobu-residences-15-mercer-st-35-mercer-st/unit-901-C11969424</t>
  </si>
  <si>
    <t xml:space="preserve">condos.ca registered area 749 sqft* (source Calculated), in MLS bracket 700-799; leased 2025-02-25.</t>
  </si>
  <si>
    <t xml:space="preserve">2025-02-24</t>
  </si>
  <si>
    <t xml:space="preserve">C11915847</t>
  </si>
  <si>
    <t xml:space="preserve">https://condos.ca/toronto/nobu-residences-15-mercer-st-35-mercer-st/unit-602-C11915847</t>
  </si>
  <si>
    <t xml:space="preserve">condos.ca area 625 sqft*; calc SF 625 outside MLS bracket 700-799 — flagged; leased 2025-02-24.</t>
  </si>
  <si>
    <t xml:space="preserve">302</t>
  </si>
  <si>
    <t xml:space="preserve">2025-02-23</t>
  </si>
  <si>
    <t xml:space="preserve">C11962653</t>
  </si>
  <si>
    <t xml:space="preserve">https://condos.ca/toronto/nobu-residences-15-mercer-st-35-mercer-st/unit-302-C11962653</t>
  </si>
  <si>
    <t xml:space="preserve">condos.ca registered area 536 sqft* (source Calculated), in MLS bracket 500-599; leased 2025-02-23.</t>
  </si>
  <si>
    <t xml:space="preserve">2025-02-22</t>
  </si>
  <si>
    <t xml:space="preserve">C11926308</t>
  </si>
  <si>
    <t xml:space="preserve">https://condos.ca/toronto/nobu-residences-15-mercer-st-35-mercer-st/unit-511-C11926308</t>
  </si>
  <si>
    <t xml:space="preserve">condos.ca registered area 676 sqft* (source Calculated), in MLS bracket 600-699; leased 2025-02-22.</t>
  </si>
  <si>
    <t xml:space="preserve">2025-02-21</t>
  </si>
  <si>
    <t xml:space="preserve">C10430858</t>
  </si>
  <si>
    <t xml:space="preserve">https://condos.ca/toronto/nobu-residences-15-mercer-st-35-mercer-st/unit-4102-C10430858</t>
  </si>
  <si>
    <t xml:space="preserve">condos.ca registered area 1049 sqft* (source Calculated), in MLS bracket 1000-1199; leased 2025-02-21.</t>
  </si>
  <si>
    <t xml:space="preserve">4306</t>
  </si>
  <si>
    <t xml:space="preserve">2025-02-20</t>
  </si>
  <si>
    <t xml:space="preserve">C11935131</t>
  </si>
  <si>
    <t xml:space="preserve">https://condos.ca/toronto/nobu-residences-15-mercer-st-35-mercer-st/unit-4306-C11935131</t>
  </si>
  <si>
    <t xml:space="preserve">condos.ca registered area 1036 sqft* (source Calculated), in MLS bracket 1000-1199; leased 2025-02-20.</t>
  </si>
  <si>
    <t xml:space="preserve">2025-02-15</t>
  </si>
  <si>
    <t xml:space="preserve">C10406097</t>
  </si>
  <si>
    <t xml:space="preserve">https://condos.ca/toronto/nobu-residences-15-mercer-st-35-mercer-st/unit-2606-C10406097</t>
  </si>
  <si>
    <t xml:space="preserve">condos.ca area 799 sqft*; calc SF 799 outside MLS bracket 800-899 — flagged; leased 2025-02-15.</t>
  </si>
  <si>
    <t xml:space="preserve">2025-02-14</t>
  </si>
  <si>
    <t xml:space="preserve">C9390760</t>
  </si>
  <si>
    <t xml:space="preserve">https://condos.ca/toronto/nobu-residences-15-mercer-st-35-mercer-st/unit-816-C9390760</t>
  </si>
  <si>
    <t xml:space="preserve">condos.ca registered area 706 sqft* (source Calculated), in MLS bracket 700-799; leased 2025-02-14.</t>
  </si>
  <si>
    <t xml:space="preserve">616</t>
  </si>
  <si>
    <t xml:space="preserve">2025-02-11</t>
  </si>
  <si>
    <t xml:space="preserve">C11948619</t>
  </si>
  <si>
    <t xml:space="preserve">https://condos.ca/toronto/nobu-residences-15-mercer-st-35-mercer-st/unit-616-C11948619</t>
  </si>
  <si>
    <t xml:space="preserve">condos.ca registered area 706 sqft* (source Calculated), in MLS bracket 700-799; leased 2025-02-11.</t>
  </si>
  <si>
    <t xml:space="preserve">3106</t>
  </si>
  <si>
    <t xml:space="preserve">2025-02-09</t>
  </si>
  <si>
    <t xml:space="preserve">C11913445</t>
  </si>
  <si>
    <t xml:space="preserve">https://condos.ca/toronto/nobu-residences-15-mercer-st-35-mercer-st/unit-3106-C11913445</t>
  </si>
  <si>
    <t xml:space="preserve">condos.ca area 799 sqft*; calc SF 799 outside MLS bracket 800-899 — flagged; leased 2025-02-09.</t>
  </si>
  <si>
    <t xml:space="preserve">1204</t>
  </si>
  <si>
    <t xml:space="preserve">2025-02-06</t>
  </si>
  <si>
    <t xml:space="preserve">C11953416</t>
  </si>
  <si>
    <t xml:space="preserve">https://condos.ca/toronto/nobu-residences-15-mercer-st-35-mercer-st/unit-1204-C11953416</t>
  </si>
  <si>
    <t xml:space="preserve">condos.ca registered area 672 sqft* (source Calculated), in MLS bracket 600-699; leased 2025-02-06.</t>
  </si>
  <si>
    <t xml:space="preserve">904</t>
  </si>
  <si>
    <t xml:space="preserve">2025-02-05</t>
  </si>
  <si>
    <t xml:space="preserve">C11890200</t>
  </si>
  <si>
    <t xml:space="preserve">https://condos.ca/toronto/nobu-residences-15-mercer-st-35-mercer-st/unit-904-C11890200</t>
  </si>
  <si>
    <t xml:space="preserve">condos.ca registered area 652 sqft* (source Calculated), in MLS bracket 600-699; leased 2025-02-05.</t>
  </si>
  <si>
    <t xml:space="preserve">2025-02-02</t>
  </si>
  <si>
    <t xml:space="preserve">C11933725</t>
  </si>
  <si>
    <t xml:space="preserve">https://condos.ca/toronto/nobu-residences-15-mercer-st-35-mercer-st/unit-1705-C11933725</t>
  </si>
  <si>
    <t xml:space="preserve">condos.ca registered area 719 sqft* (source Calculated), in MLS bracket 700-799; leased 2025-02-02.</t>
  </si>
  <si>
    <t xml:space="preserve">1305</t>
  </si>
  <si>
    <t xml:space="preserve">2025-01-28</t>
  </si>
  <si>
    <t xml:space="preserve">C11923897</t>
  </si>
  <si>
    <t xml:space="preserve">https://condos.ca/toronto/nobu-residences-15-mercer-st-35-mercer-st/unit-1305-C11923897</t>
  </si>
  <si>
    <t xml:space="preserve">condos.ca registered area 719 sqft* (source Calculated), in MLS bracket 700-799; leased 2025-01-28.</t>
  </si>
  <si>
    <t xml:space="preserve">3605</t>
  </si>
  <si>
    <t xml:space="preserve">2025-01-26</t>
  </si>
  <si>
    <t xml:space="preserve">C11825136</t>
  </si>
  <si>
    <t xml:space="preserve">https://condos.ca/toronto/nobu-residences-15-mercer-st-35-mercer-st/unit-3605-C11825136</t>
  </si>
  <si>
    <t xml:space="preserve">condos.ca registered area 1015 sqft* (source Calculated), in MLS bracket 1000-1199; leased 2025-01-26.</t>
  </si>
  <si>
    <t xml:space="preserve">804</t>
  </si>
  <si>
    <t xml:space="preserve">2025-01-24</t>
  </si>
  <si>
    <t xml:space="preserve">C11920874</t>
  </si>
  <si>
    <t xml:space="preserve">https://condos.ca/toronto/nobu-residences-15-mercer-st-35-mercer-st/unit-804-C11920874</t>
  </si>
  <si>
    <t xml:space="preserve">condos.ca registered area 706 sqft* (source Calculated), in MLS bracket 700-799; leased 2025-01-24.</t>
  </si>
  <si>
    <t xml:space="preserve">2025-01-21</t>
  </si>
  <si>
    <t xml:space="preserve">C10429697</t>
  </si>
  <si>
    <t xml:space="preserve">https://condos.ca/toronto/nobu-residences-15-mercer-st-35-mercer-st/unit-3306-C10429697</t>
  </si>
  <si>
    <t xml:space="preserve">condos.ca area 799 sqft*; calc SF 799 outside MLS bracket 800-899 — flagged; leased 2025-01-21.</t>
  </si>
  <si>
    <t xml:space="preserve">1405</t>
  </si>
  <si>
    <t xml:space="preserve">C10423493</t>
  </si>
  <si>
    <t xml:space="preserve">https://condos.ca/toronto/nobu-residences-15-mercer-st-35-mercer-st/unit-1405-C10423493</t>
  </si>
  <si>
    <t xml:space="preserve">condos.ca registered area 719 sqft* (source Calculated), in MLS bracket 700-799; leased 2025-01-21.</t>
  </si>
  <si>
    <t xml:space="preserve">3206</t>
  </si>
  <si>
    <t xml:space="preserve">2025-01-19</t>
  </si>
  <si>
    <t xml:space="preserve">C10433706</t>
  </si>
  <si>
    <t xml:space="preserve">https://condos.ca/toronto/nobu-residences-15-mercer-st-35-mercer-st/unit-3206-C10433706</t>
  </si>
  <si>
    <t xml:space="preserve">condos.ca area 799 sqft*; calc SF 799 outside MLS bracket 800-899 — flagged; furnished/short-term lease; leased 2025-01-19.</t>
  </si>
  <si>
    <t xml:space="preserve">PH -14</t>
  </si>
  <si>
    <t xml:space="preserve">C13099798</t>
  </si>
  <si>
    <t xml:space="preserve">https://condos.ca/toronto/the-well-455-480-front-st-w-455-wellington-st-w/unit-PH-14-C13099798</t>
  </si>
  <si>
    <t xml:space="preserve">condos.ca registered area 1069 sqft* (source Calculated), in MLS bracket 1000-1199; leased 2026-06-12.</t>
  </si>
  <si>
    <t xml:space="preserve">C13088234</t>
  </si>
  <si>
    <t xml:space="preserve">https://condos.ca/toronto/the-well-455-480-front-st-w-455-wellington-st-w/unit-1812-C13088234</t>
  </si>
  <si>
    <t xml:space="preserve">condos.ca registered area 558 sqft* (source Calculated), in MLS bracket 500-599; leased 2026-05-27.</t>
  </si>
  <si>
    <t xml:space="preserve">C12808236</t>
  </si>
  <si>
    <t xml:space="preserve">https://condos.ca/toronto/the-well-455-480-front-st-w-455-wellington-st-w/unit-1909-C12808236</t>
  </si>
  <si>
    <t xml:space="preserve">condos.ca registered area 652 sqft* (source Calculated), in MLS bracket 600-699; leased 2026-05-23.</t>
  </si>
  <si>
    <t xml:space="preserve">1616</t>
  </si>
  <si>
    <t xml:space="preserve">C13078792</t>
  </si>
  <si>
    <t xml:space="preserve">https://condos.ca/toronto/the-well-455-480-front-st-w-455-wellington-st-w/unit-1616-C13078792</t>
  </si>
  <si>
    <t xml:space="preserve">condos.ca area 694 sqft*; calc SF 694 outside MLS bracket 700-799 — flagged; leased 2026-05-07.</t>
  </si>
  <si>
    <t xml:space="preserve">1817</t>
  </si>
  <si>
    <t xml:space="preserve">C12977978</t>
  </si>
  <si>
    <t xml:space="preserve">https://condos.ca/toronto/the-well-455-480-front-st-w-455-wellington-st-w/unit-1817-C12977978</t>
  </si>
  <si>
    <t xml:space="preserve">condos.ca registered area 965 sqft* (source Calculated), in MLS bracket 900-999; leased 2026-05-07.</t>
  </si>
  <si>
    <t xml:space="preserve">1808</t>
  </si>
  <si>
    <t xml:space="preserve">C13038970</t>
  </si>
  <si>
    <t xml:space="preserve">https://condos.ca/toronto/the-well-455-480-front-st-w-455-wellington-st-w/unit-1808-C13038970</t>
  </si>
  <si>
    <t xml:space="preserve">condos.ca registered area 660 sqft* (source Calculated), in MLS bracket 600-699; leased 2026-04-29.</t>
  </si>
  <si>
    <t xml:space="preserve">1311</t>
  </si>
  <si>
    <t xml:space="preserve">C13012942</t>
  </si>
  <si>
    <t xml:space="preserve">https://condos.ca/toronto/the-well-455-480-front-st-w-455-wellington-st-w/unit-1311-C13012942</t>
  </si>
  <si>
    <t xml:space="preserve">condos.ca registered area 531 sqft* (source Calculated), in MLS bracket 500-599; leased 2026-04-25.</t>
  </si>
  <si>
    <t xml:space="preserve">1014</t>
  </si>
  <si>
    <t xml:space="preserve">C12898594</t>
  </si>
  <si>
    <t xml:space="preserve">https://condos.ca/toronto/the-well-455-480-front-st-w-455-wellington-st-w/unit-1014-C12898594</t>
  </si>
  <si>
    <t xml:space="preserve">condos.ca registered area 927 sqft* (source Calculated), in MLS bracket 900-999; leased 2026-04-22.</t>
  </si>
  <si>
    <t xml:space="preserve">910</t>
  </si>
  <si>
    <t xml:space="preserve">C13005696</t>
  </si>
  <si>
    <t xml:space="preserve">https://condos.ca/toronto/the-well-455-480-front-st-w-455-wellington-st-w/unit-910-C13005696</t>
  </si>
  <si>
    <t xml:space="preserve">condos.ca registered area 652 sqft* (source Calculated), in MLS bracket 600-699; leased 2026-04-21.</t>
  </si>
  <si>
    <t xml:space="preserve">C12970934</t>
  </si>
  <si>
    <t xml:space="preserve">https://condos.ca/toronto/the-well-455-480-front-st-w-455-wellington-st-w/unit-2005-C12970934</t>
  </si>
  <si>
    <t xml:space="preserve">condos.ca registered area 509 sqft* (source Calculated), in MLS bracket 500-599; leased 2026-04-21.</t>
  </si>
  <si>
    <t xml:space="preserve">1417</t>
  </si>
  <si>
    <t xml:space="preserve">2026-04-12</t>
  </si>
  <si>
    <t xml:space="preserve">C12968062</t>
  </si>
  <si>
    <t xml:space="preserve">https://condos.ca/toronto/the-well-455-480-front-st-w-455-wellington-st-w/unit-1417-C12968062</t>
  </si>
  <si>
    <t xml:space="preserve">condos.ca registered area 965 sqft* (source Calculated), in MLS bracket 900-999; leased 2026-04-12.</t>
  </si>
  <si>
    <t xml:space="preserve">1400-1599 sqft</t>
  </si>
  <si>
    <t xml:space="preserve">C12870492</t>
  </si>
  <si>
    <t xml:space="preserve">https://condos.ca/toronto/the-well-455-480-front-st-w-455-wellington-st-w/unit-702-C12870492</t>
  </si>
  <si>
    <t xml:space="preserve">condos.ca area 1468 sqft*; furnished/short-term lease; leased 2026-04-09.</t>
  </si>
  <si>
    <t xml:space="preserve">C12885400</t>
  </si>
  <si>
    <t xml:space="preserve">https://condos.ca/toronto/the-well-455-480-front-st-w-455-wellington-st-w/unit-1512-C12885400</t>
  </si>
  <si>
    <t xml:space="preserve">condos.ca registered area 558 sqft* (source Calculated), in MLS bracket 500-599; leased 2026-03-18.</t>
  </si>
  <si>
    <t xml:space="preserve">1308</t>
  </si>
  <si>
    <t xml:space="preserve">2026-03-16</t>
  </si>
  <si>
    <t xml:space="preserve">C12847492</t>
  </si>
  <si>
    <t xml:space="preserve">https://condos.ca/toronto/the-well-455-480-front-st-w-455-wellington-st-w/unit-1308-C12847492</t>
  </si>
  <si>
    <t xml:space="preserve">condos.ca registered area 660 sqft* (source Calculated), in MLS bracket 600-699; leased 2026-03-16.</t>
  </si>
  <si>
    <t xml:space="preserve">C12863596</t>
  </si>
  <si>
    <t xml:space="preserve">https://condos.ca/toronto/the-well-455-480-front-st-w-455-wellington-st-w/unit-904-C12863596</t>
  </si>
  <si>
    <t xml:space="preserve">condos.ca area 878 sqft*; size 'Known'/stated (not registered area); leased 2026-03-15.</t>
  </si>
  <si>
    <t xml:space="preserve">1206</t>
  </si>
  <si>
    <t xml:space="preserve">C12820516</t>
  </si>
  <si>
    <t xml:space="preserve">https://condos.ca/toronto/the-well-455-480-front-st-w-455-wellington-st-w/unit-1206-C12820516</t>
  </si>
  <si>
    <t xml:space="preserve">condos.ca registered area 815 sqft* (source Calculated), in MLS bracket 800-899; leased 2026-03-10.</t>
  </si>
  <si>
    <t xml:space="preserve">1710</t>
  </si>
  <si>
    <t xml:space="preserve">2026-03-06</t>
  </si>
  <si>
    <t xml:space="preserve">C12827838</t>
  </si>
  <si>
    <t xml:space="preserve">https://condos.ca/toronto/the-well-455-480-front-st-w-455-wellington-st-w/unit-1710-C12827838</t>
  </si>
  <si>
    <t xml:space="preserve">condos.ca registered area 652 sqft* (source Calculated), in MLS bracket 600-699; leased 2026-03-06.</t>
  </si>
  <si>
    <t xml:space="preserve">2250-2499 sqft</t>
  </si>
  <si>
    <t xml:space="preserve">2026-03-03</t>
  </si>
  <si>
    <t xml:space="preserve">C12789034</t>
  </si>
  <si>
    <t xml:space="preserve">https://condos.ca/toronto/the-well-455-480-front-st-w-455-wellington-st-w/unit-910-C12789034</t>
  </si>
  <si>
    <t xml:space="preserve">condos.ca area 2297 sqft*; furnished/short-term lease; leased 2026-03-03.</t>
  </si>
  <si>
    <t xml:space="preserve">1703</t>
  </si>
  <si>
    <t xml:space="preserve">C12529974</t>
  </si>
  <si>
    <t xml:space="preserve">https://condos.ca/toronto/the-well-455-480-front-st-w-455-wellington-st-w/unit-1703-C12529974</t>
  </si>
  <si>
    <t xml:space="preserve">condos.ca area 1004 sqft*; calc SF 1004 outside MLS bracket 900-999 — flagged; leased 2026-02-27.</t>
  </si>
  <si>
    <t xml:space="preserve">C12791944</t>
  </si>
  <si>
    <t xml:space="preserve">https://condos.ca/toronto/the-well-455-480-front-st-w-455-wellington-st-w/unit-1902-C12791944</t>
  </si>
  <si>
    <t xml:space="preserve">condos.ca registered area 994 sqft* (source Calculated), in MLS bracket 900-999; leased 2026-02-20.</t>
  </si>
  <si>
    <t xml:space="preserve">C12614560</t>
  </si>
  <si>
    <t xml:space="preserve">https://condos.ca/toronto/the-well-455-480-front-st-w-455-wellington-st-w/unit-1204-C12614560</t>
  </si>
  <si>
    <t xml:space="preserve">condos.ca registered area 878 sqft* (source Calculated), in MLS bracket 800-899; leased 2026-02-10.</t>
  </si>
  <si>
    <t xml:space="preserve">811</t>
  </si>
  <si>
    <t xml:space="preserve">C12668234</t>
  </si>
  <si>
    <t xml:space="preserve">https://condos.ca/toronto/the-well-455-480-front-st-w-455-wellington-st-w/unit-811-C12668234</t>
  </si>
  <si>
    <t xml:space="preserve">condos.ca registered area 531 sqft* (source Calculated), in MLS bracket 500-599; leased 2026-01-13.</t>
  </si>
  <si>
    <t xml:space="preserve">711</t>
  </si>
  <si>
    <t xml:space="preserve">2026-01-08</t>
  </si>
  <si>
    <t xml:space="preserve">C12608284</t>
  </si>
  <si>
    <t xml:space="preserve">https://condos.ca/toronto/the-well-455-480-front-st-w-455-wellington-st-w/unit-711-C12608284</t>
  </si>
  <si>
    <t xml:space="preserve">condos.ca area 2350 sqft*; furnished/short-term lease; leased 2026-01-08.</t>
  </si>
  <si>
    <t xml:space="preserve">2025-12-23</t>
  </si>
  <si>
    <t xml:space="preserve">C12642630</t>
  </si>
  <si>
    <t xml:space="preserve">https://condos.ca/toronto/the-well-455-480-front-st-w-455-wellington-st-w/unit-702-C12642630</t>
  </si>
  <si>
    <t xml:space="preserve">condos.ca registered area 994 sqft* (source Calculated), in MLS bracket 900-999; leased 2025-12-23.</t>
  </si>
  <si>
    <t xml:space="preserve">C12642568</t>
  </si>
  <si>
    <t xml:space="preserve">https://condos.ca/toronto/the-well-455-480-front-st-w-455-wellington-st-w/unit-1103-C12642568</t>
  </si>
  <si>
    <t xml:space="preserve">condos.ca registered area 1004 sqft* (source Calculated), in MLS bracket 1000-1199; leased 2025-12-23.</t>
  </si>
  <si>
    <t xml:space="preserve">1207</t>
  </si>
  <si>
    <t xml:space="preserve">C12630340</t>
  </si>
  <si>
    <t xml:space="preserve">https://condos.ca/toronto/the-well-455-480-front-st-w-455-wellington-st-w/unit-1207-C12630340</t>
  </si>
  <si>
    <t xml:space="preserve">condos.ca registered area 523 sqft* (source Calculated), in MLS bracket 500-599; leased 2025-12-23.</t>
  </si>
  <si>
    <t xml:space="preserve">2025-12-12</t>
  </si>
  <si>
    <t xml:space="preserve">C12566044</t>
  </si>
  <si>
    <t xml:space="preserve">https://condos.ca/toronto/the-well-455-480-front-st-w-455-wellington-st-w/unit-901-C12566044</t>
  </si>
  <si>
    <t xml:space="preserve">condos.ca registered area 998 sqft* (source Calculated), in MLS bracket 900-999; leased 2025-12-12.</t>
  </si>
  <si>
    <t xml:space="preserve">C12598746</t>
  </si>
  <si>
    <t xml:space="preserve">https://condos.ca/toronto/the-well-455-480-front-st-w-455-wellington-st-w/unit-1702-C12598746</t>
  </si>
  <si>
    <t xml:space="preserve">condos.ca registered area 994 sqft* (source Calculated), in MLS bracket 900-999; leased 2025-12-09.</t>
  </si>
  <si>
    <t xml:space="preserve">Ensuite</t>
  </si>
  <si>
    <t xml:space="preserve">2025-11-27</t>
  </si>
  <si>
    <t xml:space="preserve">C12558448</t>
  </si>
  <si>
    <t xml:space="preserve">https://condos.ca/toronto/the-well-455-480-front-st-w-455-wellington-st-w/unit-1106-C12558448</t>
  </si>
  <si>
    <t xml:space="preserve">condos.ca area 815 sqft*; calc SF 815 outside MLS bracket 900-999 — flagged; leased 2025-11-27.</t>
  </si>
  <si>
    <t xml:space="preserve">1714</t>
  </si>
  <si>
    <t xml:space="preserve">2025-11-13</t>
  </si>
  <si>
    <t xml:space="preserve">C12527562</t>
  </si>
  <si>
    <t xml:space="preserve">https://condos.ca/toronto/the-well-455-480-front-st-w-455-wellington-st-w/unit-1714-C12527562</t>
  </si>
  <si>
    <t xml:space="preserve">condos.ca registered area 927 sqft* (source Calculated), in MLS bracket 900-999; leased 2025-11-13.</t>
  </si>
  <si>
    <t xml:space="preserve">1913</t>
  </si>
  <si>
    <t xml:space="preserve">C12474570</t>
  </si>
  <si>
    <t xml:space="preserve">https://condos.ca/toronto/the-well-455-480-front-st-w-455-wellington-st-w/unit-1913-C12474570</t>
  </si>
  <si>
    <t xml:space="preserve">condos.ca registered area 527 sqft* (source Calculated), in MLS bracket 500-599; leased 2025-10-25.</t>
  </si>
  <si>
    <t xml:space="preserve">1004</t>
  </si>
  <si>
    <t xml:space="preserve">2025-10-22</t>
  </si>
  <si>
    <t xml:space="preserve">C12468678</t>
  </si>
  <si>
    <t xml:space="preserve">https://condos.ca/toronto/the-well-455-480-front-st-w-455-wellington-st-w/unit-1004-C12468678</t>
  </si>
  <si>
    <t xml:space="preserve">condos.ca registered area 878 sqft* (source Calculated), in MLS bracket 800-899; leased 2025-10-22.</t>
  </si>
  <si>
    <t xml:space="preserve">1604</t>
  </si>
  <si>
    <t xml:space="preserve">2025-10-13</t>
  </si>
  <si>
    <t xml:space="preserve">C12345724</t>
  </si>
  <si>
    <t xml:space="preserve">https://condos.ca/toronto/the-well-455-480-front-st-w-455-wellington-st-w/unit-1604-C12345724</t>
  </si>
  <si>
    <t xml:space="preserve">condos.ca registered area 878 sqft* (source Calculated), in MLS bracket 800-899; leased 2025-10-13.</t>
  </si>
  <si>
    <t xml:space="preserve">2025-09-27</t>
  </si>
  <si>
    <t xml:space="preserve">C12360415</t>
  </si>
  <si>
    <t xml:space="preserve">https://condos.ca/toronto/the-well-455-480-front-st-w-455-wellington-st-w/unit-712-C12360415</t>
  </si>
  <si>
    <t xml:space="preserve">condos.ca registered area 558 sqft* (source Calculated), in MLS bracket 500-599; leased 2025-09-27.</t>
  </si>
  <si>
    <t xml:space="preserve">1209</t>
  </si>
  <si>
    <t xml:space="preserve">C12405656</t>
  </si>
  <si>
    <t xml:space="preserve">https://condos.ca/toronto/the-well-455-480-front-st-w-455-wellington-st-w/unit-1209-C12405656</t>
  </si>
  <si>
    <t xml:space="preserve">condos.ca registered area 652 sqft* (source Calculated), in MLS bracket 600-699; leased 2025-09-18.</t>
  </si>
  <si>
    <t xml:space="preserve">2025-09-16</t>
  </si>
  <si>
    <t xml:space="preserve">C12398096</t>
  </si>
  <si>
    <t xml:space="preserve">https://condos.ca/toronto/the-well-455-480-front-st-w-455-wellington-st-w/unit-906-C12398096</t>
  </si>
  <si>
    <t xml:space="preserve">condos.ca registered area 815 sqft* (source Calculated), in MLS bracket 800-899; leased 2025-09-16.</t>
  </si>
  <si>
    <t xml:space="preserve">2025-09-02</t>
  </si>
  <si>
    <t xml:space="preserve">C12347566</t>
  </si>
  <si>
    <t xml:space="preserve">https://condos.ca/toronto/the-well-455-480-front-st-w-455-wellington-st-w/unit-1801-C12347566</t>
  </si>
  <si>
    <t xml:space="preserve">condos.ca area 998 sqft*; calc SF 998 outside MLS bracket 1000-1199 — flagged; furnished/short-term lease; leased 2025-09-02.</t>
  </si>
  <si>
    <t xml:space="preserve">2025-08-27</t>
  </si>
  <si>
    <t xml:space="preserve">C12358466</t>
  </si>
  <si>
    <t xml:space="preserve">https://condos.ca/toronto/the-well-455-480-front-st-w-455-wellington-st-w/unit-803-C12358466</t>
  </si>
  <si>
    <t xml:space="preserve">condos.ca registered area 1004 sqft* (source Calculated), in MLS bracket 1000-1199; leased 2025-08-27.</t>
  </si>
  <si>
    <t xml:space="preserve">C12357325</t>
  </si>
  <si>
    <t xml:space="preserve">https://condos.ca/toronto/the-well-455-480-front-st-w-455-wellington-st-w/unit-813-C12357325</t>
  </si>
  <si>
    <t xml:space="preserve">condos.ca registered area 527 sqft* (source Calculated), in MLS bracket 500-599; leased 2025-08-26.</t>
  </si>
  <si>
    <t xml:space="preserve">1112</t>
  </si>
  <si>
    <t xml:space="preserve">C12332095</t>
  </si>
  <si>
    <t xml:space="preserve">https://condos.ca/toronto/the-well-455-480-front-st-w-455-wellington-st-w/unit-1112-C12332095</t>
  </si>
  <si>
    <t xml:space="preserve">condos.ca registered area 558 sqft* (source Calculated), in MLS bracket 500-599; leased 2025-08-13.</t>
  </si>
  <si>
    <t xml:space="preserve">1800-1999 sqft</t>
  </si>
  <si>
    <t xml:space="preserve">C12203483</t>
  </si>
  <si>
    <t xml:space="preserve">https://condos.ca/toronto/the-well-455-480-front-st-w-455-wellington-st-w/unit-1002-C12203483</t>
  </si>
  <si>
    <t xml:space="preserve">condos.ca registered area 1982 sqft* (source Calculated), in MLS bracket 1800-1999; leased 2025-08-06.</t>
  </si>
  <si>
    <t xml:space="preserve">C12290336</t>
  </si>
  <si>
    <t xml:space="preserve">https://condos.ca/toronto/the-well-455-480-front-st-w-455-wellington-st-w/unit-1802-C12290336</t>
  </si>
  <si>
    <t xml:space="preserve">condos.ca registered area 994 sqft* (source Calculated), in MLS bracket 900-999; leased 2025-07-28.</t>
  </si>
  <si>
    <t xml:space="preserve">1414</t>
  </si>
  <si>
    <t xml:space="preserve">C12268720</t>
  </si>
  <si>
    <t xml:space="preserve">https://condos.ca/toronto/the-well-455-480-front-st-w-455-wellington-st-w/unit-1414-C12268720</t>
  </si>
  <si>
    <t xml:space="preserve">condos.ca registered area 927 sqft* (source Calculated), in MLS bracket 900-999; leased 2025-07-25.</t>
  </si>
  <si>
    <t xml:space="preserve">C12284727</t>
  </si>
  <si>
    <t xml:space="preserve">https://condos.ca/toronto/the-well-455-480-front-st-w-455-wellington-st-w/unit-1703-C12284727</t>
  </si>
  <si>
    <t xml:space="preserve">condos.ca registered area 1004 sqft* (source Calculated), in MLS bracket 1000-1199; leased 2025-07-24.</t>
  </si>
  <si>
    <t xml:space="preserve">C12253143</t>
  </si>
  <si>
    <t xml:space="preserve">https://condos.ca/toronto/the-well-455-480-front-st-w-455-wellington-st-w/unit-1903-C12253143</t>
  </si>
  <si>
    <t xml:space="preserve">condos.ca registered area 1004 sqft* (source Calculated), in MLS bracket 1000-1199; leased 2025-07-23.</t>
  </si>
  <si>
    <t xml:space="preserve">1303</t>
  </si>
  <si>
    <t xml:space="preserve">C12291407</t>
  </si>
  <si>
    <t xml:space="preserve">https://condos.ca/toronto/the-well-455-480-front-st-w-455-wellington-st-w/unit-1303-C12291407</t>
  </si>
  <si>
    <t xml:space="preserve">condos.ca registered area 1004 sqft* (source Calculated), in MLS bracket 1000-1199; leased 2025-07-22.</t>
  </si>
  <si>
    <t xml:space="preserve">C12282067</t>
  </si>
  <si>
    <t xml:space="preserve">https://condos.ca/toronto/the-well-455-480-front-st-w-455-wellington-st-w/unit-1009-C12282067</t>
  </si>
  <si>
    <t xml:space="preserve">condos.ca registered area 652 sqft* (source Calculated), in MLS bracket 600-699; leased 2025-07-18.</t>
  </si>
  <si>
    <t xml:space="preserve">1407</t>
  </si>
  <si>
    <t xml:space="preserve">C12274474</t>
  </si>
  <si>
    <t xml:space="preserve">https://condos.ca/toronto/the-well-455-480-front-st-w-455-wellington-st-w/unit-1407-C12274474</t>
  </si>
  <si>
    <t xml:space="preserve">condos.ca registered area 523 sqft* (source Calculated), in MLS bracket 500-599; leased 2025-07-18.</t>
  </si>
  <si>
    <t xml:space="preserve">1208</t>
  </si>
  <si>
    <t xml:space="preserve">C12241505</t>
  </si>
  <si>
    <t xml:space="preserve">https://condos.ca/toronto/the-well-455-480-front-st-w-455-wellington-st-w/unit-1208-C12241505</t>
  </si>
  <si>
    <t xml:space="preserve">condos.ca registered area 660 sqft* (source Calculated), in MLS bracket 600-699; leased 2025-07-07.</t>
  </si>
  <si>
    <t xml:space="preserve">1109</t>
  </si>
  <si>
    <t xml:space="preserve">C12090411</t>
  </si>
  <si>
    <t xml:space="preserve">https://condos.ca/toronto/the-well-455-480-front-st-w-455-wellington-st-w/unit-1109-C12090411</t>
  </si>
  <si>
    <t xml:space="preserve">condos.ca area 652 sqft*; size 'Known'/stated (not registered area); leased 2025-07-04.</t>
  </si>
  <si>
    <t xml:space="preserve">1108</t>
  </si>
  <si>
    <t xml:space="preserve">C12190110</t>
  </si>
  <si>
    <t xml:space="preserve">https://condos.ca/toronto/the-well-455-480-front-st-w-455-wellington-st-w/unit-1108-C12190110</t>
  </si>
  <si>
    <t xml:space="preserve">condos.ca area 660 sqft*; calc SF 660 outside MLS bracket 500-599 — flagged; leased 2025-06-25.</t>
  </si>
  <si>
    <t xml:space="preserve">C12221959</t>
  </si>
  <si>
    <t xml:space="preserve">https://condos.ca/toronto/the-well-455-480-front-st-w-455-wellington-st-w/unit-1305-C12221959</t>
  </si>
  <si>
    <t xml:space="preserve">condos.ca area 509 sqft*; furnished/short-term lease; leased 2025-06-20.</t>
  </si>
  <si>
    <t xml:space="preserve">1600-1799 sqft</t>
  </si>
  <si>
    <t xml:space="preserve">C12109727</t>
  </si>
  <si>
    <t xml:space="preserve">https://condos.ca/toronto/the-well-455-480-front-st-w-455-wellington-st-w/unit-706-C12109727</t>
  </si>
  <si>
    <t xml:space="preserve">condos.ca registered area 1752 sqft* (source Calculated), in MLS bracket 1600-1799; leased 2025-06-11.</t>
  </si>
  <si>
    <t xml:space="preserve">1110</t>
  </si>
  <si>
    <t xml:space="preserve">2025-05-03</t>
  </si>
  <si>
    <t xml:space="preserve">C12068299</t>
  </si>
  <si>
    <t xml:space="preserve">https://condos.ca/toronto/the-well-455-480-front-st-w-455-wellington-st-w/unit-1110-C12068299</t>
  </si>
  <si>
    <t xml:space="preserve">condos.ca registered area 1886 sqft* (source Calculated), in MLS bracket 1800-1999; leased 2025-05-03.</t>
  </si>
  <si>
    <t xml:space="preserve">C12066415</t>
  </si>
  <si>
    <t xml:space="preserve">https://condos.ca/toronto/the-well-455-480-front-st-w-455-wellington-st-w/unit-1108-C12066415</t>
  </si>
  <si>
    <t xml:space="preserve">condos.ca registered area 1699 sqft* (source Calculated), in MLS bracket 1600-1799; leased 2025-04-17.</t>
  </si>
  <si>
    <t xml:space="preserve">2025-02-03</t>
  </si>
  <si>
    <t xml:space="preserve">C11916521</t>
  </si>
  <si>
    <t xml:space="preserve">https://condos.ca/toronto/the-well-455-480-front-st-w-455-wellington-st-w/unit-910-C11916521</t>
  </si>
  <si>
    <t xml:space="preserve">condos.ca area 2297 sqft*; furnished/short-term lease; leased 2025-02-03.</t>
  </si>
  <si>
    <t xml:space="preserve">5405</t>
  </si>
  <si>
    <t xml:space="preserve">Built 2019 (7 yrs)</t>
  </si>
  <si>
    <t xml:space="preserve">2026-06-19</t>
  </si>
  <si>
    <t xml:space="preserve">C13443384</t>
  </si>
  <si>
    <t xml:space="preserve">https://condos.ca/toronto/ten-york-10-york-st/unit-5405-C13443384</t>
  </si>
  <si>
    <t xml:space="preserve">condos.ca registered area 830 sqft* (source Calculated), in MLS bracket 800-899; leased 2026-06-19.</t>
  </si>
  <si>
    <t xml:space="preserve">3905</t>
  </si>
  <si>
    <t xml:space="preserve">C13247834</t>
  </si>
  <si>
    <t xml:space="preserve">https://condos.ca/toronto/ten-york-10-york-st/unit-3905-C13247834</t>
  </si>
  <si>
    <t xml:space="preserve">condos.ca registered area 830 sqft* (source Calculated), in MLS bracket 800-899; leased 2026-06-08.</t>
  </si>
  <si>
    <t xml:space="preserve">C13235092</t>
  </si>
  <si>
    <t xml:space="preserve">https://condos.ca/toronto/ten-york-10-york-st/unit-4208-C13235092</t>
  </si>
  <si>
    <t xml:space="preserve">condos.ca registered area 575 sqft* (source Calculated), in MLS bracket 500-599; leased 2026-06-08.</t>
  </si>
  <si>
    <t xml:space="preserve">5102</t>
  </si>
  <si>
    <t xml:space="preserve">C13207690</t>
  </si>
  <si>
    <t xml:space="preserve">https://condos.ca/toronto/ten-york-10-york-st/unit-5102-C13207690</t>
  </si>
  <si>
    <t xml:space="preserve">condos.ca registered area 710 sqft* (source Calculated), in MLS bracket 700-799; leased 2026-06-08.</t>
  </si>
  <si>
    <t xml:space="preserve">4003</t>
  </si>
  <si>
    <t xml:space="preserve">C13247746</t>
  </si>
  <si>
    <t xml:space="preserve">https://condos.ca/toronto/ten-york-10-york-st/unit-4003-C13247746</t>
  </si>
  <si>
    <t xml:space="preserve">condos.ca area 830 sqft*; furnished/short-term lease; leased 2026-06-07.</t>
  </si>
  <si>
    <t xml:space="preserve">5001</t>
  </si>
  <si>
    <t xml:space="preserve">2026-06-06</t>
  </si>
  <si>
    <t xml:space="preserve">C13208742</t>
  </si>
  <si>
    <t xml:space="preserve">https://condos.ca/toronto/ten-york-10-york-st/unit-5001-C13208742</t>
  </si>
  <si>
    <t xml:space="preserve">condos.ca registered area 779 sqft* (source Calculated), in MLS bracket 700-799; leased 2026-06-06.</t>
  </si>
  <si>
    <t xml:space="preserve">C13185648</t>
  </si>
  <si>
    <t xml:space="preserve">https://condos.ca/toronto/ten-york-10-york-st/unit-3102-C13185648</t>
  </si>
  <si>
    <t xml:space="preserve">condos.ca registered area 564 sqft* (source Calculated), in MLS bracket 500-599; leased 2026-06-04.</t>
  </si>
  <si>
    <t xml:space="preserve">5906</t>
  </si>
  <si>
    <t xml:space="preserve">2026-06-03</t>
  </si>
  <si>
    <t xml:space="preserve">C13212776</t>
  </si>
  <si>
    <t xml:space="preserve">https://condos.ca/toronto/ten-york-10-york-st/unit-5906-C13212776</t>
  </si>
  <si>
    <t xml:space="preserve">condos.ca area 791 sqft*; calc SF 791 outside MLS bracket 800-899 — flagged; leased 2026-06-03.</t>
  </si>
  <si>
    <t xml:space="preserve">6210</t>
  </si>
  <si>
    <t xml:space="preserve">C13211972</t>
  </si>
  <si>
    <t xml:space="preserve">https://condos.ca/toronto/ten-york-10-york-st/unit-6210-C13211972</t>
  </si>
  <si>
    <t xml:space="preserve">condos.ca registered area 1305 sqft* (source Calculated), in MLS bracket 1200-1399; leased 2026-06-01.</t>
  </si>
  <si>
    <t xml:space="preserve">4013</t>
  </si>
  <si>
    <t xml:space="preserve">C13074522</t>
  </si>
  <si>
    <t xml:space="preserve">https://condos.ca/toronto/ten-york-10-york-st/unit-4013-C13074522</t>
  </si>
  <si>
    <t xml:space="preserve">condos.ca registered area 586 sqft* (source Calculated), in MLS bracket 500-599; leased 2026-06-01.</t>
  </si>
  <si>
    <t xml:space="preserve">C13175000</t>
  </si>
  <si>
    <t xml:space="preserve">https://condos.ca/toronto/ten-york-10-york-st/unit-3003-C13175000</t>
  </si>
  <si>
    <t xml:space="preserve">condos.ca registered area 830 sqft* (source Calculated), in MLS bracket 800-899; leased 2026-05-30.</t>
  </si>
  <si>
    <t xml:space="preserve">1006</t>
  </si>
  <si>
    <t xml:space="preserve">C13101728</t>
  </si>
  <si>
    <t xml:space="preserve">https://condos.ca/toronto/ten-york-10-york-st/unit-1006-C13101728</t>
  </si>
  <si>
    <t xml:space="preserve">condos.ca registered area 651 sqft* (source Calculated), in MLS bracket 600-699; leased 2026-05-30.</t>
  </si>
  <si>
    <t xml:space="preserve">2107</t>
  </si>
  <si>
    <t xml:space="preserve">2026-05-14</t>
  </si>
  <si>
    <t xml:space="preserve">C13079460</t>
  </si>
  <si>
    <t xml:space="preserve">https://condos.ca/toronto/ten-york-10-york-st/unit-2107-C13079460</t>
  </si>
  <si>
    <t xml:space="preserve">condos.ca registered area 648 sqft* (source Calculated), in MLS bracket 600-699; leased 2026-05-14.</t>
  </si>
  <si>
    <t xml:space="preserve">6002</t>
  </si>
  <si>
    <t xml:space="preserve">C13073290</t>
  </si>
  <si>
    <t xml:space="preserve">https://condos.ca/toronto/ten-york-10-york-st/unit-6002-C13073290</t>
  </si>
  <si>
    <t xml:space="preserve">condos.ca registered area 710 sqft* (source Calculated), in MLS bracket 700-799; leased 2026-05-14.</t>
  </si>
  <si>
    <t xml:space="preserve">C13030404</t>
  </si>
  <si>
    <t xml:space="preserve">https://condos.ca/toronto/ten-york-10-york-st/unit-4508-C13030404</t>
  </si>
  <si>
    <t xml:space="preserve">condos.ca registered area 575 sqft* (source Calculated), in MLS bracket 500-599; leased 2026-05-13.</t>
  </si>
  <si>
    <t xml:space="preserve">3410</t>
  </si>
  <si>
    <t xml:space="preserve">C13097418</t>
  </si>
  <si>
    <t xml:space="preserve">https://condos.ca/toronto/ten-york-10-york-st/unit-3410-C13097418</t>
  </si>
  <si>
    <t xml:space="preserve">condos.ca registered area 1305 sqft* (source Calculated), in MLS bracket 1200-1399; leased 2026-05-11.</t>
  </si>
  <si>
    <t xml:space="preserve">4812</t>
  </si>
  <si>
    <t xml:space="preserve">C12959320</t>
  </si>
  <si>
    <t xml:space="preserve">https://condos.ca/toronto/ten-york-10-york-st/unit-4812-C12959320</t>
  </si>
  <si>
    <t xml:space="preserve">condos.ca registered area 582 sqft* (source Calculated), in MLS bracket 500-599; leased 2026-05-08.</t>
  </si>
  <si>
    <t xml:space="preserve">C12984884</t>
  </si>
  <si>
    <t xml:space="preserve">https://condos.ca/toronto/ten-york-10-york-st/unit-1907-C12984884</t>
  </si>
  <si>
    <t xml:space="preserve">condos.ca registered area 648 sqft* (source Calculated), in MLS bracket 600-699; leased 2026-05-06.</t>
  </si>
  <si>
    <t xml:space="preserve">C13057758</t>
  </si>
  <si>
    <t xml:space="preserve">https://condos.ca/toronto/ten-york-10-york-st/unit-3308-C13057758</t>
  </si>
  <si>
    <t xml:space="preserve">condos.ca area 575 sqft*; furnished/short-term lease; leased 2026-05-05.</t>
  </si>
  <si>
    <t xml:space="preserve">5201</t>
  </si>
  <si>
    <t xml:space="preserve">C12889490</t>
  </si>
  <si>
    <t xml:space="preserve">https://condos.ca/toronto/ten-york-10-york-st/unit-5201-C12889490</t>
  </si>
  <si>
    <t xml:space="preserve">condos.ca area 678 sqft*; furnished/short-term lease; leased 2026-05-01.</t>
  </si>
  <si>
    <t xml:space="preserve">5613</t>
  </si>
  <si>
    <t xml:space="preserve">C13042314</t>
  </si>
  <si>
    <t xml:space="preserve">https://condos.ca/toronto/ten-york-10-york-st/unit-5613-C13042314</t>
  </si>
  <si>
    <t xml:space="preserve">condos.ca registered area 586 sqft* (source Calculated), in MLS bracket 500-599; leased 2026-04-28.</t>
  </si>
  <si>
    <t xml:space="preserve">C12758954</t>
  </si>
  <si>
    <t xml:space="preserve">https://condos.ca/toronto/ten-york-10-york-st/unit-3710-C12758954</t>
  </si>
  <si>
    <t xml:space="preserve">condos.ca area 1305 sqft*; furnished/short-term lease; leased 2026-04-20.</t>
  </si>
  <si>
    <t xml:space="preserve">3205</t>
  </si>
  <si>
    <t xml:space="preserve">C12989076</t>
  </si>
  <si>
    <t xml:space="preserve">https://condos.ca/toronto/ten-york-10-york-st/unit-3205-C12989076</t>
  </si>
  <si>
    <t xml:space="preserve">condos.ca registered area 830 sqft* (source Calculated), in MLS bracket 800-899; leased 2026-04-19.</t>
  </si>
  <si>
    <t xml:space="preserve">5813</t>
  </si>
  <si>
    <t xml:space="preserve">C12995254</t>
  </si>
  <si>
    <t xml:space="preserve">https://condos.ca/toronto/ten-york-10-york-st/unit-5813-C12995254</t>
  </si>
  <si>
    <t xml:space="preserve">condos.ca registered area 586 sqft* (source Calculated), in MLS bracket 500-599; leased 2026-04-17.</t>
  </si>
  <si>
    <t xml:space="preserve">C12986466</t>
  </si>
  <si>
    <t xml:space="preserve">https://condos.ca/toronto/ten-york-10-york-st/unit-5108-C12986466</t>
  </si>
  <si>
    <t xml:space="preserve">condos.ca registered area 575 sqft* (source Calculated), in MLS bracket 500-599; leased 2026-04-15.</t>
  </si>
  <si>
    <t xml:space="preserve">C12931016</t>
  </si>
  <si>
    <t xml:space="preserve">https://condos.ca/toronto/ten-york-10-york-st/unit-4309-C12931016</t>
  </si>
  <si>
    <t xml:space="preserve">condos.ca area 602 sqft*; furnished/short-term lease; leased 2026-04-14.</t>
  </si>
  <si>
    <t xml:space="preserve">4205</t>
  </si>
  <si>
    <t xml:space="preserve">2026-04-04</t>
  </si>
  <si>
    <t xml:space="preserve">C12939152</t>
  </si>
  <si>
    <t xml:space="preserve">https://condos.ca/toronto/ten-york-10-york-st/unit-4205-C12939152</t>
  </si>
  <si>
    <t xml:space="preserve">condos.ca area 830 sqft*; furnished/short-term lease; leased 2026-04-04.</t>
  </si>
  <si>
    <t xml:space="preserve">6212</t>
  </si>
  <si>
    <t xml:space="preserve">2026-04-01</t>
  </si>
  <si>
    <t xml:space="preserve">C12829474</t>
  </si>
  <si>
    <t xml:space="preserve">https://condos.ca/toronto/ten-york-10-york-st/unit-6212-C12829474</t>
  </si>
  <si>
    <t xml:space="preserve">condos.ca area 582 sqft*; calc SF 582 outside MLS bracket 600-699 — flagged; leased 2026-04-01.</t>
  </si>
  <si>
    <t xml:space="preserve">2804</t>
  </si>
  <si>
    <t xml:space="preserve">C12911548</t>
  </si>
  <si>
    <t xml:space="preserve">https://condos.ca/toronto/ten-york-10-york-st/unit-2804-C12911548</t>
  </si>
  <si>
    <t xml:space="preserve">condos.ca registered area 649 sqft* (source Calculated), in MLS bracket 600-699; leased 2026-03-31.</t>
  </si>
  <si>
    <t xml:space="preserve">C12680472</t>
  </si>
  <si>
    <t xml:space="preserve">https://condos.ca/toronto/ten-york-10-york-st/unit-5103-C12680472</t>
  </si>
  <si>
    <t xml:space="preserve">condos.ca area 830 sqft*; furnished/short-term lease; leased 2026-03-28.</t>
  </si>
  <si>
    <t xml:space="preserve">1409</t>
  </si>
  <si>
    <t xml:space="preserve">C12873490</t>
  </si>
  <si>
    <t xml:space="preserve">https://condos.ca/toronto/ten-york-10-york-st/unit-1409-C12873490</t>
  </si>
  <si>
    <t xml:space="preserve">condos.ca registered area 602 sqft* (source Calculated), in MLS bracket 600-699; leased 2026-03-26.</t>
  </si>
  <si>
    <t xml:space="preserve">C12748552</t>
  </si>
  <si>
    <t xml:space="preserve">https://condos.ca/toronto/ten-york-10-york-st/unit-2201-C12748552</t>
  </si>
  <si>
    <t xml:space="preserve">condos.ca registered area 630 sqft* (source Calculated), in MLS bracket 600-699; leased 2026-03-24.</t>
  </si>
  <si>
    <t xml:space="preserve">2026-03-23</t>
  </si>
  <si>
    <t xml:space="preserve">C12905674</t>
  </si>
  <si>
    <t xml:space="preserve">https://condos.ca/toronto/ten-york-10-york-st/unit-5009-C12905674</t>
  </si>
  <si>
    <t xml:space="preserve">condos.ca registered area 602 sqft* (source Calculated), in MLS bracket 600-699; leased 2026-03-23.</t>
  </si>
  <si>
    <t xml:space="preserve">2907</t>
  </si>
  <si>
    <t xml:space="preserve">C12836962</t>
  </si>
  <si>
    <t xml:space="preserve">https://condos.ca/toronto/ten-york-10-york-st/unit-2907-C12836962</t>
  </si>
  <si>
    <t xml:space="preserve">condos.ca area 648 sqft*; furnished/short-term lease; leased 2026-03-18.</t>
  </si>
  <si>
    <t xml:space="preserve">C12873382</t>
  </si>
  <si>
    <t xml:space="preserve">https://condos.ca/toronto/ten-york-10-york-st/unit-1910-C12873382</t>
  </si>
  <si>
    <t xml:space="preserve">condos.ca registered area 625 sqft* (source Calculated), in MLS bracket 600-699; leased 2026-03-16.</t>
  </si>
  <si>
    <t xml:space="preserve">2026-03-13</t>
  </si>
  <si>
    <t xml:space="preserve">C12805384</t>
  </si>
  <si>
    <t xml:space="preserve">https://condos.ca/toronto/ten-york-10-york-st/unit-2109-C12805384</t>
  </si>
  <si>
    <t xml:space="preserve">condos.ca registered area 602 sqft* (source Calculated), in MLS bracket 600-699; leased 2026-03-13.</t>
  </si>
  <si>
    <t xml:space="preserve">5907</t>
  </si>
  <si>
    <t xml:space="preserve">C12812460</t>
  </si>
  <si>
    <t xml:space="preserve">https://condos.ca/toronto/ten-york-10-york-st/unit-5907-C12812460</t>
  </si>
  <si>
    <t xml:space="preserve">condos.ca registered area 698 sqft* (source Calculated), in MLS bracket 600-699; leased 2026-03-05.</t>
  </si>
  <si>
    <t xml:space="preserve">4913</t>
  </si>
  <si>
    <t xml:space="preserve">C12806618</t>
  </si>
  <si>
    <t xml:space="preserve">https://condos.ca/toronto/ten-york-10-york-st/unit-4913-C12806618</t>
  </si>
  <si>
    <t xml:space="preserve">condos.ca registered area 586 sqft* (source Calculated), in MLS bracket 500-599; leased 2026-03-04.</t>
  </si>
  <si>
    <t xml:space="preserve">4403</t>
  </si>
  <si>
    <t xml:space="preserve">C12556118</t>
  </si>
  <si>
    <t xml:space="preserve">https://condos.ca/toronto/ten-york-10-york-st/unit-4403-C12556118</t>
  </si>
  <si>
    <t xml:space="preserve">condos.ca registered area 830 sqft* (source Calculated), in MLS bracket 800-899; leased 2026-03-03.</t>
  </si>
  <si>
    <t xml:space="preserve">1210</t>
  </si>
  <si>
    <t xml:space="preserve">C12735584</t>
  </si>
  <si>
    <t xml:space="preserve">https://condos.ca/toronto/ten-york-10-york-st/unit-1210-C12735584</t>
  </si>
  <si>
    <t xml:space="preserve">condos.ca registered area 625 sqft* (source Calculated), in MLS bracket 600-699; leased 2026-02-26.</t>
  </si>
  <si>
    <t xml:space="preserve">C12768772</t>
  </si>
  <si>
    <t xml:space="preserve">https://condos.ca/toronto/ten-york-10-york-st/unit-3908-C12768772</t>
  </si>
  <si>
    <t xml:space="preserve">condos.ca area 575 sqft*; furnished/short-term lease; leased 2026-02-23.</t>
  </si>
  <si>
    <t xml:space="preserve">C12614378</t>
  </si>
  <si>
    <t xml:space="preserve">https://condos.ca/toronto/ten-york-10-york-st/unit-5603-C12614378</t>
  </si>
  <si>
    <t xml:space="preserve">condos.ca registered area 830 sqft* (source Calculated), in MLS bracket 800-899; leased 2026-02-18.</t>
  </si>
  <si>
    <t xml:space="preserve">2026-02-17</t>
  </si>
  <si>
    <t xml:space="preserve">C12774198</t>
  </si>
  <si>
    <t xml:space="preserve">https://condos.ca/toronto/ten-york-10-york-st/unit-4301-C12774198</t>
  </si>
  <si>
    <t xml:space="preserve">condos.ca area 630 sqft*; calc SF 630 outside MLS bracket 0-499 — flagged; leased 2026-02-17.</t>
  </si>
  <si>
    <t xml:space="preserve">C12741536</t>
  </si>
  <si>
    <t xml:space="preserve">https://condos.ca/toronto/ten-york-10-york-st/unit-1912-C12741536</t>
  </si>
  <si>
    <t xml:space="preserve">condos.ca registered area 582 sqft* (source Calculated), in MLS bracket 500-599; leased 2026-02-17.</t>
  </si>
  <si>
    <t xml:space="preserve">3307</t>
  </si>
  <si>
    <t xml:space="preserve">C12739972</t>
  </si>
  <si>
    <t xml:space="preserve">https://condos.ca/toronto/ten-york-10-york-st/unit-3307-C12739972</t>
  </si>
  <si>
    <t xml:space="preserve">condos.ca registered area 648 sqft* (source Calculated), in MLS bracket 600-699; leased 2026-02-17.</t>
  </si>
  <si>
    <t xml:space="preserve">5609</t>
  </si>
  <si>
    <t xml:space="preserve">2026-02-13</t>
  </si>
  <si>
    <t xml:space="preserve">C12781332</t>
  </si>
  <si>
    <t xml:space="preserve">https://condos.ca/toronto/ten-york-10-york-st/unit-5609-C12781332</t>
  </si>
  <si>
    <t xml:space="preserve">condos.ca registered area 602 sqft* (source Calculated), in MLS bracket 600-699; leased 2026-02-13.</t>
  </si>
  <si>
    <t xml:space="preserve">5807</t>
  </si>
  <si>
    <t xml:space="preserve">C12764546</t>
  </si>
  <si>
    <t xml:space="preserve">https://condos.ca/toronto/ten-york-10-york-st/unit-5807-C12764546</t>
  </si>
  <si>
    <t xml:space="preserve">condos.ca registered area 698 sqft* (source Calculated), in MLS bracket 600-699; leased 2026-02-13.</t>
  </si>
  <si>
    <t xml:space="preserve">1510</t>
  </si>
  <si>
    <t xml:space="preserve">C12754160</t>
  </si>
  <si>
    <t xml:space="preserve">https://condos.ca/toronto/ten-york-10-york-st/unit-1510-C12754160</t>
  </si>
  <si>
    <t xml:space="preserve">condos.ca registered area 625 sqft* (source Calculated), in MLS bracket 600-699; leased 2026-02-09.</t>
  </si>
  <si>
    <t xml:space="preserve">909</t>
  </si>
  <si>
    <t xml:space="preserve">C12698114</t>
  </si>
  <si>
    <t xml:space="preserve">https://condos.ca/toronto/ten-york-10-york-st/unit-909-C12698114</t>
  </si>
  <si>
    <t xml:space="preserve">condos.ca registered area 602 sqft* (source Calculated), in MLS bracket 600-699; leased 2026-01-27.</t>
  </si>
  <si>
    <t xml:space="preserve">6101</t>
  </si>
  <si>
    <t xml:space="preserve">2026-01-25</t>
  </si>
  <si>
    <t xml:space="preserve">C12648124</t>
  </si>
  <si>
    <t xml:space="preserve">https://condos.ca/toronto/ten-york-10-york-st/unit-6101-C12648124</t>
  </si>
  <si>
    <t xml:space="preserve">condos.ca registered area 678 sqft* (source Calculated), in MLS bracket 600-699; leased 2026-01-25.</t>
  </si>
  <si>
    <t xml:space="preserve">2210</t>
  </si>
  <si>
    <t xml:space="preserve">C12694918</t>
  </si>
  <si>
    <t xml:space="preserve">https://condos.ca/toronto/ten-york-10-york-st/unit-2210-C12694918</t>
  </si>
  <si>
    <t xml:space="preserve">condos.ca registered area 625 sqft* (source Calculated), in MLS bracket 600-699; leased 2026-01-16.</t>
  </si>
  <si>
    <t xml:space="preserve">4810</t>
  </si>
  <si>
    <t xml:space="preserve">C12653606</t>
  </si>
  <si>
    <t xml:space="preserve">https://condos.ca/toronto/ten-york-10-york-st/unit-4810-C12653606</t>
  </si>
  <si>
    <t xml:space="preserve">condos.ca registered area 1305 sqft* (source Calculated), in MLS bracket 1200-1399; leased 2026-01-13.</t>
  </si>
  <si>
    <t xml:space="preserve">3810</t>
  </si>
  <si>
    <t xml:space="preserve">C12507904</t>
  </si>
  <si>
    <t xml:space="preserve">https://condos.ca/toronto/ten-york-10-york-st/unit-3810-C12507904</t>
  </si>
  <si>
    <t xml:space="preserve">2001</t>
  </si>
  <si>
    <t xml:space="preserve">C12640804</t>
  </si>
  <si>
    <t xml:space="preserve">https://condos.ca/toronto/ten-york-10-york-st/unit-2001-C12640804</t>
  </si>
  <si>
    <t xml:space="preserve">condos.ca registered area 630 sqft* (source Calculated), in MLS bracket 600-699; leased 2026-01-08.</t>
  </si>
  <si>
    <t xml:space="preserve">5510</t>
  </si>
  <si>
    <t xml:space="preserve">2025-12-27</t>
  </si>
  <si>
    <t xml:space="preserve">C12627090</t>
  </si>
  <si>
    <t xml:space="preserve">https://condos.ca/toronto/ten-york-10-york-st/unit-5510-C12627090</t>
  </si>
  <si>
    <t xml:space="preserve">condos.ca registered area 1305 sqft* (source Calculated), in MLS bracket 1200-1399; leased 2025-12-27.</t>
  </si>
  <si>
    <t xml:space="preserve">3903</t>
  </si>
  <si>
    <t xml:space="preserve">C12635248</t>
  </si>
  <si>
    <t xml:space="preserve">https://condos.ca/toronto/ten-york-10-york-st/unit-3903-C12635248</t>
  </si>
  <si>
    <t xml:space="preserve">condos.ca registered area 830 sqft* (source Calculated), in MLS bracket 800-899; leased 2025-12-22.</t>
  </si>
  <si>
    <t xml:space="preserve">2025-12-18</t>
  </si>
  <si>
    <t xml:space="preserve">C12610562</t>
  </si>
  <si>
    <t xml:space="preserve">https://condos.ca/toronto/ten-york-10-york-st/unit-4910-C12610562</t>
  </si>
  <si>
    <t xml:space="preserve">condos.ca registered area 1305 sqft* (source Calculated), in MLS bracket 1200-1399; leased 2025-12-18.</t>
  </si>
  <si>
    <t xml:space="preserve">5008</t>
  </si>
  <si>
    <t xml:space="preserve">C12570054</t>
  </si>
  <si>
    <t xml:space="preserve">https://condos.ca/toronto/ten-york-10-york-st/unit-5008-C12570054</t>
  </si>
  <si>
    <t xml:space="preserve">condos.ca registered area 575 sqft* (source Calculated), in MLS bracket 500-599; leased 2025-12-02.</t>
  </si>
  <si>
    <t xml:space="preserve">3302</t>
  </si>
  <si>
    <t xml:space="preserve">C12556484</t>
  </si>
  <si>
    <t xml:space="preserve">https://condos.ca/toronto/ten-york-10-york-st/unit-3302-C12556484</t>
  </si>
  <si>
    <t xml:space="preserve">condos.ca registered area 564 sqft* (source Calculated), in MLS bracket 500-599; leased 2025-12-02.</t>
  </si>
  <si>
    <t xml:space="preserve">C12521464</t>
  </si>
  <si>
    <t xml:space="preserve">https://condos.ca/toronto/ten-york-10-york-st/unit-3009-C12521464</t>
  </si>
  <si>
    <t xml:space="preserve">condos.ca registered area 602 sqft* (source Calculated), in MLS bracket 600-699; leased 2025-12-01.</t>
  </si>
  <si>
    <t xml:space="preserve">2025-11-30</t>
  </si>
  <si>
    <t xml:space="preserve">C12554158</t>
  </si>
  <si>
    <t xml:space="preserve">https://condos.ca/toronto/ten-york-10-york-st/unit-4607-C12554158</t>
  </si>
  <si>
    <t xml:space="preserve">condos.ca registered area 648 sqft* (source Calculated), in MLS bracket 600-699; leased 2025-11-30.</t>
  </si>
  <si>
    <t xml:space="preserve">C12542564</t>
  </si>
  <si>
    <t xml:space="preserve">https://condos.ca/toronto/ten-york-10-york-st/unit-5001-C12542564</t>
  </si>
  <si>
    <t xml:space="preserve">condos.ca registered area 779 sqft* (source Calculated), in MLS bracket 700-799; leased 2025-11-20.</t>
  </si>
  <si>
    <t xml:space="preserve">2025-11-18</t>
  </si>
  <si>
    <t xml:space="preserve">C12540330</t>
  </si>
  <si>
    <t xml:space="preserve">https://condos.ca/toronto/ten-york-10-york-st/unit-3002-C12540330</t>
  </si>
  <si>
    <t xml:space="preserve">condos.ca registered area 564 sqft* (source Calculated), in MLS bracket 500-599; leased 2025-11-18.</t>
  </si>
  <si>
    <t xml:space="preserve">5412</t>
  </si>
  <si>
    <t xml:space="preserve">C12520274</t>
  </si>
  <si>
    <t xml:space="preserve">https://condos.ca/toronto/ten-york-10-york-st/unit-5412-C12520274</t>
  </si>
  <si>
    <t xml:space="preserve">condos.ca registered area 582 sqft* (source Calculated), in MLS bracket 500-599; leased 2025-11-12.</t>
  </si>
  <si>
    <t xml:space="preserve">2207</t>
  </si>
  <si>
    <t xml:space="preserve">C12474327</t>
  </si>
  <si>
    <t xml:space="preserve">https://condos.ca/toronto/ten-york-10-york-st/unit-2207-C12474327</t>
  </si>
  <si>
    <t xml:space="preserve">condos.ca registered area 648 sqft* (source Calculated), in MLS bracket 600-699; leased 2025-10-28.</t>
  </si>
  <si>
    <t xml:space="preserve">2409</t>
  </si>
  <si>
    <t xml:space="preserve">C12474682</t>
  </si>
  <si>
    <t xml:space="preserve">https://condos.ca/toronto/ten-york-10-york-st/unit-2409-C12474682</t>
  </si>
  <si>
    <t xml:space="preserve">condos.ca registered area 602 sqft* (source Calculated), in MLS bracket 600-699; leased 2025-10-27.</t>
  </si>
  <si>
    <t xml:space="preserve">2025-10-24</t>
  </si>
  <si>
    <t xml:space="preserve">C12477541</t>
  </si>
  <si>
    <t xml:space="preserve">https://condos.ca/toronto/ten-york-10-york-st/unit-5607-C12477541</t>
  </si>
  <si>
    <t xml:space="preserve">condos.ca registered area 698 sqft* (source Calculated), in MLS bracket 600-699; leased 2025-10-24.</t>
  </si>
  <si>
    <t xml:space="preserve">2025-10-17</t>
  </si>
  <si>
    <t xml:space="preserve">C12447791</t>
  </si>
  <si>
    <t xml:space="preserve">https://condos.ca/toronto/ten-york-10-york-st/unit-5610-C12447791</t>
  </si>
  <si>
    <t xml:space="preserve">condos.ca registered area 1305 sqft* (source Calculated), in MLS bracket 1200-1399; leased 2025-10-17.</t>
  </si>
  <si>
    <t xml:space="preserve">5908</t>
  </si>
  <si>
    <t xml:space="preserve">C12443919</t>
  </si>
  <si>
    <t xml:space="preserve">https://condos.ca/toronto/ten-york-10-york-st/unit-5908-C12443919</t>
  </si>
  <si>
    <t xml:space="preserve">condos.ca area 575 sqft*; furnished/short-term lease; leased 2025-10-16.</t>
  </si>
  <si>
    <t xml:space="preserve">1310</t>
  </si>
  <si>
    <t xml:space="preserve">2025-10-03</t>
  </si>
  <si>
    <t xml:space="preserve">C12439066</t>
  </si>
  <si>
    <t xml:space="preserve">https://condos.ca/toronto/ten-york-10-york-st/unit-1310-C12439066</t>
  </si>
  <si>
    <t xml:space="preserve">condos.ca registered area 625 sqft* (source Calculated), in MLS bracket 600-699; leased 2025-10-03.</t>
  </si>
  <si>
    <t xml:space="preserve">802</t>
  </si>
  <si>
    <t xml:space="preserve">2025-10-02</t>
  </si>
  <si>
    <t xml:space="preserve">C12432894</t>
  </si>
  <si>
    <t xml:space="preserve">https://condos.ca/toronto/ten-york-10-york-st/unit-802-C12432894</t>
  </si>
  <si>
    <t xml:space="preserve">condos.ca registered area 564 sqft* (source Calculated), in MLS bracket 500-599; leased 2025-10-02.</t>
  </si>
  <si>
    <t xml:space="preserve">6810</t>
  </si>
  <si>
    <t xml:space="preserve">2500-2749 sqft</t>
  </si>
  <si>
    <t xml:space="preserve">C12331493</t>
  </si>
  <si>
    <t xml:space="preserve">https://condos.ca/toronto/ten-york-10-york-st/unit-6810-C12331493</t>
  </si>
  <si>
    <t xml:space="preserve">condos.ca registered area 2551 sqft* (source Calculated), in MLS bracket 2500-2749; leased 2025-10-02.</t>
  </si>
  <si>
    <t xml:space="preserve">4313</t>
  </si>
  <si>
    <t xml:space="preserve">2025-10-01</t>
  </si>
  <si>
    <t xml:space="preserve">C12389401</t>
  </si>
  <si>
    <t xml:space="preserve">https://condos.ca/toronto/ten-york-10-york-st/unit-4313-C12389401</t>
  </si>
  <si>
    <t xml:space="preserve">condos.ca area 586 sqft*; furnished/short-term lease; leased 2025-10-01.</t>
  </si>
  <si>
    <t xml:space="preserve">C12410383</t>
  </si>
  <si>
    <t xml:space="preserve">https://condos.ca/toronto/ten-york-10-york-st/unit-4309-C12410383</t>
  </si>
  <si>
    <t xml:space="preserve">condos.ca area 602 sqft*; furnished/short-term lease; leased 2025-09-22.</t>
  </si>
  <si>
    <t xml:space="preserve">6105</t>
  </si>
  <si>
    <t xml:space="preserve">C12405536</t>
  </si>
  <si>
    <t xml:space="preserve">https://condos.ca/toronto/ten-york-10-york-st/unit-6105-C12405536</t>
  </si>
  <si>
    <t xml:space="preserve">condos.ca registered area 830 sqft* (source Calculated), in MLS bracket 800-899; leased 2025-09-20.</t>
  </si>
  <si>
    <t xml:space="preserve">5403</t>
  </si>
  <si>
    <t xml:space="preserve">C12334299</t>
  </si>
  <si>
    <t xml:space="preserve">https://condos.ca/toronto/ten-york-10-york-st/unit-5403-C12334299</t>
  </si>
  <si>
    <t xml:space="preserve">condos.ca registered area 830 sqft* (source Calculated), in MLS bracket 800-899; leased 2025-09-16.</t>
  </si>
  <si>
    <t xml:space="preserve">2410</t>
  </si>
  <si>
    <t xml:space="preserve">2025-09-11</t>
  </si>
  <si>
    <t xml:space="preserve">C12384020</t>
  </si>
  <si>
    <t xml:space="preserve">https://condos.ca/toronto/ten-york-10-york-st/unit-2410-C12384020</t>
  </si>
  <si>
    <t xml:space="preserve">condos.ca registered area 625 sqft* (source Calculated), in MLS bracket 600-699; leased 2025-09-11.</t>
  </si>
  <si>
    <t xml:space="preserve">C12381671</t>
  </si>
  <si>
    <t xml:space="preserve">https://condos.ca/toronto/ten-york-10-york-st/unit-3207-C12381671</t>
  </si>
  <si>
    <t xml:space="preserve">condos.ca registered area 648 sqft* (source Calculated), in MLS bracket 600-699; leased 2025-09-11.</t>
  </si>
  <si>
    <t xml:space="preserve">5804</t>
  </si>
  <si>
    <t xml:space="preserve">2025-09-10</t>
  </si>
  <si>
    <t xml:space="preserve">C12369734</t>
  </si>
  <si>
    <t xml:space="preserve">https://condos.ca/toronto/ten-york-10-york-st/unit-5804-C12369734</t>
  </si>
  <si>
    <t xml:space="preserve">condos.ca registered area 649 sqft* (source Calculated), in MLS bracket 600-699; leased 2025-09-10.</t>
  </si>
  <si>
    <t xml:space="preserve">4007</t>
  </si>
  <si>
    <t xml:space="preserve">C12353002</t>
  </si>
  <si>
    <t xml:space="preserve">https://condos.ca/toronto/ten-york-10-york-st/unit-4007-C12353002</t>
  </si>
  <si>
    <t xml:space="preserve">condos.ca area 648 sqft*; size 'Known'/stated (not registered area); leased 2025-09-02.</t>
  </si>
  <si>
    <t xml:space="preserve">5204</t>
  </si>
  <si>
    <t xml:space="preserve">C12351796</t>
  </si>
  <si>
    <t xml:space="preserve">https://condos.ca/toronto/ten-york-10-york-st/unit-5204-C12351796</t>
  </si>
  <si>
    <t xml:space="preserve">condos.ca registered area 649 sqft* (source Calculated), in MLS bracket 600-699; leased 2025-09-02.</t>
  </si>
  <si>
    <t xml:space="preserve">2025-08-31</t>
  </si>
  <si>
    <t xml:space="preserve">C12360795</t>
  </si>
  <si>
    <t xml:space="preserve">https://condos.ca/toronto/ten-york-10-york-st/unit-6201-C12360795</t>
  </si>
  <si>
    <t xml:space="preserve">condos.ca registered area 678 sqft* (source Calculated), in MLS bracket 600-699; leased 2025-08-31.</t>
  </si>
  <si>
    <t xml:space="preserve">4808</t>
  </si>
  <si>
    <t xml:space="preserve">C12329224</t>
  </si>
  <si>
    <t xml:space="preserve">https://condos.ca/toronto/ten-york-10-york-st/unit-4808-C12329224</t>
  </si>
  <si>
    <t xml:space="preserve">condos.ca area 575 sqft*; furnished/short-term lease; leased 2025-08-26.</t>
  </si>
  <si>
    <t xml:space="preserve">C12344290</t>
  </si>
  <si>
    <t xml:space="preserve">https://condos.ca/toronto/ten-york-10-york-st/unit-5601-C12344290</t>
  </si>
  <si>
    <t xml:space="preserve">condos.ca registered area 678 sqft* (source Calculated), in MLS bracket 600-699; leased 2025-08-25.</t>
  </si>
  <si>
    <t xml:space="preserve">1202</t>
  </si>
  <si>
    <t xml:space="preserve">2025-08-20</t>
  </si>
  <si>
    <t xml:space="preserve">C12347175</t>
  </si>
  <si>
    <t xml:space="preserve">https://condos.ca/toronto/ten-york-10-york-st/unit-1202-C12347175</t>
  </si>
  <si>
    <t xml:space="preserve">condos.ca registered area 564 sqft* (source Calculated), in MLS bracket 500-599; leased 2025-08-20.</t>
  </si>
  <si>
    <t xml:space="preserve">C12329222</t>
  </si>
  <si>
    <t xml:space="preserve">https://condos.ca/toronto/ten-york-10-york-st/unit-4109-C12329222</t>
  </si>
  <si>
    <t xml:space="preserve">condos.ca registered area 602 sqft* (source Calculated), in MLS bracket 600-699; leased 2025-08-13.</t>
  </si>
  <si>
    <t xml:space="preserve">C12286149</t>
  </si>
  <si>
    <t xml:space="preserve">https://condos.ca/toronto/ten-york-10-york-st/unit-1308-C12286149</t>
  </si>
  <si>
    <t xml:space="preserve">condos.ca registered area 575 sqft* (source Calculated), in MLS bracket 500-599; leased 2025-08-12.</t>
  </si>
  <si>
    <t xml:space="preserve">C12322945</t>
  </si>
  <si>
    <t xml:space="preserve">https://condos.ca/toronto/ten-york-10-york-st/unit-2102-C12322945</t>
  </si>
  <si>
    <t xml:space="preserve">condos.ca registered area 564 sqft* (source Calculated), in MLS bracket 500-599; leased 2025-08-11.</t>
  </si>
  <si>
    <t xml:space="preserve">3606</t>
  </si>
  <si>
    <t xml:space="preserve">C12306453</t>
  </si>
  <si>
    <t xml:space="preserve">https://condos.ca/toronto/ten-york-10-york-st/unit-3606-C12306453</t>
  </si>
  <si>
    <t xml:space="preserve">condos.ca registered area 651 sqft* (source Calculated), in MLS bracket 600-699; leased 2025-08-11.</t>
  </si>
  <si>
    <t xml:space="preserve">2025-08-10</t>
  </si>
  <si>
    <t xml:space="preserve">C12322935</t>
  </si>
  <si>
    <t xml:space="preserve">https://condos.ca/toronto/ten-york-10-york-st/unit-1703-C12322935</t>
  </si>
  <si>
    <t xml:space="preserve">condos.ca registered area 830 sqft* (source Calculated), in MLS bracket 800-899; leased 2025-08-10.</t>
  </si>
  <si>
    <t xml:space="preserve">C12319196</t>
  </si>
  <si>
    <t xml:space="preserve">https://condos.ca/toronto/ten-york-10-york-st/unit-1108-C12319196</t>
  </si>
  <si>
    <t xml:space="preserve">condos.ca registered area 575 sqft* (source Calculated), in MLS bracket 500-599; leased 2025-08-09.</t>
  </si>
  <si>
    <t xml:space="preserve">C12316116</t>
  </si>
  <si>
    <t xml:space="preserve">https://condos.ca/toronto/ten-york-10-york-st/unit-1408-C12316116</t>
  </si>
  <si>
    <t xml:space="preserve">condos.ca registered area 575 sqft* (source Calculated), in MLS bracket 500-599; leased 2025-08-04.</t>
  </si>
  <si>
    <t xml:space="preserve">C12285379</t>
  </si>
  <si>
    <t xml:space="preserve">https://condos.ca/toronto/ten-york-10-york-st/unit-3510-C12285379</t>
  </si>
  <si>
    <t xml:space="preserve">condos.ca registered area 1305 sqft* (source Calculated), in MLS bracket 1200-1399; leased 2025-08-02.</t>
  </si>
  <si>
    <t xml:space="preserve">1509</t>
  </si>
  <si>
    <t xml:space="preserve">2025-07-31</t>
  </si>
  <si>
    <t xml:space="preserve">C12275295</t>
  </si>
  <si>
    <t xml:space="preserve">https://condos.ca/toronto/ten-york-10-york-st/unit-1509-C12275295</t>
  </si>
  <si>
    <t xml:space="preserve">condos.ca area 602 sqft*; calc SF 602 outside MLS bracket 0-499 — flagged; leased 2025-07-31.</t>
  </si>
  <si>
    <t xml:space="preserve">5406</t>
  </si>
  <si>
    <t xml:space="preserve">C12259589</t>
  </si>
  <si>
    <t xml:space="preserve">https://condos.ca/toronto/ten-york-10-york-st/unit-5406-C12259589</t>
  </si>
  <si>
    <t xml:space="preserve">condos.ca registered area 791 sqft* (source Calculated), in MLS bracket 700-799; leased 2025-07-29.</t>
  </si>
  <si>
    <t xml:space="preserve">C12255228</t>
  </si>
  <si>
    <t xml:space="preserve">https://condos.ca/toronto/ten-york-10-york-st/unit-4212-C12255228</t>
  </si>
  <si>
    <t xml:space="preserve">condos.ca registered area 582 sqft* (source Calculated), in MLS bracket 500-599; leased 2025-07-29.</t>
  </si>
  <si>
    <t xml:space="preserve">C12298406</t>
  </si>
  <si>
    <t xml:space="preserve">https://condos.ca/toronto/ten-york-10-york-st/unit-2012-C12298406</t>
  </si>
  <si>
    <t xml:space="preserve">condos.ca registered area 582 sqft* (source Calculated), in MLS bracket 500-599; leased 2025-07-28.</t>
  </si>
  <si>
    <t xml:space="preserve">5901</t>
  </si>
  <si>
    <t xml:space="preserve">C12176482</t>
  </si>
  <si>
    <t xml:space="preserve">https://condos.ca/toronto/ten-york-10-york-st/unit-5901-C12176482</t>
  </si>
  <si>
    <t xml:space="preserve">condos.ca registered area 678 sqft* (source Calculated), in MLS bracket 600-699; leased 2025-07-28.</t>
  </si>
  <si>
    <t xml:space="preserve">C12298131</t>
  </si>
  <si>
    <t xml:space="preserve">https://condos.ca/toronto/ten-york-10-york-st/unit-3809-C12298131</t>
  </si>
  <si>
    <t xml:space="preserve">condos.ca registered area 602 sqft* (source Calculated), in MLS bracket 600-699; leased 2025-07-26.</t>
  </si>
  <si>
    <t xml:space="preserve">C12290076</t>
  </si>
  <si>
    <t xml:space="preserve">https://condos.ca/toronto/ten-york-10-york-st/unit-2013-C12290076</t>
  </si>
  <si>
    <t xml:space="preserve">condos.ca registered area 586 sqft* (source Calculated), in MLS bracket 500-599; leased 2025-07-23.</t>
  </si>
  <si>
    <t xml:space="preserve">C12289677</t>
  </si>
  <si>
    <t xml:space="preserve">https://condos.ca/toronto/ten-york-10-york-st/unit-1901-C12289677</t>
  </si>
  <si>
    <t xml:space="preserve">condos.ca registered area 630 sqft* (source Calculated), in MLS bracket 600-699; leased 2025-07-22.</t>
  </si>
  <si>
    <t xml:space="preserve">C12263549</t>
  </si>
  <si>
    <t xml:space="preserve">https://condos.ca/toronto/ten-york-10-york-st/unit-5303-C12263549</t>
  </si>
  <si>
    <t xml:space="preserve">condos.ca registered area 830 sqft* (source Calculated), in MLS bracket 800-899; leased 2025-07-21.</t>
  </si>
  <si>
    <t xml:space="preserve">C12266026</t>
  </si>
  <si>
    <t xml:space="preserve">https://condos.ca/toronto/ten-york-10-york-st/unit-4502-C12266026</t>
  </si>
  <si>
    <t xml:space="preserve">condos.ca registered area 564 sqft* (source Calculated), in MLS bracket 500-599; leased 2025-07-18.</t>
  </si>
  <si>
    <t xml:space="preserve">5205</t>
  </si>
  <si>
    <t xml:space="preserve">C12262973</t>
  </si>
  <si>
    <t xml:space="preserve">https://condos.ca/toronto/ten-york-10-york-st/unit-5205-C12262973</t>
  </si>
  <si>
    <t xml:space="preserve">condos.ca registered area 830 sqft* (source Calculated), in MLS bracket 800-899; leased 2025-07-16.</t>
  </si>
  <si>
    <t xml:space="preserve">2105</t>
  </si>
  <si>
    <t xml:space="preserve">C12264091</t>
  </si>
  <si>
    <t xml:space="preserve">https://condos.ca/toronto/ten-york-10-york-st/unit-2105-C12264091</t>
  </si>
  <si>
    <t xml:space="preserve">condos.ca registered area 830 sqft* (source Calculated), in MLS bracket 800-899; leased 2025-07-14.</t>
  </si>
  <si>
    <t xml:space="preserve">2025-07-13</t>
  </si>
  <si>
    <t xml:space="preserve">C12274792</t>
  </si>
  <si>
    <t xml:space="preserve">https://condos.ca/toronto/ten-york-10-york-st/unit-2003-C12274792</t>
  </si>
  <si>
    <t xml:space="preserve">condos.ca registered area 830 sqft* (source Calculated), in MLS bracket 800-899; leased 2025-07-13.</t>
  </si>
  <si>
    <t xml:space="preserve">5012</t>
  </si>
  <si>
    <t xml:space="preserve">C12266786</t>
  </si>
  <si>
    <t xml:space="preserve">https://condos.ca/toronto/ten-york-10-york-st/unit-5012-C12266786</t>
  </si>
  <si>
    <t xml:space="preserve">condos.ca registered area 582 sqft* (source Calculated), in MLS bracket 500-599; leased 2025-07-12.</t>
  </si>
  <si>
    <t xml:space="preserve">C12274631</t>
  </si>
  <si>
    <t xml:space="preserve">https://condos.ca/toronto/ten-york-10-york-st/unit-2101-C12274631</t>
  </si>
  <si>
    <t xml:space="preserve">condos.ca registered area 630 sqft* (source Calculated), in MLS bracket 600-699; leased 2025-07-11.</t>
  </si>
  <si>
    <t xml:space="preserve">5208</t>
  </si>
  <si>
    <t xml:space="preserve">C12216369</t>
  </si>
  <si>
    <t xml:space="preserve">https://condos.ca/toronto/ten-york-10-york-st/unit-5208-C12216369</t>
  </si>
  <si>
    <t xml:space="preserve">condos.ca registered area 575 sqft* (source Calculated), in MLS bracket 500-599; leased 2025-07-08.</t>
  </si>
  <si>
    <t xml:space="preserve">4506</t>
  </si>
  <si>
    <t xml:space="preserve">C12259026</t>
  </si>
  <si>
    <t xml:space="preserve">https://condos.ca/toronto/ten-york-10-york-st/unit-4506-C12259026</t>
  </si>
  <si>
    <t xml:space="preserve">condos.ca registered area 651 sqft* (source Calculated), in MLS bracket 600-699; leased 2025-07-07.</t>
  </si>
  <si>
    <t xml:space="preserve">4513</t>
  </si>
  <si>
    <t xml:space="preserve">C12238231</t>
  </si>
  <si>
    <t xml:space="preserve">https://condos.ca/toronto/ten-york-10-york-st/unit-4513-C12238231</t>
  </si>
  <si>
    <t xml:space="preserve">condos.ca area 586 sqft*; calc SF 586 outside MLS bracket 0-499 — flagged; leased 2025-07-03.</t>
  </si>
  <si>
    <t xml:space="preserve">C12163069</t>
  </si>
  <si>
    <t xml:space="preserve">https://condos.ca/toronto/ten-york-10-york-st/unit-2203-C12163069</t>
  </si>
  <si>
    <t xml:space="preserve">condos.ca area 830 sqft*; furnished/short-term lease; leased 2025-07-03.</t>
  </si>
  <si>
    <t xml:space="preserve">C12236181</t>
  </si>
  <si>
    <t xml:space="preserve">https://condos.ca/toronto/ten-york-10-york-st/unit-5312-C12236181</t>
  </si>
  <si>
    <t xml:space="preserve">condos.ca registered area 582 sqft* (source Calculated), in MLS bracket 500-599; leased 2025-06-30.</t>
  </si>
  <si>
    <t xml:space="preserve">C12126879</t>
  </si>
  <si>
    <t xml:space="preserve">https://condos.ca/toronto/ten-york-10-york-st/unit-2912-C12126879</t>
  </si>
  <si>
    <t xml:space="preserve">condos.ca area 582 sqft*; furnished/short-term lease; leased 2025-06-30.</t>
  </si>
  <si>
    <t xml:space="preserve">C12245668</t>
  </si>
  <si>
    <t xml:space="preserve">https://condos.ca/toronto/ten-york-10-york-st/unit-4610-C12245668</t>
  </si>
  <si>
    <t xml:space="preserve">condos.ca registered area 1305 sqft* (source Calculated), in MLS bracket 1200-1399; leased 2025-06-26.</t>
  </si>
  <si>
    <t xml:space="preserve">C12217989</t>
  </si>
  <si>
    <t xml:space="preserve">https://condos.ca/toronto/ten-york-10-york-st/unit-2104-C12217989</t>
  </si>
  <si>
    <t xml:space="preserve">condos.ca registered area 649 sqft* (source Calculated), in MLS bracket 600-699; leased 2025-06-19.</t>
  </si>
  <si>
    <t xml:space="preserve">2613</t>
  </si>
  <si>
    <t xml:space="preserve">C12220497</t>
  </si>
  <si>
    <t xml:space="preserve">https://condos.ca/toronto/ten-york-10-york-st/unit-2613-C12220497</t>
  </si>
  <si>
    <t xml:space="preserve">condos.ca registered area 586 sqft* (source Calculated), in MLS bracket 500-599; leased 2025-06-16.</t>
  </si>
  <si>
    <t xml:space="preserve">4504</t>
  </si>
  <si>
    <t xml:space="preserve">C12199856</t>
  </si>
  <si>
    <t xml:space="preserve">https://condos.ca/toronto/ten-york-10-york-st/unit-4504-C12199856</t>
  </si>
  <si>
    <t xml:space="preserve">condos.ca registered area 649 sqft* (source Calculated), in MLS bracket 600-699; leased 2025-06-16.</t>
  </si>
  <si>
    <t xml:space="preserve">C12079972</t>
  </si>
  <si>
    <t xml:space="preserve">https://condos.ca/toronto/ten-york-10-york-st/unit-3808-C12079972</t>
  </si>
  <si>
    <t xml:space="preserve">condos.ca area 575 sqft*; calc SF 575 outside MLS bracket 600-699 — flagged; leased 2025-06-11.</t>
  </si>
  <si>
    <t xml:space="preserve">6003</t>
  </si>
  <si>
    <t xml:space="preserve">C12190884</t>
  </si>
  <si>
    <t xml:space="preserve">https://condos.ca/toronto/ten-york-10-york-st/unit-6003-C12190884</t>
  </si>
  <si>
    <t xml:space="preserve">condos.ca registered area 830 sqft* (source Calculated), in MLS bracket 800-899; leased 2025-06-09.</t>
  </si>
  <si>
    <t xml:space="preserve">3204</t>
  </si>
  <si>
    <t xml:space="preserve">C12170939</t>
  </si>
  <si>
    <t xml:space="preserve">https://condos.ca/toronto/ten-york-10-york-st/unit-3204-C12170939</t>
  </si>
  <si>
    <t xml:space="preserve">condos.ca registered area 649 sqft* (source Calculated), in MLS bracket 600-699; leased 2025-06-06.</t>
  </si>
  <si>
    <t xml:space="preserve">C12185466</t>
  </si>
  <si>
    <t xml:space="preserve">https://condos.ca/toronto/ten-york-10-york-st/unit-3206-C12185466</t>
  </si>
  <si>
    <t xml:space="preserve">condos.ca registered area 651 sqft* (source Calculated), in MLS bracket 600-699; leased 2025-06-04.</t>
  </si>
  <si>
    <t xml:space="preserve">2413</t>
  </si>
  <si>
    <t xml:space="preserve">C12174820</t>
  </si>
  <si>
    <t xml:space="preserve">https://condos.ca/toronto/ten-york-10-york-st/unit-2413-C12174820</t>
  </si>
  <si>
    <t xml:space="preserve">condos.ca registered area 586 sqft* (source Calculated), in MLS bracket 500-599; leased 2025-05-29.</t>
  </si>
  <si>
    <t xml:space="preserve">C12039187</t>
  </si>
  <si>
    <t xml:space="preserve">https://condos.ca/toronto/ten-york-10-york-st/unit-2701-C12039187</t>
  </si>
  <si>
    <t xml:space="preserve">condos.ca registered area 630 sqft* (source Calculated), in MLS bracket 600-699; leased 2025-05-29.</t>
  </si>
  <si>
    <t xml:space="preserve">C12120000</t>
  </si>
  <si>
    <t xml:space="preserve">https://condos.ca/toronto/ten-york-10-york-st/unit-5906-C12120000</t>
  </si>
  <si>
    <t xml:space="preserve">condos.ca area 791 sqft*; calc SF 791 outside MLS bracket 800-899 — flagged; leased 2025-05-22.</t>
  </si>
  <si>
    <t xml:space="preserve">1304</t>
  </si>
  <si>
    <t xml:space="preserve">C12123821</t>
  </si>
  <si>
    <t xml:space="preserve">https://condos.ca/toronto/ten-york-10-york-st/unit-1304-C12123821</t>
  </si>
  <si>
    <t xml:space="preserve">condos.ca area 649 sqft*; calc SF 649 outside MLS bracket 0-499 — flagged; leased 2025-05-20.</t>
  </si>
  <si>
    <t xml:space="preserve">3210</t>
  </si>
  <si>
    <t xml:space="preserve">2025-05-16</t>
  </si>
  <si>
    <t xml:space="preserve">C12000305</t>
  </si>
  <si>
    <t xml:space="preserve">https://condos.ca/toronto/ten-york-10-york-st/unit-3210-C12000305</t>
  </si>
  <si>
    <t xml:space="preserve">condos.ca registered area 1305 sqft* (source Calculated), in MLS bracket 1200-1399; leased 2025-05-16.</t>
  </si>
  <si>
    <t xml:space="preserve">2025-05-06</t>
  </si>
  <si>
    <t xml:space="preserve">C12114400</t>
  </si>
  <si>
    <t xml:space="preserve">https://condos.ca/toronto/ten-york-10-york-st/unit-4403-C12114400</t>
  </si>
  <si>
    <t xml:space="preserve">condos.ca registered area 830 sqft* (source Calculated), in MLS bracket 800-899; leased 2025-05-06.</t>
  </si>
  <si>
    <t xml:space="preserve">2401</t>
  </si>
  <si>
    <t xml:space="preserve">C12116529</t>
  </si>
  <si>
    <t xml:space="preserve">https://condos.ca/toronto/ten-york-10-york-st/unit-2401-C12116529</t>
  </si>
  <si>
    <t xml:space="preserve">condos.ca registered area 630 sqft* (source Calculated), in MLS bracket 600-699; leased 2025-05-05.</t>
  </si>
  <si>
    <t xml:space="preserve">C12114209</t>
  </si>
  <si>
    <t xml:space="preserve">https://condos.ca/toronto/ten-york-10-york-st/unit-2801-C12114209</t>
  </si>
  <si>
    <t xml:space="preserve">2209</t>
  </si>
  <si>
    <t xml:space="preserve">C12082281</t>
  </si>
  <si>
    <t xml:space="preserve">https://condos.ca/toronto/ten-york-10-york-st/unit-2209-C12082281</t>
  </si>
  <si>
    <t xml:space="preserve">condos.ca registered area 602 sqft* (source Calculated), in MLS bracket 600-699; leased 2025-04-29.</t>
  </si>
  <si>
    <t xml:space="preserve">2025-04-26</t>
  </si>
  <si>
    <t xml:space="preserve">C12054685</t>
  </si>
  <si>
    <t xml:space="preserve">https://condos.ca/toronto/ten-york-10-york-st/unit-3306-C12054685</t>
  </si>
  <si>
    <t xml:space="preserve">condos.ca registered area 651 sqft* (source Calculated), in MLS bracket 600-699; leased 2025-04-26.</t>
  </si>
  <si>
    <t xml:space="preserve">1513</t>
  </si>
  <si>
    <t xml:space="preserve">C12065744</t>
  </si>
  <si>
    <t xml:space="preserve">https://condos.ca/toronto/ten-york-10-york-st/unit-1513-C12065744</t>
  </si>
  <si>
    <t xml:space="preserve">condos.ca registered area 586 sqft* (source Calculated), in MLS bracket 500-599; leased 2025-04-24.</t>
  </si>
  <si>
    <t xml:space="preserve">C12066318</t>
  </si>
  <si>
    <t xml:space="preserve">https://condos.ca/toronto/ten-york-10-york-st/unit-5201-C12066318</t>
  </si>
  <si>
    <t xml:space="preserve">condos.ca registered area 678 sqft* (source Calculated), in MLS bracket 600-699; leased 2025-04-23.</t>
  </si>
  <si>
    <t xml:space="preserve">C12077161</t>
  </si>
  <si>
    <t xml:space="preserve">https://condos.ca/toronto/ten-york-10-york-st/unit-4013-C12077161</t>
  </si>
  <si>
    <t xml:space="preserve">condos.ca registered area 586 sqft* (source Calculated), in MLS bracket 500-599; leased 2025-04-22.</t>
  </si>
  <si>
    <t xml:space="preserve">2025-04-20</t>
  </si>
  <si>
    <t xml:space="preserve">C12062642</t>
  </si>
  <si>
    <t xml:space="preserve">https://condos.ca/toronto/ten-york-10-york-st/unit-2602-C12062642</t>
  </si>
  <si>
    <t xml:space="preserve">condos.ca registered area 564 sqft* (source Calculated), in MLS bracket 500-599; leased 2025-04-20.</t>
  </si>
  <si>
    <t xml:space="preserve">C12032877</t>
  </si>
  <si>
    <t xml:space="preserve">https://condos.ca/toronto/ten-york-10-york-st/unit-807-C12032877</t>
  </si>
  <si>
    <t xml:space="preserve">condos.ca registered area 648 sqft* (source Calculated), in MLS bracket 600-699; leased 2025-04-20.</t>
  </si>
  <si>
    <t xml:space="preserve">5902</t>
  </si>
  <si>
    <t xml:space="preserve">C12009153</t>
  </si>
  <si>
    <t xml:space="preserve">https://condos.ca/toronto/ten-york-10-york-st/unit-5902-C12009153</t>
  </si>
  <si>
    <t xml:space="preserve">condos.ca registered area 710 sqft* (source Calculated), in MLS bracket 700-799; leased 2025-04-14.</t>
  </si>
  <si>
    <t xml:space="preserve">5005</t>
  </si>
  <si>
    <t xml:space="preserve">2025-04-13</t>
  </si>
  <si>
    <t xml:space="preserve">C11965325</t>
  </si>
  <si>
    <t xml:space="preserve">https://condos.ca/toronto/ten-york-10-york-st/unit-5005-C11965325</t>
  </si>
  <si>
    <t xml:space="preserve">condos.ca registered area 830 sqft* (source Calculated), in MLS bracket 800-899; leased 2025-04-13.</t>
  </si>
  <si>
    <t xml:space="preserve">2025-04-11</t>
  </si>
  <si>
    <t xml:space="preserve">C12061508</t>
  </si>
  <si>
    <t xml:space="preserve">https://condos.ca/toronto/ten-york-10-york-st/unit-2512-C12061508</t>
  </si>
  <si>
    <t xml:space="preserve">condos.ca registered area 582 sqft* (source Calculated), in MLS bracket 500-599; leased 2025-04-11.</t>
  </si>
  <si>
    <t xml:space="preserve">3801</t>
  </si>
  <si>
    <t xml:space="preserve">2025-04-10</t>
  </si>
  <si>
    <t xml:space="preserve">C11963557</t>
  </si>
  <si>
    <t xml:space="preserve">https://condos.ca/toronto/ten-york-10-york-st/unit-3801-C11963557</t>
  </si>
  <si>
    <t xml:space="preserve">condos.ca area 630 sqft*; size 'Known'/stated (not registered area); leased 2025-04-10.</t>
  </si>
  <si>
    <t xml:space="preserve">1205</t>
  </si>
  <si>
    <t xml:space="preserve">2025-04-08</t>
  </si>
  <si>
    <t xml:space="preserve">C12060356</t>
  </si>
  <si>
    <t xml:space="preserve">https://condos.ca/toronto/ten-york-10-york-st/unit-1205-C12060356</t>
  </si>
  <si>
    <t xml:space="preserve">condos.ca registered area 830 sqft* (source Calculated), in MLS bracket 800-899; leased 2025-04-08.</t>
  </si>
  <si>
    <t xml:space="preserve">C12030748</t>
  </si>
  <si>
    <t xml:space="preserve">https://condos.ca/toronto/ten-york-10-york-st/unit-1910-C12030748</t>
  </si>
  <si>
    <t xml:space="preserve">condos.ca registered area 625 sqft* (source Calculated), in MLS bracket 600-699; leased 2025-04-08.</t>
  </si>
  <si>
    <t xml:space="preserve">4113</t>
  </si>
  <si>
    <t xml:space="preserve">C12025652</t>
  </si>
  <si>
    <t xml:space="preserve">https://condos.ca/toronto/ten-york-10-york-st/unit-4113-C12025652</t>
  </si>
  <si>
    <t xml:space="preserve">condos.ca registered area 586 sqft* (source Calculated), in MLS bracket 500-599; leased 2025-04-08.</t>
  </si>
  <si>
    <t xml:space="preserve">C11999500</t>
  </si>
  <si>
    <t xml:space="preserve">https://condos.ca/toronto/ten-york-10-york-st/unit-3602-C11999500</t>
  </si>
  <si>
    <t xml:space="preserve">condos.ca area 564 sqft*; calc SF 564 outside MLS bracket 600-699 — flagged; furnished/short-term lease; leased 2025-04-07.</t>
  </si>
  <si>
    <t xml:space="preserve">6403</t>
  </si>
  <si>
    <t xml:space="preserve">C12022181</t>
  </si>
  <si>
    <t xml:space="preserve">https://condos.ca/toronto/ten-york-10-york-st/unit-6403-C12022181</t>
  </si>
  <si>
    <t xml:space="preserve">condos.ca area 1489 sqft*; furnished/short-term lease; leased 2025-03-27.</t>
  </si>
  <si>
    <t xml:space="preserve">6103</t>
  </si>
  <si>
    <t xml:space="preserve">C12022754</t>
  </si>
  <si>
    <t xml:space="preserve">https://condos.ca/toronto/ten-york-10-york-st/unit-6103-C12022754</t>
  </si>
  <si>
    <t xml:space="preserve">condos.ca registered area 830 sqft* (source Calculated), in MLS bracket 800-899; leased 2025-03-25.</t>
  </si>
  <si>
    <t xml:space="preserve">2025-03-22</t>
  </si>
  <si>
    <t xml:space="preserve">C11954323</t>
  </si>
  <si>
    <t xml:space="preserve">https://condos.ca/toronto/ten-york-10-york-st/unit-910-C11954323</t>
  </si>
  <si>
    <t xml:space="preserve">condos.ca registered area 625 sqft* (source Calculated), in MLS bracket 600-699; leased 2025-03-22.</t>
  </si>
  <si>
    <t xml:space="preserve">5508</t>
  </si>
  <si>
    <t xml:space="preserve">2025-03-21</t>
  </si>
  <si>
    <t xml:space="preserve">C12009990</t>
  </si>
  <si>
    <t xml:space="preserve">https://condos.ca/toronto/ten-york-10-york-st/unit-5508-C12009990</t>
  </si>
  <si>
    <t xml:space="preserve">condos.ca area 575 sqft*; furnished/short-term lease; leased 2025-03-21.</t>
  </si>
  <si>
    <t xml:space="preserve">3609</t>
  </si>
  <si>
    <t xml:space="preserve">C12017394</t>
  </si>
  <si>
    <t xml:space="preserve">https://condos.ca/toronto/ten-york-10-york-st/unit-3609-C12017394</t>
  </si>
  <si>
    <t xml:space="preserve">condos.ca registered area 602 sqft* (source Calculated), in MLS bracket 600-699; leased 2025-03-19.</t>
  </si>
  <si>
    <t xml:space="preserve">585-585 sqft</t>
  </si>
  <si>
    <t xml:space="preserve">2025-03-17</t>
  </si>
  <si>
    <t xml:space="preserve">40705245</t>
  </si>
  <si>
    <t xml:space="preserve">https://condos.ca/toronto/ten-york-10-york-st/unit-2713-40705245</t>
  </si>
  <si>
    <t xml:space="preserve">condos.ca area 586 sqft*; size 'Known'/stated (not registered area); calc SF 586 outside MLS bracket 585-585 — flagged; furnished/short-term lease; leased 2025-03-17.</t>
  </si>
  <si>
    <t xml:space="preserve">5806</t>
  </si>
  <si>
    <t xml:space="preserve">2025-03-14</t>
  </si>
  <si>
    <t xml:space="preserve">C11965264</t>
  </si>
  <si>
    <t xml:space="preserve">https://condos.ca/toronto/ten-york-10-york-st/unit-5806-C11965264</t>
  </si>
  <si>
    <t xml:space="preserve">condos.ca registered area 791 sqft* (source Calculated), in MLS bracket 700-799; leased 2025-03-14.</t>
  </si>
  <si>
    <t xml:space="preserve">4204</t>
  </si>
  <si>
    <t xml:space="preserve">2025-03-08</t>
  </si>
  <si>
    <t xml:space="preserve">C11999549</t>
  </si>
  <si>
    <t xml:space="preserve">https://condos.ca/toronto/ten-york-10-york-st/unit-4204-C11999549</t>
  </si>
  <si>
    <t xml:space="preserve">condos.ca registered area 649 sqft* (source Calculated), in MLS bracket 600-699; leased 2025-03-08.</t>
  </si>
  <si>
    <t xml:space="preserve">2025-03-07</t>
  </si>
  <si>
    <t xml:space="preserve">C11989174</t>
  </si>
  <si>
    <t xml:space="preserve">https://condos.ca/toronto/ten-york-10-york-st/unit-5108-C11989174</t>
  </si>
  <si>
    <t xml:space="preserve">condos.ca registered area 575 sqft* (source Calculated), in MLS bracket 500-599; leased 2025-03-07.</t>
  </si>
  <si>
    <t xml:space="preserve">2025-03-06</t>
  </si>
  <si>
    <t xml:space="preserve">C11965044</t>
  </si>
  <si>
    <t xml:space="preserve">https://condos.ca/toronto/ten-york-10-york-st/unit-4105-C11965044</t>
  </si>
  <si>
    <t xml:space="preserve">condos.ca registered area 830 sqft* (source Calculated), in MLS bracket 800-899; leased 2025-03-06.</t>
  </si>
  <si>
    <t xml:space="preserve">4602</t>
  </si>
  <si>
    <t xml:space="preserve">2025-02-26</t>
  </si>
  <si>
    <t xml:space="preserve">C11938094</t>
  </si>
  <si>
    <t xml:space="preserve">https://condos.ca/toronto/ten-york-10-york-st/unit-4602-C11938094</t>
  </si>
  <si>
    <t xml:space="preserve">condos.ca area 564 sqft*; furnished/short-term lease; leased 2025-02-26.</t>
  </si>
  <si>
    <t xml:space="preserve">2025-02-19</t>
  </si>
  <si>
    <t xml:space="preserve">C11944990</t>
  </si>
  <si>
    <t xml:space="preserve">https://condos.ca/toronto/ten-york-10-york-st/unit-902-C11944990</t>
  </si>
  <si>
    <t xml:space="preserve">condos.ca registered area 564 sqft* (source Calculated), in MLS bracket 500-599; leased 2025-02-19.</t>
  </si>
  <si>
    <t xml:space="preserve">2025-02-13</t>
  </si>
  <si>
    <t xml:space="preserve">C11925383</t>
  </si>
  <si>
    <t xml:space="preserve">https://condos.ca/toronto/ten-york-10-york-st/unit-3003-C11925383</t>
  </si>
  <si>
    <t xml:space="preserve">condos.ca registered area 830 sqft* (source Calculated), in MLS bracket 800-899; leased 2025-02-13.</t>
  </si>
  <si>
    <t xml:space="preserve">5905</t>
  </si>
  <si>
    <t xml:space="preserve">C11951537</t>
  </si>
  <si>
    <t xml:space="preserve">https://condos.ca/toronto/ten-york-10-york-st/unit-5905-C11951537</t>
  </si>
  <si>
    <t xml:space="preserve">condos.ca registered area 830 sqft* (source Calculated), in MLS bracket 800-899; leased 2025-02-11.</t>
  </si>
  <si>
    <t xml:space="preserve">4304</t>
  </si>
  <si>
    <t xml:space="preserve">2025-02-10</t>
  </si>
  <si>
    <t xml:space="preserve">C11943245</t>
  </si>
  <si>
    <t xml:space="preserve">https://condos.ca/toronto/ten-york-10-york-st/unit-4304-C11943245</t>
  </si>
  <si>
    <t xml:space="preserve">condos.ca registered area 649 sqft* (source Calculated), in MLS bracket 600-699; leased 2025-02-10.</t>
  </si>
  <si>
    <t xml:space="preserve">3309</t>
  </si>
  <si>
    <t xml:space="preserve">2025-02-04</t>
  </si>
  <si>
    <t xml:space="preserve">C11949717</t>
  </si>
  <si>
    <t xml:space="preserve">https://condos.ca/toronto/ten-york-10-york-st/unit-3309-C11949717</t>
  </si>
  <si>
    <t xml:space="preserve">condos.ca registered area 602 sqft* (source Calculated), in MLS bracket 600-699; leased 2025-02-04.</t>
  </si>
  <si>
    <t xml:space="preserve">5301</t>
  </si>
  <si>
    <t xml:space="preserve">2025-02-01</t>
  </si>
  <si>
    <t xml:space="preserve">C11897325</t>
  </si>
  <si>
    <t xml:space="preserve">https://condos.ca/toronto/ten-york-10-york-st/unit-5301-C11897325</t>
  </si>
  <si>
    <t xml:space="preserve">condos.ca area 678 sqft*; calc SF 678 outside MLS bracket 900-999 — flagged; leased 2025-02-01.</t>
  </si>
  <si>
    <t xml:space="preserve">1301</t>
  </si>
  <si>
    <t xml:space="preserve">2025-01-30</t>
  </si>
  <si>
    <t xml:space="preserve">C11896613</t>
  </si>
  <si>
    <t xml:space="preserve">https://condos.ca/toronto/ten-york-10-york-st/unit-1301-C11896613</t>
  </si>
  <si>
    <t xml:space="preserve">condos.ca registered area 630 sqft* (source Calculated), in MLS bracket 600-699; leased 2025-01-30.</t>
  </si>
  <si>
    <t xml:space="preserve">2404</t>
  </si>
  <si>
    <t xml:space="preserve">2025-01-29</t>
  </si>
  <si>
    <t xml:space="preserve">C11930833</t>
  </si>
  <si>
    <t xml:space="preserve">https://condos.ca/toronto/ten-york-10-york-st/unit-2404-C11930833</t>
  </si>
  <si>
    <t xml:space="preserve">condos.ca registered area 649 sqft* (source Calculated), in MLS bracket 600-699; leased 2025-01-29.</t>
  </si>
  <si>
    <t xml:space="preserve">1401</t>
  </si>
  <si>
    <t xml:space="preserve">2025-01-25</t>
  </si>
  <si>
    <t xml:space="preserve">C11899902</t>
  </si>
  <si>
    <t xml:space="preserve">https://condos.ca/toronto/ten-york-10-york-st/unit-1401-C11899902</t>
  </si>
  <si>
    <t xml:space="preserve">condos.ca registered area 630 sqft* (source Calculated), in MLS bracket 600-699; leased 2025-01-25.</t>
  </si>
  <si>
    <t xml:space="preserve">C11901205</t>
  </si>
  <si>
    <t xml:space="preserve">https://condos.ca/toronto/ten-york-10-york-st/unit-2508-C11901205</t>
  </si>
  <si>
    <t xml:space="preserve">condos.ca registered area 575 sqft* (source Calculated), in MLS bracket 500-599; leased 2025-01-24.</t>
  </si>
  <si>
    <t xml:space="preserve">2025-01-11</t>
  </si>
  <si>
    <t xml:space="preserve">C11910166</t>
  </si>
  <si>
    <t xml:space="preserve">https://condos.ca/toronto/ten-york-10-york-st/unit-2907-C11910166</t>
  </si>
  <si>
    <t xml:space="preserve">condos.ca area 648 sqft*; furnished/short-term lease; leased 2025-01-11.</t>
  </si>
  <si>
    <t xml:space="preserve">6005</t>
  </si>
  <si>
    <t xml:space="preserve">2025-01-01</t>
  </si>
  <si>
    <t xml:space="preserve">C11411344</t>
  </si>
  <si>
    <t xml:space="preserve">https://condos.ca/toronto/ten-york-10-york-st/unit-6005-C11411344</t>
  </si>
  <si>
    <t xml:space="preserve">condos.ca registered area 830 sqft* (source Calculated), in MLS bracket 800-899; leased 2025-01-01.</t>
  </si>
  <si>
    <t xml:space="preserve">Built 2018 (8 yrs)</t>
  </si>
  <si>
    <t xml:space="preserve">C13212972</t>
  </si>
  <si>
    <t xml:space="preserve">https://condos.ca/toronto/forward-condos-70-90-queens-wharf-rd/unit-906-C13212972</t>
  </si>
  <si>
    <t xml:space="preserve">condos.ca registered area 928 sqft* (source Calculated), in MLS bracket 900-999; leased 2026-06-15.</t>
  </si>
  <si>
    <t xml:space="preserve">C13229088</t>
  </si>
  <si>
    <t xml:space="preserve">https://condos.ca/toronto/forward-condos-70-90-queens-wharf-rd/unit-1501-C13229088</t>
  </si>
  <si>
    <t xml:space="preserve">condos.ca registered area 579 sqft* (source Calculated), in MLS bracket 500-599; leased 2026-06-09.</t>
  </si>
  <si>
    <t xml:space="preserve">C13220162</t>
  </si>
  <si>
    <t xml:space="preserve">https://condos.ca/toronto/forward-condos-70-90-queens-wharf-rd/unit-1109-C13220162</t>
  </si>
  <si>
    <t xml:space="preserve">condos.ca registered area 802 sqft* (source Calculated), in MLS bracket 800-899; leased 2026-06-07.</t>
  </si>
  <si>
    <t xml:space="preserve">C13221156</t>
  </si>
  <si>
    <t xml:space="preserve">https://condos.ca/toronto/forward-condos-70-90-queens-wharf-rd/unit-2601-C13221156</t>
  </si>
  <si>
    <t xml:space="preserve">condos.ca registered area 579 sqft* (source Calculated), in MLS bracket 500-599; leased 2026-06-06.</t>
  </si>
  <si>
    <t xml:space="preserve">C13217472</t>
  </si>
  <si>
    <t xml:space="preserve">https://condos.ca/toronto/forward-condos-70-90-queens-wharf-rd/unit-1801-C13217472</t>
  </si>
  <si>
    <t xml:space="preserve">condos.ca registered area 507 sqft* (source Calculated), in MLS bracket 500-599; leased 2026-06-05.</t>
  </si>
  <si>
    <t xml:space="preserve">C13044528</t>
  </si>
  <si>
    <t xml:space="preserve">https://condos.ca/toronto/forward-condos-70-90-queens-wharf-rd/unit-705-C13044528</t>
  </si>
  <si>
    <t xml:space="preserve">condos.ca area 500 sqft*; furnished/short-term lease; leased 2026-05-30.</t>
  </si>
  <si>
    <t xml:space="preserve">C13087912</t>
  </si>
  <si>
    <t xml:space="preserve">https://condos.ca/toronto/forward-condos-70-90-queens-wharf-rd/unit-1708-C13087912</t>
  </si>
  <si>
    <t xml:space="preserve">condos.ca registered area 560 sqft* (source Calculated), in MLS bracket 500-599; leased 2026-05-29.</t>
  </si>
  <si>
    <t xml:space="preserve">C13028026</t>
  </si>
  <si>
    <t xml:space="preserve">https://condos.ca/toronto/forward-condos-70-90-queens-wharf-rd/unit-901-C13028026</t>
  </si>
  <si>
    <t xml:space="preserve">condos.ca registered area 579 sqft* (source Calculated), in MLS bracket 500-599; leased 2026-05-26.</t>
  </si>
  <si>
    <t xml:space="preserve">C12948708</t>
  </si>
  <si>
    <t xml:space="preserve">https://condos.ca/toronto/forward-condos-70-90-queens-wharf-rd/unit-910-C12948708</t>
  </si>
  <si>
    <t xml:space="preserve">condos.ca registered area 898 sqft* (source Calculated), in MLS bracket 800-899; leased 2026-05-25.</t>
  </si>
  <si>
    <t xml:space="preserve">C12942378</t>
  </si>
  <si>
    <t xml:space="preserve">https://condos.ca/toronto/forward-condos-70-90-queens-wharf-rd/unit-810-C12942378</t>
  </si>
  <si>
    <t xml:space="preserve">2026-05-22</t>
  </si>
  <si>
    <t xml:space="preserve">C13106378</t>
  </si>
  <si>
    <t xml:space="preserve">https://condos.ca/toronto/forward-condos-70-90-queens-wharf-rd/unit-2912-C13106378</t>
  </si>
  <si>
    <t xml:space="preserve">condos.ca registered area 1038 sqft* (source Calculated), in MLS bracket 1000-1199; leased 2026-05-22.</t>
  </si>
  <si>
    <t xml:space="preserve">2026-05-16</t>
  </si>
  <si>
    <t xml:space="preserve">C13063856</t>
  </si>
  <si>
    <t xml:space="preserve">https://condos.ca/toronto/forward-condos-70-90-queens-wharf-rd/unit-1706-C13063856</t>
  </si>
  <si>
    <t xml:space="preserve">condos.ca registered area 705 sqft* (source Calculated), in MLS bracket 700-799; leased 2026-05-16.</t>
  </si>
  <si>
    <t xml:space="preserve">1712</t>
  </si>
  <si>
    <t xml:space="preserve">2026-05-15</t>
  </si>
  <si>
    <t xml:space="preserve">C13083202</t>
  </si>
  <si>
    <t xml:space="preserve">https://condos.ca/toronto/forward-condos-70-90-queens-wharf-rd/unit-1712-C13083202</t>
  </si>
  <si>
    <t xml:space="preserve">condos.ca registered area 570 sqft* (source Calculated), in MLS bracket 500-599; leased 2026-05-15.</t>
  </si>
  <si>
    <t xml:space="preserve">C13107738</t>
  </si>
  <si>
    <t xml:space="preserve">https://condos.ca/toronto/forward-condos-70-90-queens-wharf-rd/unit-602-C13107738</t>
  </si>
  <si>
    <t xml:space="preserve">condos.ca registered area 535 sqft* (source Calculated), in MLS bracket 500-599; leased 2026-05-14.</t>
  </si>
  <si>
    <t xml:space="preserve">C13092234</t>
  </si>
  <si>
    <t xml:space="preserve">https://condos.ca/toronto/forward-condos-70-90-queens-wharf-rd/unit-1603-C13092234</t>
  </si>
  <si>
    <t xml:space="preserve">condos.ca registered area 500 sqft* (source Calculated), in MLS bracket 500-599; leased 2026-05-13.</t>
  </si>
  <si>
    <t xml:space="preserve">C13083050</t>
  </si>
  <si>
    <t xml:space="preserve">https://condos.ca/toronto/forward-condos-70-90-queens-wharf-rd/unit-509-C13083050</t>
  </si>
  <si>
    <t xml:space="preserve">condos.ca registered area 645 sqft* (source Calculated), in MLS bracket 600-699; leased 2026-05-13.</t>
  </si>
  <si>
    <t xml:space="preserve">C13040090</t>
  </si>
  <si>
    <t xml:space="preserve">https://condos.ca/toronto/forward-condos-70-90-queens-wharf-rd/unit-1707-C13040090</t>
  </si>
  <si>
    <t xml:space="preserve">condos.ca registered area 577 sqft* (source Calculated), in MLS bracket 500-599; leased 2026-05-08.</t>
  </si>
  <si>
    <t xml:space="preserve">C12891244</t>
  </si>
  <si>
    <t xml:space="preserve">https://condos.ca/toronto/forward-condos-70-90-queens-wharf-rd/unit-1509-C12891244</t>
  </si>
  <si>
    <t xml:space="preserve">condos.ca registered area 802 sqft* (source Calculated), in MLS bracket 800-899; leased 2026-05-07.</t>
  </si>
  <si>
    <t xml:space="preserve">C12881786</t>
  </si>
  <si>
    <t xml:space="preserve">https://condos.ca/toronto/forward-condos-70-90-queens-wharf-rd/unit-706-C12881786</t>
  </si>
  <si>
    <t xml:space="preserve">condos.ca registered area 675 sqft* (source Calculated), in MLS bracket 600-699; leased 2026-05-04.</t>
  </si>
  <si>
    <t xml:space="preserve">C12994112</t>
  </si>
  <si>
    <t xml:space="preserve">https://condos.ca/toronto/forward-condos-70-90-queens-wharf-rd/unit-1509-C12994112</t>
  </si>
  <si>
    <t xml:space="preserve">condos.ca registered area 577 sqft* (source Calculated), in MLS bracket 500-599; leased 2026-04-30.</t>
  </si>
  <si>
    <t xml:space="preserve">C13013866</t>
  </si>
  <si>
    <t xml:space="preserve">https://condos.ca/toronto/forward-condos-70-90-queens-wharf-rd/unit-2815-C13013866</t>
  </si>
  <si>
    <t xml:space="preserve">condos.ca registered area 579 sqft* (source Calculated), in MLS bracket 500-599; leased 2026-04-28.</t>
  </si>
  <si>
    <t xml:space="preserve">1505</t>
  </si>
  <si>
    <t xml:space="preserve">C12901254</t>
  </si>
  <si>
    <t xml:space="preserve">https://condos.ca/toronto/forward-condos-70-90-queens-wharf-rd/unit-1505-C12901254</t>
  </si>
  <si>
    <t xml:space="preserve">condos.ca registered area 500 sqft* (source Calculated), in MLS bracket 500-599; leased 2026-04-28.</t>
  </si>
  <si>
    <t xml:space="preserve">2008</t>
  </si>
  <si>
    <t xml:space="preserve">C12980984</t>
  </si>
  <si>
    <t xml:space="preserve">https://condos.ca/toronto/forward-condos-70-90-queens-wharf-rd/unit-2008-C12980984</t>
  </si>
  <si>
    <t xml:space="preserve">condos.ca registered area 560 sqft* (source Calculated), in MLS bracket 500-599; leased 2026-04-27.</t>
  </si>
  <si>
    <t xml:space="preserve">1503</t>
  </si>
  <si>
    <t xml:space="preserve">C12975184</t>
  </si>
  <si>
    <t xml:space="preserve">https://condos.ca/toronto/forward-condos-70-90-queens-wharf-rd/unit-1503-C12975184</t>
  </si>
  <si>
    <t xml:space="preserve">condos.ca registered area 650 sqft* (source Calculated), in MLS bracket 600-699; leased 2026-04-18.</t>
  </si>
  <si>
    <t xml:space="preserve">C12961310</t>
  </si>
  <si>
    <t xml:space="preserve">https://condos.ca/toronto/forward-condos-70-90-queens-wharf-rd/unit-1205-C12961310</t>
  </si>
  <si>
    <t xml:space="preserve">condos.ca registered area 525 sqft* (source Calculated), in MLS bracket 500-599; leased 2026-04-14.</t>
  </si>
  <si>
    <t xml:space="preserve">3008</t>
  </si>
  <si>
    <t xml:space="preserve">C12910072</t>
  </si>
  <si>
    <t xml:space="preserve">https://condos.ca/toronto/forward-condos-70-90-queens-wharf-rd/unit-3008-C12910072</t>
  </si>
  <si>
    <t xml:space="preserve">condos.ca area 505 sqft*; furnished/short-term lease; leased 2026-04-14.</t>
  </si>
  <si>
    <t xml:space="preserve">C12937670</t>
  </si>
  <si>
    <t xml:space="preserve">https://condos.ca/toronto/forward-condos-70-90-queens-wharf-rd/unit-2107-C12937670</t>
  </si>
  <si>
    <t xml:space="preserve">condos.ca registered area 577 sqft* (source Calculated), in MLS bracket 500-599; leased 2026-04-13.</t>
  </si>
  <si>
    <t xml:space="preserve">C12832266</t>
  </si>
  <si>
    <t xml:space="preserve">https://condos.ca/toronto/forward-condos-70-90-queens-wharf-rd/unit-808-C12832266</t>
  </si>
  <si>
    <t xml:space="preserve">condos.ca registered area 505 sqft* (source Calculated), in MLS bracket 500-599; leased 2026-04-13.</t>
  </si>
  <si>
    <t xml:space="preserve">C12937696</t>
  </si>
  <si>
    <t xml:space="preserve">https://condos.ca/toronto/forward-condos-70-90-queens-wharf-rd/unit-3208-C12937696</t>
  </si>
  <si>
    <t xml:space="preserve">condos.ca registered area 505 sqft* (source Calculated), in MLS bracket 500-599; leased 2026-04-10.</t>
  </si>
  <si>
    <t xml:space="preserve">301</t>
  </si>
  <si>
    <t xml:space="preserve">C12897380</t>
  </si>
  <si>
    <t xml:space="preserve">https://condos.ca/toronto/forward-condos-70-90-queens-wharf-rd/unit-301-C12897380</t>
  </si>
  <si>
    <t xml:space="preserve">condos.ca registered area 579 sqft* (source Calculated), in MLS bracket 500-599; leased 2026-04-10.</t>
  </si>
  <si>
    <t xml:space="preserve">C12893972</t>
  </si>
  <si>
    <t xml:space="preserve">https://condos.ca/toronto/forward-condos-70-90-queens-wharf-rd/unit-1212-C12893972</t>
  </si>
  <si>
    <t xml:space="preserve">condos.ca registered area 570 sqft* (source Calculated), in MLS bracket 500-599; leased 2026-04-10.</t>
  </si>
  <si>
    <t xml:space="preserve">C12817628</t>
  </si>
  <si>
    <t xml:space="preserve">https://condos.ca/toronto/forward-condos-70-90-queens-wharf-rd/unit-2606-C12817628</t>
  </si>
  <si>
    <t xml:space="preserve">condos.ca registered area 705 sqft* (source Calculated), in MLS bracket 700-799; leased 2026-04-06.</t>
  </si>
  <si>
    <t xml:space="preserve">2026-04-05</t>
  </si>
  <si>
    <t xml:space="preserve">C12873256</t>
  </si>
  <si>
    <t xml:space="preserve">https://condos.ca/toronto/forward-condos-70-90-queens-wharf-rd/unit-1715-C12873256</t>
  </si>
  <si>
    <t xml:space="preserve">condos.ca registered area 537 sqft* (source Calculated), in MLS bracket 500-599; leased 2026-04-05.</t>
  </si>
  <si>
    <t xml:space="preserve">609</t>
  </si>
  <si>
    <t xml:space="preserve">C12500732</t>
  </si>
  <si>
    <t xml:space="preserve">https://condos.ca/toronto/forward-condos-70-90-queens-wharf-rd/unit-609-C12500732</t>
  </si>
  <si>
    <t xml:space="preserve">condos.ca registered area 802 sqft* (source Calculated), in MLS bracket 800-899; leased 2026-04-04.</t>
  </si>
  <si>
    <t xml:space="preserve">C12901428</t>
  </si>
  <si>
    <t xml:space="preserve">https://condos.ca/toronto/forward-condos-70-90-queens-wharf-rd/unit-703-C12901428</t>
  </si>
  <si>
    <t xml:space="preserve">condos.ca registered area 833 sqft* (source Calculated), in MLS bracket 800-899; leased 2026-03-25.</t>
  </si>
  <si>
    <t xml:space="preserve">3505</t>
  </si>
  <si>
    <t xml:space="preserve">C12888804</t>
  </si>
  <si>
    <t xml:space="preserve">https://condos.ca/toronto/forward-condos-70-90-queens-wharf-rd/unit-3505-C12888804</t>
  </si>
  <si>
    <t xml:space="preserve">condos.ca registered area 975 sqft* (source Calculated), in MLS bracket 900-999; leased 2026-03-24.</t>
  </si>
  <si>
    <t xml:space="preserve">209</t>
  </si>
  <si>
    <t xml:space="preserve">C12804486</t>
  </si>
  <si>
    <t xml:space="preserve">https://condos.ca/toronto/forward-condos-70-90-queens-wharf-rd/unit-209-C12804486</t>
  </si>
  <si>
    <t xml:space="preserve">condos.ca registered area 645 sqft* (source Calculated), in MLS bracket 600-699; leased 2026-03-16.</t>
  </si>
  <si>
    <t xml:space="preserve">C12841634</t>
  </si>
  <si>
    <t xml:space="preserve">https://condos.ca/toronto/forward-condos-70-90-queens-wharf-rd/unit-701-C12841634</t>
  </si>
  <si>
    <t xml:space="preserve">condos.ca area 579 sqft*; furnished/short-term lease; leased 2026-03-13.</t>
  </si>
  <si>
    <t xml:space="preserve">2911</t>
  </si>
  <si>
    <t xml:space="preserve">C12710954</t>
  </si>
  <si>
    <t xml:space="preserve">https://condos.ca/toronto/forward-condos-70-90-queens-wharf-rd/unit-2911-C12710954</t>
  </si>
  <si>
    <t xml:space="preserve">condos.ca registered area 575 sqft* (source Calculated), in MLS bracket 500-599; leased 2026-03-06.</t>
  </si>
  <si>
    <t xml:space="preserve">C12811414</t>
  </si>
  <si>
    <t xml:space="preserve">https://condos.ca/toronto/forward-condos-70-90-queens-wharf-rd/unit-2801-C12811414</t>
  </si>
  <si>
    <t xml:space="preserve">condos.ca registered area 579 sqft* (source Calculated), in MLS bracket 500-599; leased 2026-03-04.</t>
  </si>
  <si>
    <t xml:space="preserve">C12769568</t>
  </si>
  <si>
    <t xml:space="preserve">https://condos.ca/toronto/forward-condos-70-90-queens-wharf-rd/unit-815-C12769568</t>
  </si>
  <si>
    <t xml:space="preserve">condos.ca area 537 sqft*; furnished/short-term lease; leased 2026-03-04.</t>
  </si>
  <si>
    <t xml:space="preserve">C12773722</t>
  </si>
  <si>
    <t xml:space="preserve">https://condos.ca/toronto/forward-condos-70-90-queens-wharf-rd/unit-712-C12773722</t>
  </si>
  <si>
    <t xml:space="preserve">condos.ca area 507 sqft*; furnished/short-term lease; leased 2026-03-02.</t>
  </si>
  <si>
    <t xml:space="preserve">C12746390</t>
  </si>
  <si>
    <t xml:space="preserve">https://condos.ca/toronto/forward-condos-70-90-queens-wharf-rd/unit-1915-C12746390</t>
  </si>
  <si>
    <t xml:space="preserve">condos.ca registered area 537 sqft* (source Calculated), in MLS bracket 500-599; leased 2026-03-02.</t>
  </si>
  <si>
    <t xml:space="preserve">2026-02-24</t>
  </si>
  <si>
    <t xml:space="preserve">C12803826</t>
  </si>
  <si>
    <t xml:space="preserve">https://condos.ca/toronto/forward-condos-70-90-queens-wharf-rd/unit-2106-C12803826</t>
  </si>
  <si>
    <t xml:space="preserve">condos.ca registered area 705 sqft* (source Calculated), in MLS bracket 700-799; leased 2026-02-24.</t>
  </si>
  <si>
    <t xml:space="preserve">C12795612</t>
  </si>
  <si>
    <t xml:space="preserve">https://condos.ca/toronto/forward-condos-70-90-queens-wharf-rd/unit-2307-C12795612</t>
  </si>
  <si>
    <t xml:space="preserve">condos.ca registered area 505 sqft* (source Calculated), in MLS bracket 500-599; leased 2026-02-20.</t>
  </si>
  <si>
    <t xml:space="preserve">1107</t>
  </si>
  <si>
    <t xml:space="preserve">C12762988</t>
  </si>
  <si>
    <t xml:space="preserve">https://condos.ca/toronto/forward-condos-70-90-queens-wharf-rd/unit-1107-C12762988</t>
  </si>
  <si>
    <t xml:space="preserve">condos.ca registered area 505 sqft* (source Calculated), in MLS bracket 500-599; leased 2026-02-10.</t>
  </si>
  <si>
    <t xml:space="preserve">C12695280</t>
  </si>
  <si>
    <t xml:space="preserve">https://condos.ca/toronto/forward-condos-70-90-queens-wharf-rd/unit-602-C12695280</t>
  </si>
  <si>
    <t xml:space="preserve">condos.ca registered area 708 sqft* (source Calculated), in MLS bracket 700-799; leased 2026-02-09.</t>
  </si>
  <si>
    <t xml:space="preserve">2707</t>
  </si>
  <si>
    <t xml:space="preserve">C12635888</t>
  </si>
  <si>
    <t xml:space="preserve">https://condos.ca/toronto/forward-condos-70-90-queens-wharf-rd/unit-2707-C12635888</t>
  </si>
  <si>
    <t xml:space="preserve">condos.ca registered area 505 sqft* (source Calculated), in MLS bracket 500-599; leased 2026-02-06.</t>
  </si>
  <si>
    <t xml:space="preserve">2007</t>
  </si>
  <si>
    <t xml:space="preserve">C12751616</t>
  </si>
  <si>
    <t xml:space="preserve">https://condos.ca/toronto/forward-condos-70-90-queens-wharf-rd/unit-2007-C12751616</t>
  </si>
  <si>
    <t xml:space="preserve">condos.ca registered area 505 sqft* (source Calculated), in MLS bracket 500-599; leased 2026-02-05.</t>
  </si>
  <si>
    <t xml:space="preserve">707</t>
  </si>
  <si>
    <t xml:space="preserve">C12688342</t>
  </si>
  <si>
    <t xml:space="preserve">https://condos.ca/toronto/forward-condos-70-90-queens-wharf-rd/unit-707-C12688342</t>
  </si>
  <si>
    <t xml:space="preserve">condos.ca area 655 sqft*; furnished/short-term lease; leased 2026-02-01.</t>
  </si>
  <si>
    <t xml:space="preserve">C12663450</t>
  </si>
  <si>
    <t xml:space="preserve">https://condos.ca/toronto/forward-condos-70-90-queens-wharf-rd/unit-2901-C12663450</t>
  </si>
  <si>
    <t xml:space="preserve">condos.ca registered area 579 sqft* (source Calculated), in MLS bracket 500-599; leased 2026-01-20.</t>
  </si>
  <si>
    <t xml:space="preserve">C12653364</t>
  </si>
  <si>
    <t xml:space="preserve">https://condos.ca/toronto/forward-condos-70-90-queens-wharf-rd/unit-2706-C12653364</t>
  </si>
  <si>
    <t xml:space="preserve">condos.ca registered area 705 sqft* (source Calculated), in MLS bracket 700-799; leased 2026-01-13.</t>
  </si>
  <si>
    <t xml:space="preserve">2025-12-29</t>
  </si>
  <si>
    <t xml:space="preserve">C12562084</t>
  </si>
  <si>
    <t xml:space="preserve">https://condos.ca/toronto/forward-condos-70-90-queens-wharf-rd/unit-2602-C12562084</t>
  </si>
  <si>
    <t xml:space="preserve">condos.ca area 708 sqft*; furnished/short-term lease; leased 2025-12-29.</t>
  </si>
  <si>
    <t xml:space="preserve">1010</t>
  </si>
  <si>
    <t xml:space="preserve">C12589434</t>
  </si>
  <si>
    <t xml:space="preserve">https://condos.ca/toronto/forward-condos-70-90-queens-wharf-rd/unit-1010-C12589434</t>
  </si>
  <si>
    <t xml:space="preserve">condos.ca registered area 736 sqft* (source Calculated), in MLS bracket 700-799; leased 2025-12-26.</t>
  </si>
  <si>
    <t xml:space="preserve">2025-12-25</t>
  </si>
  <si>
    <t xml:space="preserve">C12637826</t>
  </si>
  <si>
    <t xml:space="preserve">https://condos.ca/toronto/forward-condos-70-90-queens-wharf-rd/unit-807-C12637826</t>
  </si>
  <si>
    <t xml:space="preserve">condos.ca area 655 sqft*; calc SF 655 outside MLS bracket 700-799 — flagged; leased 2025-12-25.</t>
  </si>
  <si>
    <t xml:space="preserve">303</t>
  </si>
  <si>
    <t xml:space="preserve">C12596666</t>
  </si>
  <si>
    <t xml:space="preserve">https://condos.ca/toronto/forward-condos-70-90-queens-wharf-rd/unit-303-C12596666</t>
  </si>
  <si>
    <t xml:space="preserve">condos.ca registered area 650 sqft* (source Calculated), in MLS bracket 600-699; leased 2025-12-11.</t>
  </si>
  <si>
    <t xml:space="preserve">212</t>
  </si>
  <si>
    <t xml:space="preserve">C12579256</t>
  </si>
  <si>
    <t xml:space="preserve">https://condos.ca/toronto/forward-condos-70-90-queens-wharf-rd/unit-212-C12579256</t>
  </si>
  <si>
    <t xml:space="preserve">condos.ca registered area 507 sqft* (source Calculated), in MLS bracket 500-599; leased 2025-12-11.</t>
  </si>
  <si>
    <t xml:space="preserve">2025-12-06</t>
  </si>
  <si>
    <t xml:space="preserve">C12427786</t>
  </si>
  <si>
    <t xml:space="preserve">https://condos.ca/toronto/forward-condos-70-90-queens-wharf-rd/unit-2612-C12427786</t>
  </si>
  <si>
    <t xml:space="preserve">condos.ca registered area 1038 sqft* (source Calculated), in MLS bracket 1000-1199; leased 2025-12-06.</t>
  </si>
  <si>
    <t xml:space="preserve">812</t>
  </si>
  <si>
    <t xml:space="preserve">2025-12-05</t>
  </si>
  <si>
    <t xml:space="preserve">C12462517</t>
  </si>
  <si>
    <t xml:space="preserve">https://condos.ca/toronto/forward-condos-70-90-queens-wharf-rd/unit-812-C12462517</t>
  </si>
  <si>
    <t xml:space="preserve">condos.ca registered area 570 sqft* (source Calculated), in MLS bracket 500-599; leased 2025-12-05.</t>
  </si>
  <si>
    <t xml:space="preserve">C12531390</t>
  </si>
  <si>
    <t xml:space="preserve">https://condos.ca/toronto/forward-condos-70-90-queens-wharf-rd/unit-2312-C12531390</t>
  </si>
  <si>
    <t xml:space="preserve">condos.ca registered area 1038 sqft* (source Calculated), in MLS bracket 1000-1199; leased 2025-12-02.</t>
  </si>
  <si>
    <t xml:space="preserve">2115</t>
  </si>
  <si>
    <t xml:space="preserve">C12559684</t>
  </si>
  <si>
    <t xml:space="preserve">https://condos.ca/toronto/forward-condos-70-90-queens-wharf-rd/unit-2115-C12559684</t>
  </si>
  <si>
    <t xml:space="preserve">condos.ca registered area 537 sqft* (source Calculated), in MLS bracket 500-599; leased 2025-12-01.</t>
  </si>
  <si>
    <t xml:space="preserve">C12486949</t>
  </si>
  <si>
    <t xml:space="preserve">https://condos.ca/toronto/forward-condos-70-90-queens-wharf-rd/unit-1101-C12486949</t>
  </si>
  <si>
    <t xml:space="preserve">condos.ca registered area 579 sqft* (source Calculated), in MLS bracket 500-599; leased 2025-11-26.</t>
  </si>
  <si>
    <t xml:space="preserve">210</t>
  </si>
  <si>
    <t xml:space="preserve">C12465898</t>
  </si>
  <si>
    <t xml:space="preserve">https://condos.ca/toronto/forward-condos-70-90-queens-wharf-rd/unit-210-C12465898</t>
  </si>
  <si>
    <t xml:space="preserve">condos.ca registered area 898 sqft* (source Calculated), in MLS bracket 800-899; leased 2025-11-14.</t>
  </si>
  <si>
    <t xml:space="preserve">2903</t>
  </si>
  <si>
    <t xml:space="preserve">C12526036</t>
  </si>
  <si>
    <t xml:space="preserve">https://condos.ca/toronto/forward-condos-70-90-queens-wharf-rd/unit-2903-C12526036</t>
  </si>
  <si>
    <t xml:space="preserve">condos.ca registered area 500 sqft* (source Calculated), in MLS bracket 500-599; leased 2025-11-13.</t>
  </si>
  <si>
    <t xml:space="preserve">306</t>
  </si>
  <si>
    <t xml:space="preserve">C12507670</t>
  </si>
  <si>
    <t xml:space="preserve">https://condos.ca/toronto/forward-condos-70-90-queens-wharf-rd/unit-306-C12507670</t>
  </si>
  <si>
    <t xml:space="preserve">condos.ca area 675 sqft*; calc SF 675 outside MLS bracket 700-799 — flagged; furnished/short-term lease; leased 2025-11-12.</t>
  </si>
  <si>
    <t xml:space="preserve">C12480685</t>
  </si>
  <si>
    <t xml:space="preserve">https://condos.ca/toronto/forward-condos-70-90-queens-wharf-rd/unit-1106-C12480685</t>
  </si>
  <si>
    <t xml:space="preserve">condos.ca registered area 928 sqft* (source Calculated), in MLS bracket 900-999; leased 2025-11-12.</t>
  </si>
  <si>
    <t xml:space="preserve">C12464407</t>
  </si>
  <si>
    <t xml:space="preserve">https://condos.ca/toronto/forward-condos-70-90-queens-wharf-rd/unit-510-C12464407</t>
  </si>
  <si>
    <t xml:space="preserve">condos.ca area 898 sqft*; furnished/short-term lease; leased 2025-11-04.</t>
  </si>
  <si>
    <t xml:space="preserve">1806</t>
  </si>
  <si>
    <t xml:space="preserve">C12333529</t>
  </si>
  <si>
    <t xml:space="preserve">https://condos.ca/toronto/forward-condos-70-90-queens-wharf-rd/unit-1806-C12333529</t>
  </si>
  <si>
    <t xml:space="preserve">condos.ca registered area 928 sqft* (source Calculated), in MLS bracket 900-999; leased 2025-11-03.</t>
  </si>
  <si>
    <t xml:space="preserve">C12451731</t>
  </si>
  <si>
    <t xml:space="preserve">https://condos.ca/toronto/forward-condos-70-90-queens-wharf-rd/unit-603-C12451731</t>
  </si>
  <si>
    <t xml:space="preserve">condos.ca registered area 650 sqft* (source Calculated), in MLS bracket 600-699; leased 2025-10-21.</t>
  </si>
  <si>
    <t xml:space="preserve">2011</t>
  </si>
  <si>
    <t xml:space="preserve">2025-10-20</t>
  </si>
  <si>
    <t xml:space="preserve">C12459291</t>
  </si>
  <si>
    <t xml:space="preserve">https://condos.ca/toronto/forward-condos-70-90-queens-wharf-rd/unit-2011-C12459291</t>
  </si>
  <si>
    <t xml:space="preserve">condos.ca registered area 756 sqft* (source Calculated), in MLS bracket 700-799; leased 2025-10-20.</t>
  </si>
  <si>
    <t xml:space="preserve">611</t>
  </si>
  <si>
    <t xml:space="preserve">2025-10-18</t>
  </si>
  <si>
    <t xml:space="preserve">C12448090</t>
  </si>
  <si>
    <t xml:space="preserve">https://condos.ca/toronto/forward-condos-70-90-queens-wharf-rd/unit-611-C12448090</t>
  </si>
  <si>
    <t xml:space="preserve">condos.ca registered area 520 sqft* (source Calculated), in MLS bracket 500-599; leased 2025-10-18.</t>
  </si>
  <si>
    <t xml:space="preserve">C12448477</t>
  </si>
  <si>
    <t xml:space="preserve">https://condos.ca/toronto/forward-condos-70-90-queens-wharf-rd/unit-3109-C12448477</t>
  </si>
  <si>
    <t xml:space="preserve">condos.ca area 802 sqft*; furnished/short-term lease; leased 2025-10-17.</t>
  </si>
  <si>
    <t xml:space="preserve">#508</t>
  </si>
  <si>
    <t xml:space="preserve">C12459441</t>
  </si>
  <si>
    <t xml:space="preserve">https://condos.ca/toronto/forward-condos-70-90-queens-wharf-rd/unit-508-C12459441</t>
  </si>
  <si>
    <t xml:space="preserve">condos.ca registered area 505 sqft* (source Calculated), in MLS bracket 500-599; leased 2025-10-16.</t>
  </si>
  <si>
    <t xml:space="preserve">C12450832</t>
  </si>
  <si>
    <t xml:space="preserve">https://condos.ca/toronto/forward-condos-70-90-queens-wharf-rd/unit-811-C12450832</t>
  </si>
  <si>
    <t xml:space="preserve">condos.ca registered area 520 sqft* (source Calculated), in MLS bracket 500-599; leased 2025-10-09.</t>
  </si>
  <si>
    <t xml:space="preserve">3211</t>
  </si>
  <si>
    <t xml:space="preserve">C12442491</t>
  </si>
  <si>
    <t xml:space="preserve">https://condos.ca/toronto/forward-condos-70-90-queens-wharf-rd/unit-3211-C12442491</t>
  </si>
  <si>
    <t xml:space="preserve">condos.ca registered area 575 sqft* (source Calculated), in MLS bracket 500-599; leased 2025-10-06.</t>
  </si>
  <si>
    <t xml:space="preserve">1502</t>
  </si>
  <si>
    <t xml:space="preserve">2025-09-30</t>
  </si>
  <si>
    <t xml:space="preserve">C12379556</t>
  </si>
  <si>
    <t xml:space="preserve">https://condos.ca/toronto/forward-condos-70-90-queens-wharf-rd/unit-1502-C12379556</t>
  </si>
  <si>
    <t xml:space="preserve">condos.ca registered area 535 sqft* (source Calculated), in MLS bracket 500-599; leased 2025-09-30.</t>
  </si>
  <si>
    <t xml:space="preserve">1906</t>
  </si>
  <si>
    <t xml:space="preserve">2025-09-28</t>
  </si>
  <si>
    <t xml:space="preserve">C12381041</t>
  </si>
  <si>
    <t xml:space="preserve">https://condos.ca/toronto/forward-condos-70-90-queens-wharf-rd/unit-1906-C12381041</t>
  </si>
  <si>
    <t xml:space="preserve">condos.ca registered area 705 sqft* (source Calculated), in MLS bracket 700-799; leased 2025-09-28.</t>
  </si>
  <si>
    <t xml:space="preserve">3111</t>
  </si>
  <si>
    <t xml:space="preserve">C12410752</t>
  </si>
  <si>
    <t xml:space="preserve">https://condos.ca/toronto/forward-condos-70-90-queens-wharf-rd/unit-3111-C12410752</t>
  </si>
  <si>
    <t xml:space="preserve">condos.ca registered area 575 sqft* (source Calculated), in MLS bracket 500-599; leased 2025-09-22.</t>
  </si>
  <si>
    <t xml:space="preserve">2025-09-21</t>
  </si>
  <si>
    <t xml:space="preserve">C12392841</t>
  </si>
  <si>
    <t xml:space="preserve">https://condos.ca/toronto/forward-condos-70-90-queens-wharf-rd/unit-707-C12392841</t>
  </si>
  <si>
    <t xml:space="preserve">condos.ca registered area 505 sqft* (source Calculated), in MLS bracket 500-599; leased 2025-09-21.</t>
  </si>
  <si>
    <t xml:space="preserve">2025-09-19</t>
  </si>
  <si>
    <t xml:space="preserve">C12389027</t>
  </si>
  <si>
    <t xml:space="preserve">https://condos.ca/toronto/forward-condos-70-90-queens-wharf-rd/unit-2701-C12389027</t>
  </si>
  <si>
    <t xml:space="preserve">condos.ca registered area 579 sqft* (source Calculated), in MLS bracket 500-599; leased 2025-09-19.</t>
  </si>
  <si>
    <t xml:space="preserve">C12401433</t>
  </si>
  <si>
    <t xml:space="preserve">https://condos.ca/toronto/forward-condos-70-90-queens-wharf-rd/unit-1002-C12401433</t>
  </si>
  <si>
    <t xml:space="preserve">condos.ca registered area 535 sqft* (source Calculated), in MLS bracket 500-599; leased 2025-09-15.</t>
  </si>
  <si>
    <t xml:space="preserve">2108</t>
  </si>
  <si>
    <t xml:space="preserve">C12390223</t>
  </si>
  <si>
    <t xml:space="preserve">https://condos.ca/toronto/forward-condos-70-90-queens-wharf-rd/unit-2108-C12390223</t>
  </si>
  <si>
    <t xml:space="preserve">condos.ca registered area 560 sqft* (source Calculated), in MLS bracket 500-599; leased 2025-09-13.</t>
  </si>
  <si>
    <t xml:space="preserve">C12392575</t>
  </si>
  <si>
    <t xml:space="preserve">https://condos.ca/toronto/forward-condos-70-90-queens-wharf-rd/unit-811-C12392575</t>
  </si>
  <si>
    <t xml:space="preserve">condos.ca registered area 520 sqft* (source Calculated), in MLS bracket 500-599; leased 2025-09-12.</t>
  </si>
  <si>
    <t xml:space="preserve">2025-09-03</t>
  </si>
  <si>
    <t xml:space="preserve">C12364660</t>
  </si>
  <si>
    <t xml:space="preserve">https://condos.ca/toronto/forward-condos-70-90-queens-wharf-rd/unit-1903-C12364660</t>
  </si>
  <si>
    <t xml:space="preserve">condos.ca registered area 500 sqft* (source Calculated), in MLS bracket 500-599; leased 2025-09-03.</t>
  </si>
  <si>
    <t xml:space="preserve">1803</t>
  </si>
  <si>
    <t xml:space="preserve">C12351998</t>
  </si>
  <si>
    <t xml:space="preserve">https://condos.ca/toronto/forward-condos-70-90-queens-wharf-rd/unit-1803-C12351998</t>
  </si>
  <si>
    <t xml:space="preserve">condos.ca area 650 sqft*; furnished/short-term lease; leased 2025-08-26.</t>
  </si>
  <si>
    <t xml:space="preserve">506</t>
  </si>
  <si>
    <t xml:space="preserve">C12341099</t>
  </si>
  <si>
    <t xml:space="preserve">https://condos.ca/toronto/forward-condos-70-90-queens-wharf-rd/unit-506-C12341099</t>
  </si>
  <si>
    <t xml:space="preserve">condos.ca area 928 sqft*; furnished/short-term lease; leased 2025-08-22.</t>
  </si>
  <si>
    <t xml:space="preserve">1905</t>
  </si>
  <si>
    <t xml:space="preserve">C12333169</t>
  </si>
  <si>
    <t xml:space="preserve">https://condos.ca/toronto/forward-condos-70-90-queens-wharf-rd/unit-1905-C12333169</t>
  </si>
  <si>
    <t xml:space="preserve">condos.ca registered area 525 sqft* (source Calculated), in MLS bracket 500-599; leased 2025-08-22.</t>
  </si>
  <si>
    <t xml:space="preserve">3311</t>
  </si>
  <si>
    <t xml:space="preserve">C12347938</t>
  </si>
  <si>
    <t xml:space="preserve">https://condos.ca/toronto/forward-condos-70-90-queens-wharf-rd/unit-3311-C12347938</t>
  </si>
  <si>
    <t xml:space="preserve">condos.ca registered area 575 sqft* (source Calculated), in MLS bracket 500-599; leased 2025-08-20.</t>
  </si>
  <si>
    <t xml:space="preserve">601</t>
  </si>
  <si>
    <t xml:space="preserve">C12333007</t>
  </si>
  <si>
    <t xml:space="preserve">https://condos.ca/toronto/forward-condos-70-90-queens-wharf-rd/unit-601-C12333007</t>
  </si>
  <si>
    <t xml:space="preserve">condos.ca registered area 579 sqft* (source Calculated), in MLS bracket 500-599; leased 2025-08-19.</t>
  </si>
  <si>
    <t xml:space="preserve">2607</t>
  </si>
  <si>
    <t xml:space="preserve">C12300103</t>
  </si>
  <si>
    <t xml:space="preserve">https://condos.ca/toronto/forward-condos-70-90-queens-wharf-rd/unit-2607-C12300103</t>
  </si>
  <si>
    <t xml:space="preserve">condos.ca registered area 505 sqft* (source Calculated), in MLS bracket 500-599; leased 2025-08-04.</t>
  </si>
  <si>
    <t xml:space="preserve">2025-07-30</t>
  </si>
  <si>
    <t xml:space="preserve">C12303920</t>
  </si>
  <si>
    <t xml:space="preserve">https://condos.ca/toronto/forward-condos-70-90-queens-wharf-rd/unit-2212-C12303920</t>
  </si>
  <si>
    <t xml:space="preserve">condos.ca registered area 1038 sqft* (source Calculated), in MLS bracket 1000-1199; leased 2025-07-30.</t>
  </si>
  <si>
    <t xml:space="preserve">C12297315</t>
  </si>
  <si>
    <t xml:space="preserve">https://condos.ca/toronto/forward-condos-70-90-queens-wharf-rd/unit-711-C12297315</t>
  </si>
  <si>
    <t xml:space="preserve">condos.ca registered area 756 sqft* (source Calculated), in MLS bracket 700-799; leased 2025-07-24.</t>
  </si>
  <si>
    <t xml:space="preserve">1807</t>
  </si>
  <si>
    <t xml:space="preserve">C12265033</t>
  </si>
  <si>
    <t xml:space="preserve">https://condos.ca/toronto/forward-condos-70-90-queens-wharf-rd/unit-1807-C12265033</t>
  </si>
  <si>
    <t xml:space="preserve">condos.ca registered area 505 sqft* (source Calculated), in MLS bracket 500-599; leased 2025-07-21.</t>
  </si>
  <si>
    <t xml:space="preserve">C12271707</t>
  </si>
  <si>
    <t xml:space="preserve">https://condos.ca/toronto/forward-condos-70-90-queens-wharf-rd/unit-509-C12271707</t>
  </si>
  <si>
    <t xml:space="preserve">condos.ca registered area 802 sqft* (source Calculated), in MLS bracket 800-899; leased 2025-07-20.</t>
  </si>
  <si>
    <t xml:space="preserve">C12282173</t>
  </si>
  <si>
    <t xml:space="preserve">https://condos.ca/toronto/forward-condos-70-90-queens-wharf-rd/unit-2510-C12282173</t>
  </si>
  <si>
    <t xml:space="preserve">condos.ca area 575 sqft*; furnished/short-term lease; leased 2025-07-17.</t>
  </si>
  <si>
    <t xml:space="preserve">C12243749</t>
  </si>
  <si>
    <t xml:space="preserve">https://condos.ca/toronto/forward-condos-70-90-queens-wharf-rd/unit-505-C12243749</t>
  </si>
  <si>
    <t xml:space="preserve">condos.ca registered area 1103 sqft* (source Calculated), in MLS bracket 1000-1199; leased 2025-07-11.</t>
  </si>
  <si>
    <t xml:space="preserve">C12203532</t>
  </si>
  <si>
    <t xml:space="preserve">https://condos.ca/toronto/forward-condos-70-90-queens-wharf-rd/unit-606-C12203532</t>
  </si>
  <si>
    <t xml:space="preserve">condos.ca registered area 705 sqft* (source Calculated), in MLS bracket 700-799; leased 2025-07-04.</t>
  </si>
  <si>
    <t xml:space="preserve">C12252129</t>
  </si>
  <si>
    <t xml:space="preserve">https://condos.ca/toronto/forward-condos-70-90-queens-wharf-rd/unit-1512-C12252129</t>
  </si>
  <si>
    <t xml:space="preserve">condos.ca registered area 1038 sqft* (source Calculated), in MLS bracket 1000-1199; leased 2025-07-03.</t>
  </si>
  <si>
    <t xml:space="preserve">C12167102</t>
  </si>
  <si>
    <t xml:space="preserve">https://condos.ca/toronto/forward-condos-70-90-queens-wharf-rd/unit-801-C12167102</t>
  </si>
  <si>
    <t xml:space="preserve">condos.ca registered area 507 sqft* (source Calculated), in MLS bracket 500-599; leased 2025-07-02.</t>
  </si>
  <si>
    <t xml:space="preserve">C12205211</t>
  </si>
  <si>
    <t xml:space="preserve">https://condos.ca/toronto/forward-condos-70-90-queens-wharf-rd/unit-812-C12205211</t>
  </si>
  <si>
    <t xml:space="preserve">condos.ca registered area 507 sqft* (source Calculated), in MLS bracket 500-599; leased 2025-06-28.</t>
  </si>
  <si>
    <t xml:space="preserve">C12241023</t>
  </si>
  <si>
    <t xml:space="preserve">https://condos.ca/toronto/forward-condos-70-90-queens-wharf-rd/unit-1607-C12241023</t>
  </si>
  <si>
    <t xml:space="preserve">C12238774</t>
  </si>
  <si>
    <t xml:space="preserve">https://condos.ca/toronto/forward-condos-70-90-queens-wharf-rd/unit-715-C12238774</t>
  </si>
  <si>
    <t xml:space="preserve">condos.ca registered area 537 sqft* (source Calculated), in MLS bracket 500-599; leased 2025-06-26.</t>
  </si>
  <si>
    <t xml:space="preserve">207</t>
  </si>
  <si>
    <t xml:space="preserve">C12193504</t>
  </si>
  <si>
    <t xml:space="preserve">https://condos.ca/toronto/forward-condos-70-90-queens-wharf-rd/unit-207-C12193504</t>
  </si>
  <si>
    <t xml:space="preserve">condos.ca registered area 655 sqft* (source Calculated), in MLS bracket 600-699; leased 2025-06-22.</t>
  </si>
  <si>
    <t xml:space="preserve">C12219602</t>
  </si>
  <si>
    <t xml:space="preserve">https://condos.ca/toronto/forward-condos-70-90-queens-wharf-rd/unit-907-C12219602</t>
  </si>
  <si>
    <t xml:space="preserve">condos.ca registered area 655 sqft* (source Calculated), in MLS bracket 600-699; leased 2025-06-20.</t>
  </si>
  <si>
    <t xml:space="preserve">C12206805</t>
  </si>
  <si>
    <t xml:space="preserve">https://condos.ca/toronto/forward-condos-70-90-queens-wharf-rd/unit-315-C12206805</t>
  </si>
  <si>
    <t xml:space="preserve">condos.ca area 533 sqft*; furnished/short-term lease; leased 2025-06-20.</t>
  </si>
  <si>
    <t xml:space="preserve">2310</t>
  </si>
  <si>
    <t xml:space="preserve">C12197564</t>
  </si>
  <si>
    <t xml:space="preserve">https://condos.ca/toronto/forward-condos-70-90-queens-wharf-rd/unit-2310-C12197564</t>
  </si>
  <si>
    <t xml:space="preserve">condos.ca registered area 575 sqft* (source Calculated), in MLS bracket 500-599; leased 2025-06-17.</t>
  </si>
  <si>
    <t xml:space="preserve">C12196539</t>
  </si>
  <si>
    <t xml:space="preserve">https://condos.ca/toronto/forward-condos-70-90-queens-wharf-rd/unit-815-C12196539</t>
  </si>
  <si>
    <t xml:space="preserve">condos.ca registered area 533 sqft* (source Calculated), in MLS bracket 500-599; leased 2025-06-12.</t>
  </si>
  <si>
    <t xml:space="preserve">C12187563</t>
  </si>
  <si>
    <t xml:space="preserve">https://condos.ca/toronto/forward-condos-70-90-queens-wharf-rd/unit-603-C12187563</t>
  </si>
  <si>
    <t xml:space="preserve">condos.ca registered area 833 sqft* (source Calculated), in MLS bracket 800-899; leased 2025-06-11.</t>
  </si>
  <si>
    <t xml:space="preserve">C12186372</t>
  </si>
  <si>
    <t xml:space="preserve">https://condos.ca/toronto/forward-condos-70-90-queens-wharf-rd/unit-3101-C12186372</t>
  </si>
  <si>
    <t xml:space="preserve">condos.ca registered area 579 sqft* (source Calculated), in MLS bracket 500-599; leased 2025-06-11.</t>
  </si>
  <si>
    <t xml:space="preserve">C12176827</t>
  </si>
  <si>
    <t xml:space="preserve">https://condos.ca/toronto/forward-condos-70-90-queens-wharf-rd/unit-610-C12176827</t>
  </si>
  <si>
    <t xml:space="preserve">condos.ca area 575 sqft*; calc SF 575 outside MLS bracket 600-699 — flagged; leased 2025-06-09.</t>
  </si>
  <si>
    <t xml:space="preserve">C12127827</t>
  </si>
  <si>
    <t xml:space="preserve">https://condos.ca/toronto/forward-condos-70-90-queens-wharf-rd/unit-1703-C12127827</t>
  </si>
  <si>
    <t xml:space="preserve">condos.ca registered area 500 sqft* (source Calculated), in MLS bracket 500-599; leased 2025-06-04.</t>
  </si>
  <si>
    <t xml:space="preserve">C12164294</t>
  </si>
  <si>
    <t xml:space="preserve">https://condos.ca/toronto/forward-condos-70-90-queens-wharf-rd/unit-602-C12164294</t>
  </si>
  <si>
    <t xml:space="preserve">condos.ca area 708 sqft*; furnished/short-term lease; leased 2025-05-29.</t>
  </si>
  <si>
    <t xml:space="preserve">3502</t>
  </si>
  <si>
    <t xml:space="preserve">C12157704</t>
  </si>
  <si>
    <t xml:space="preserve">https://condos.ca/toronto/forward-condos-70-90-queens-wharf-rd/unit-3502-C12157704</t>
  </si>
  <si>
    <t xml:space="preserve">condos.ca registered area 708 sqft* (source Calculated), in MLS bracket 700-799; leased 2025-05-24.</t>
  </si>
  <si>
    <t xml:space="preserve">2025-05-21</t>
  </si>
  <si>
    <t xml:space="preserve">C12143548</t>
  </si>
  <si>
    <t xml:space="preserve">https://condos.ca/toronto/forward-condos-70-90-queens-wharf-rd/unit-1506-C12143548</t>
  </si>
  <si>
    <t xml:space="preserve">condos.ca registered area 705 sqft* (source Calculated), in MLS bracket 700-799; leased 2025-05-21.</t>
  </si>
  <si>
    <t xml:space="preserve">C12100349</t>
  </si>
  <si>
    <t xml:space="preserve">https://condos.ca/toronto/forward-condos-70-90-queens-wharf-rd/unit-2507-C12100349</t>
  </si>
  <si>
    <t xml:space="preserve">condos.ca registered area 505 sqft* (source Calculated), in MLS bracket 500-599; leased 2025-05-21.</t>
  </si>
  <si>
    <t xml:space="preserve">2025-05-15</t>
  </si>
  <si>
    <t xml:space="preserve">C12089980</t>
  </si>
  <si>
    <t xml:space="preserve">https://condos.ca/toronto/forward-condos-70-90-queens-wharf-rd/unit-1205-C12089980</t>
  </si>
  <si>
    <t xml:space="preserve">condos.ca registered area 500 sqft* (source Calculated), in MLS bracket 500-599; leased 2025-05-15.</t>
  </si>
  <si>
    <t xml:space="preserve">C12135020</t>
  </si>
  <si>
    <t xml:space="preserve">https://condos.ca/toronto/forward-condos-70-90-queens-wharf-rd/unit-1907-C12135020</t>
  </si>
  <si>
    <t xml:space="preserve">condos.ca registered area 505 sqft* (source Calculated), in MLS bracket 500-599; leased 2025-05-14.</t>
  </si>
  <si>
    <t xml:space="preserve">2025-05-08</t>
  </si>
  <si>
    <t xml:space="preserve">C12125463</t>
  </si>
  <si>
    <t xml:space="preserve">https://condos.ca/toronto/forward-condos-70-90-queens-wharf-rd/unit-2902-C12125463</t>
  </si>
  <si>
    <t xml:space="preserve">condos.ca registered area 708 sqft* (source Calculated), in MLS bracket 700-799; leased 2025-05-08.</t>
  </si>
  <si>
    <t xml:space="preserve">1111</t>
  </si>
  <si>
    <t xml:space="preserve">C12073266</t>
  </si>
  <si>
    <t xml:space="preserve">https://condos.ca/toronto/forward-condos-70-90-queens-wharf-rd/unit-1111-C12073266</t>
  </si>
  <si>
    <t xml:space="preserve">condos.ca area 575 sqft*; calc SF 575 outside MLS bracket 600-699 — flagged; leased 2025-05-08.</t>
  </si>
  <si>
    <t xml:space="preserve">2025-05-02</t>
  </si>
  <si>
    <t xml:space="preserve">C12109271</t>
  </si>
  <si>
    <t xml:space="preserve">https://condos.ca/toronto/forward-condos-70-90-queens-wharf-rd/unit-1205-C12109271</t>
  </si>
  <si>
    <t xml:space="preserve">condos.ca registered area 525 sqft* (source Calculated), in MLS bracket 500-599; leased 2025-05-02.</t>
  </si>
  <si>
    <t xml:space="preserve">1011</t>
  </si>
  <si>
    <t xml:space="preserve">C12095527</t>
  </si>
  <si>
    <t xml:space="preserve">https://condos.ca/toronto/forward-condos-70-90-queens-wharf-rd/unit-1011-C12095527</t>
  </si>
  <si>
    <t xml:space="preserve">condos.ca area 575 sqft*; calc SF 575 outside MLS bracket 600-699 — flagged; leased 2025-04-30.</t>
  </si>
  <si>
    <t xml:space="preserve">C12087683</t>
  </si>
  <si>
    <t xml:space="preserve">https://condos.ca/toronto/forward-condos-70-90-queens-wharf-rd/unit-303-C12087683</t>
  </si>
  <si>
    <t xml:space="preserve">condos.ca registered area 833 sqft* (source Calculated), in MLS bracket 800-899; leased 2025-04-24.</t>
  </si>
  <si>
    <t xml:space="preserve">2025-04-19</t>
  </si>
  <si>
    <t xml:space="preserve">C12053530</t>
  </si>
  <si>
    <t xml:space="preserve">https://condos.ca/toronto/forward-condos-70-90-queens-wharf-rd/unit-802-C12053530</t>
  </si>
  <si>
    <t xml:space="preserve">condos.ca registered area 535 sqft* (source Calculated), in MLS bracket 500-599; leased 2025-04-19.</t>
  </si>
  <si>
    <t xml:space="preserve">2025-04-18</t>
  </si>
  <si>
    <t xml:space="preserve">C12083438</t>
  </si>
  <si>
    <t xml:space="preserve">https://condos.ca/toronto/forward-condos-70-90-queens-wharf-rd/unit-1707-C12083438</t>
  </si>
  <si>
    <t xml:space="preserve">condos.ca registered area 505 sqft* (source Calculated), in MLS bracket 500-599; leased 2025-04-18.</t>
  </si>
  <si>
    <t xml:space="preserve">2025-04-15</t>
  </si>
  <si>
    <t xml:space="preserve">C12077189</t>
  </si>
  <si>
    <t xml:space="preserve">https://condos.ca/toronto/forward-condos-70-90-queens-wharf-rd/unit-910-C12077189</t>
  </si>
  <si>
    <t xml:space="preserve">condos.ca registered area 736 sqft* (source Calculated), in MLS bracket 700-799; leased 2025-04-15.</t>
  </si>
  <si>
    <t xml:space="preserve">C12069031</t>
  </si>
  <si>
    <t xml:space="preserve">https://condos.ca/toronto/forward-condos-70-90-queens-wharf-rd/unit-1209-C12069031</t>
  </si>
  <si>
    <t xml:space="preserve">condos.ca registered area 577 sqft* (source Calculated), in MLS bracket 500-599; leased 2025-04-15.</t>
  </si>
  <si>
    <t xml:space="preserve">C11954166</t>
  </si>
  <si>
    <t xml:space="preserve">https://condos.ca/toronto/forward-condos-70-90-queens-wharf-rd/unit-1708-C11954166</t>
  </si>
  <si>
    <t xml:space="preserve">condos.ca registered area 560 sqft* (source Calculated), in MLS bracket 500-599; leased 2025-04-15.</t>
  </si>
  <si>
    <t xml:space="preserve">C12080173</t>
  </si>
  <si>
    <t xml:space="preserve">https://condos.ca/toronto/forward-condos-70-90-queens-wharf-rd/unit-1706-C12080173</t>
  </si>
  <si>
    <t xml:space="preserve">condos.ca registered area 705 sqft* (source Calculated), in MLS bracket 700-799; leased 2025-04-14.</t>
  </si>
  <si>
    <t xml:space="preserve">C11984316</t>
  </si>
  <si>
    <t xml:space="preserve">https://condos.ca/toronto/forward-condos-70-90-queens-wharf-rd/unit-303-C11984316</t>
  </si>
  <si>
    <t xml:space="preserve">condos.ca area 500 sqft*; calc SF 500 outside MLS bracket 700-799 — flagged; furnished/short-term lease; leased 2025-04-14.</t>
  </si>
  <si>
    <t xml:space="preserve">903</t>
  </si>
  <si>
    <t xml:space="preserve">C12049387</t>
  </si>
  <si>
    <t xml:space="preserve">https://condos.ca/toronto/forward-condos-70-90-queens-wharf-rd/unit-903-C12049387</t>
  </si>
  <si>
    <t xml:space="preserve">condos.ca registered area 650 sqft* (source Calculated), in MLS bracket 600-699; leased 2025-04-08.</t>
  </si>
  <si>
    <t xml:space="preserve">2025-04-06</t>
  </si>
  <si>
    <t xml:space="preserve">C12038225</t>
  </si>
  <si>
    <t xml:space="preserve">https://condos.ca/toronto/forward-condos-70-90-queens-wharf-rd/unit-503-C12038225</t>
  </si>
  <si>
    <t xml:space="preserve">condos.ca registered area 833 sqft* (source Calculated), in MLS bracket 800-899; leased 2025-04-06.</t>
  </si>
  <si>
    <t xml:space="preserve">C12020799</t>
  </si>
  <si>
    <t xml:space="preserve">https://condos.ca/toronto/forward-condos-70-90-queens-wharf-rd/unit-306-C12020799</t>
  </si>
  <si>
    <t xml:space="preserve">condos.ca area 675 sqft*; calc SF 675 outside MLS bracket 700-799 — flagged; furnished/short-term lease; leased 2025-03-31.</t>
  </si>
  <si>
    <t xml:space="preserve">2025-03-26</t>
  </si>
  <si>
    <t xml:space="preserve">C12024896</t>
  </si>
  <si>
    <t xml:space="preserve">https://condos.ca/toronto/forward-condos-70-90-queens-wharf-rd/unit-612-C12024896</t>
  </si>
  <si>
    <t xml:space="preserve">condos.ca registered area 1038 sqft* (source Calculated), in MLS bracket 1000-1199; leased 2025-03-26.</t>
  </si>
  <si>
    <t xml:space="preserve">C11951411</t>
  </si>
  <si>
    <t xml:space="preserve">https://condos.ca/toronto/forward-condos-70-90-queens-wharf-rd/unit-701-C11951411</t>
  </si>
  <si>
    <t xml:space="preserve">condos.ca area 490 sqft*; calc SF 490 outside MLS bracket 500-599 — flagged; furnished/short-term lease; leased 2025-03-26.</t>
  </si>
  <si>
    <t xml:space="preserve">1203</t>
  </si>
  <si>
    <t xml:space="preserve">C11938722</t>
  </si>
  <si>
    <t xml:space="preserve">https://condos.ca/toronto/forward-condos-70-90-queens-wharf-rd/unit-1203-C11938722</t>
  </si>
  <si>
    <t xml:space="preserve">condos.ca registered area 500 sqft* (source Calculated), in MLS bracket 500-599; leased 2025-03-19.</t>
  </si>
  <si>
    <t xml:space="preserve">3203</t>
  </si>
  <si>
    <t xml:space="preserve">C11995954</t>
  </si>
  <si>
    <t xml:space="preserve">https://condos.ca/toronto/forward-condos-70-90-queens-wharf-rd/unit-3203-C11995954</t>
  </si>
  <si>
    <t xml:space="preserve">condos.ca registered area 500 sqft* (source Calculated), in MLS bracket 500-599; leased 2025-03-17.</t>
  </si>
  <si>
    <t xml:space="preserve">2025-03-16</t>
  </si>
  <si>
    <t xml:space="preserve">C12009350</t>
  </si>
  <si>
    <t xml:space="preserve">https://condos.ca/toronto/forward-condos-70-90-queens-wharf-rd/unit-3309-C12009350</t>
  </si>
  <si>
    <t xml:space="preserve">condos.ca registered area 802 sqft* (source Calculated), in MLS bracket 800-899; leased 2025-03-16.</t>
  </si>
  <si>
    <t xml:space="preserve">2025-03-13</t>
  </si>
  <si>
    <t xml:space="preserve">C11984029</t>
  </si>
  <si>
    <t xml:space="preserve">https://condos.ca/toronto/forward-condos-70-90-queens-wharf-rd/unit-1202-C11984029</t>
  </si>
  <si>
    <t xml:space="preserve">condos.ca registered area 535 sqft* (source Calculated), in MLS bracket 500-599; leased 2025-03-13.</t>
  </si>
  <si>
    <t xml:space="preserve">2025-03-10</t>
  </si>
  <si>
    <t xml:space="preserve">C12001233</t>
  </si>
  <si>
    <t xml:space="preserve">https://condos.ca/toronto/forward-condos-70-90-queens-wharf-rd/unit-1603-C12001233</t>
  </si>
  <si>
    <t xml:space="preserve">condos.ca area 650 sqft*; furnished/short-term lease; leased 2025-03-10.</t>
  </si>
  <si>
    <t xml:space="preserve">2025-03-04</t>
  </si>
  <si>
    <t xml:space="preserve">C11965594</t>
  </si>
  <si>
    <t xml:space="preserve">https://condos.ca/toronto/forward-condos-70-90-queens-wharf-rd/unit-3206-C11965594</t>
  </si>
  <si>
    <t xml:space="preserve">condos.ca registered area 705 sqft* (source Calculated), in MLS bracket 700-799; leased 2025-03-04.</t>
  </si>
  <si>
    <t xml:space="preserve">2025-02-27</t>
  </si>
  <si>
    <t xml:space="preserve">C11941715</t>
  </si>
  <si>
    <t xml:space="preserve">https://condos.ca/toronto/forward-condos-70-90-queens-wharf-rd/unit-1501-C11941715</t>
  </si>
  <si>
    <t xml:space="preserve">condos.ca registered area 507 sqft* (source Calculated), in MLS bracket 500-599; leased 2025-02-27.</t>
  </si>
  <si>
    <t xml:space="preserve">C11954249</t>
  </si>
  <si>
    <t xml:space="preserve">https://condos.ca/toronto/forward-condos-70-90-queens-wharf-rd/unit-3306-C11954249</t>
  </si>
  <si>
    <t xml:space="preserve">condos.ca registered area 705 sqft* (source Calculated), in MLS bracket 700-799; leased 2025-02-21.</t>
  </si>
  <si>
    <t xml:space="preserve">3010</t>
  </si>
  <si>
    <t xml:space="preserve">C11941268</t>
  </si>
  <si>
    <t xml:space="preserve">https://condos.ca/toronto/forward-condos-70-90-queens-wharf-rd/unit-3010-C11941268</t>
  </si>
  <si>
    <t xml:space="preserve">condos.ca registered area 575 sqft* (source Calculated), in MLS bracket 500-599; leased 2025-02-21.</t>
  </si>
  <si>
    <t xml:space="preserve">C11949291</t>
  </si>
  <si>
    <t xml:space="preserve">https://condos.ca/toronto/forward-condos-70-90-queens-wharf-rd/unit-907-C11949291</t>
  </si>
  <si>
    <t xml:space="preserve">condos.ca registered area 655 sqft* (source Calculated), in MLS bracket 600-699; leased 2025-02-05.</t>
  </si>
  <si>
    <t xml:space="preserve">1612</t>
  </si>
  <si>
    <t xml:space="preserve">C11948480</t>
  </si>
  <si>
    <t xml:space="preserve">https://condos.ca/toronto/forward-condos-70-90-queens-wharf-rd/unit-1612-C11948480</t>
  </si>
  <si>
    <t xml:space="preserve">condos.ca registered area 1038 sqft* (source Calculated), in MLS bracket 1000-1199; leased 2025-02-05.</t>
  </si>
  <si>
    <t xml:space="preserve">C11882769</t>
  </si>
  <si>
    <t xml:space="preserve">https://condos.ca/toronto/forward-condos-70-90-queens-wharf-rd/unit-703-C11882769</t>
  </si>
  <si>
    <t xml:space="preserve">condos.ca area 500 sqft*; calc SF 500 outside MLS bracket 800-899 — flagged; leased 2025-02-04.</t>
  </si>
  <si>
    <t xml:space="preserve">2709</t>
  </si>
  <si>
    <t xml:space="preserve">2025-01-27</t>
  </si>
  <si>
    <t xml:space="preserve">C11900909</t>
  </si>
  <si>
    <t xml:space="preserve">https://condos.ca/toronto/forward-condos-70-90-queens-wharf-rd/unit-2709-C11900909</t>
  </si>
  <si>
    <t xml:space="preserve">condos.ca registered area 802 sqft* (source Calculated), in MLS bracket 800-899; leased 2025-01-27.</t>
  </si>
  <si>
    <t xml:space="preserve">2025-01-17</t>
  </si>
  <si>
    <t xml:space="preserve">C11918074</t>
  </si>
  <si>
    <t xml:space="preserve">https://condos.ca/toronto/forward-condos-70-90-queens-wharf-rd/unit-807-C11918074</t>
  </si>
  <si>
    <t xml:space="preserve">condos.ca registered area 505 sqft* (source Calculated), in MLS bracket 500-599; leased 2025-01-17.</t>
  </si>
  <si>
    <t xml:space="preserve">2025-01-10</t>
  </si>
  <si>
    <t xml:space="preserve">C11912121</t>
  </si>
  <si>
    <t xml:space="preserve">https://condos.ca/toronto/forward-condos-70-90-queens-wharf-rd/unit-303-C11912121</t>
  </si>
  <si>
    <t xml:space="preserve">condos.ca area 500 sqft*; calc SF 500 outside MLS bracket 600-699 — flagged; leased 2025-01-10.</t>
  </si>
  <si>
    <t xml:space="preserve">2025-01-07</t>
  </si>
  <si>
    <t xml:space="preserve">C11887454</t>
  </si>
  <si>
    <t xml:space="preserve">https://condos.ca/toronto/forward-condos-70-90-queens-wharf-rd/unit-803-C11887454</t>
  </si>
  <si>
    <t xml:space="preserve">condos.ca area 500 sqft*; calc SF 500 outside MLS bracket 600-699 — flagged; leased 2025-01-07.</t>
  </si>
  <si>
    <t xml:space="preserve">C11601850</t>
  </si>
  <si>
    <t xml:space="preserve">https://condos.ca/toronto/forward-condos-70-90-queens-wharf-rd/unit-2706-C11601850</t>
  </si>
  <si>
    <t xml:space="preserve">condos.ca registered area 705 sqft* (source Calculated), in MLS bracket 700-799; leased 2025-01-07.</t>
  </si>
  <si>
    <t xml:space="preserve">2025-01-03</t>
  </si>
  <si>
    <t xml:space="preserve">C11884402</t>
  </si>
  <si>
    <t xml:space="preserve">https://condos.ca/toronto/forward-condos-70-90-queens-wharf-rd/unit-2102-C11884402</t>
  </si>
  <si>
    <t xml:space="preserve">condos.ca registered area 708 sqft* (source Calculated), in MLS bracket 700-799; leased 2025-01-03.</t>
  </si>
  <si>
    <t xml:space="preserve">C11897891</t>
  </si>
  <si>
    <t xml:space="preserve">https://condos.ca/toronto/forward-condos-70-90-queens-wharf-rd/unit-1509-C11897891</t>
  </si>
  <si>
    <t xml:space="preserve">condos.ca area 802 sqft*; calc SF 802 outside MLS bracket 500-599 — flagged; leased 2025-01-01.</t>
  </si>
  <si>
    <t xml:space="preserve">409</t>
  </si>
  <si>
    <t xml:space="preserve">Built 2014 (12 yrs)</t>
  </si>
  <si>
    <t xml:space="preserve">C13227014</t>
  </si>
  <si>
    <t xml:space="preserve">https://condos.ca/toronto/library-district-170-fort-york-blvd/unit-409-C13227014</t>
  </si>
  <si>
    <t xml:space="preserve">condos.ca area 686 sqft*; size 'Known'/stated (not registered area); leased 2026-06-15.</t>
  </si>
  <si>
    <t xml:space="preserve">C13220980</t>
  </si>
  <si>
    <t xml:space="preserve">https://condos.ca/toronto/library-district-170-fort-york-blvd/unit-2112-C13220980</t>
  </si>
  <si>
    <t xml:space="preserve">condos.ca area 585 sqft*; size 'Known'/stated (not registered area); leased 2026-06-10.</t>
  </si>
  <si>
    <t xml:space="preserve">1008</t>
  </si>
  <si>
    <t xml:space="preserve">C13177424</t>
  </si>
  <si>
    <t xml:space="preserve">https://condos.ca/toronto/library-district-170-fort-york-blvd/unit-1008-C13177424</t>
  </si>
  <si>
    <t xml:space="preserve">condos.ca registered area 492 sqft* (source Calculated), in MLS bracket 0-499; leased 2026-05-29.</t>
  </si>
  <si>
    <t xml:space="preserve">309</t>
  </si>
  <si>
    <t xml:space="preserve">C13159384</t>
  </si>
  <si>
    <t xml:space="preserve">https://condos.ca/toronto/library-district-170-fort-york-blvd/unit-309-C13159384</t>
  </si>
  <si>
    <t xml:space="preserve">condos.ca area 686 sqft*; size 'Known'/stated (not registered area); leased 2026-05-25.</t>
  </si>
  <si>
    <t xml:space="preserve">C13115244</t>
  </si>
  <si>
    <t xml:space="preserve">https://condos.ca/toronto/library-district-170-fort-york-blvd/unit-806-C13115244</t>
  </si>
  <si>
    <t xml:space="preserve">condos.ca area 493 sqft*; size 'Known'/stated (not registered area); leased 2026-05-23.</t>
  </si>
  <si>
    <t xml:space="preserve">C13079148</t>
  </si>
  <si>
    <t xml:space="preserve">https://condos.ca/toronto/library-district-170-fort-york-blvd/unit-1504-C13079148</t>
  </si>
  <si>
    <t xml:space="preserve">condos.ca area 505 sqft*; size 'Known'/stated (not registered area); leased 2026-05-11.</t>
  </si>
  <si>
    <t xml:space="preserve">C13059468</t>
  </si>
  <si>
    <t xml:space="preserve">https://condos.ca/toronto/library-district-170-fort-york-blvd/unit-1702-C13059468</t>
  </si>
  <si>
    <t xml:space="preserve">condos.ca area 826 sqft*; size 'Known'/stated (not registered area); leased 2026-05-06.</t>
  </si>
  <si>
    <t xml:space="preserve">C13009682</t>
  </si>
  <si>
    <t xml:space="preserve">https://condos.ca/toronto/library-district-170-fort-york-blvd/unit-1911-C13009682</t>
  </si>
  <si>
    <t xml:space="preserve">condos.ca area 742 sqft*; size 'Known'/stated (not registered area); leased 2026-04-27.</t>
  </si>
  <si>
    <t xml:space="preserve">C12962392</t>
  </si>
  <si>
    <t xml:space="preserve">https://condos.ca/toronto/library-district-170-fort-york-blvd/unit-1808-C12962392</t>
  </si>
  <si>
    <t xml:space="preserve">condos.ca registered area 492 sqft* (source Calculated), in MLS bracket 0-499; leased 2026-04-20.</t>
  </si>
  <si>
    <t xml:space="preserve">C12804978</t>
  </si>
  <si>
    <t xml:space="preserve">https://condos.ca/toronto/library-district-170-fort-york-blvd/unit-508-C12804978</t>
  </si>
  <si>
    <t xml:space="preserve">condos.ca registered area 492 sqft* (source Calculated), in MLS bracket 0-499; leased 2026-04-03.</t>
  </si>
  <si>
    <t xml:space="preserve">C12830626</t>
  </si>
  <si>
    <t xml:space="preserve">https://condos.ca/toronto/library-district-170-fort-york-blvd/unit-2007-C12830626</t>
  </si>
  <si>
    <t xml:space="preserve">condos.ca area 403 sqft*; size 'Known'/stated (not registered area); leased 2026-03-19.</t>
  </si>
  <si>
    <t xml:space="preserve">2705</t>
  </si>
  <si>
    <t xml:space="preserve">C12760260</t>
  </si>
  <si>
    <t xml:space="preserve">https://condos.ca/toronto/library-district-170-fort-york-blvd/unit-2705-C12760260</t>
  </si>
  <si>
    <t xml:space="preserve">condos.ca area 403 sqft*; size 'Known'/stated (not registered area); leased 2026-03-14.</t>
  </si>
  <si>
    <t xml:space="preserve">2205</t>
  </si>
  <si>
    <t xml:space="preserve">C12846956</t>
  </si>
  <si>
    <t xml:space="preserve">https://condos.ca/toronto/library-district-170-fort-york-blvd/unit-2205-C12846956</t>
  </si>
  <si>
    <t xml:space="preserve">condos.ca area 403 sqft*; size 'Known'/stated (not registered area); leased 2026-03-13.</t>
  </si>
  <si>
    <t xml:space="preserve">C12786330</t>
  </si>
  <si>
    <t xml:space="preserve">https://condos.ca/toronto/library-district-170-fort-york-blvd/unit-2104-C12786330</t>
  </si>
  <si>
    <t xml:space="preserve">condos.ca area 505 sqft*; size 'Known'/stated (not registered area); leased 2026-02-23.</t>
  </si>
  <si>
    <t xml:space="preserve">2311</t>
  </si>
  <si>
    <t xml:space="preserve">C12608512</t>
  </si>
  <si>
    <t xml:space="preserve">https://condos.ca/toronto/library-district-170-fort-york-blvd/unit-2311-C12608512</t>
  </si>
  <si>
    <t xml:space="preserve">condos.ca area 742 sqft*; size 'Known'/stated (not registered area); furnished/short-term lease; leased 2026-02-23.</t>
  </si>
  <si>
    <t xml:space="preserve">C12535296</t>
  </si>
  <si>
    <t xml:space="preserve">https://condos.ca/toronto/library-district-170-fort-york-blvd/unit-1204-C12535296</t>
  </si>
  <si>
    <t xml:space="preserve">condos.ca area 505 sqft*; size 'Known'/stated (not registered area); leased 2026-02-06.</t>
  </si>
  <si>
    <t xml:space="preserve">2026-01-23</t>
  </si>
  <si>
    <t xml:space="preserve">C12687170</t>
  </si>
  <si>
    <t xml:space="preserve">https://condos.ca/toronto/library-district-170-fort-york-blvd/unit-2113-C12687170</t>
  </si>
  <si>
    <t xml:space="preserve">condos.ca registered area 643 sqft* (source Calculated), in MLS bracket 600-699; leased 2026-01-23.</t>
  </si>
  <si>
    <t xml:space="preserve">2025-12-28</t>
  </si>
  <si>
    <t xml:space="preserve">C12648666</t>
  </si>
  <si>
    <t xml:space="preserve">https://condos.ca/toronto/library-district-170-fort-york-blvd/unit-2806-C12648666</t>
  </si>
  <si>
    <t xml:space="preserve">condos.ca area 493 sqft*; size 'Known'/stated (not registered area); calc SF 493 outside MLS bracket 500-599 — flagged; leased 2025-12-28.</t>
  </si>
  <si>
    <t xml:space="preserve">513</t>
  </si>
  <si>
    <t xml:space="preserve">2025-12-15</t>
  </si>
  <si>
    <t xml:space="preserve">C12613488</t>
  </si>
  <si>
    <t xml:space="preserve">https://condos.ca/toronto/library-district-170-fort-york-blvd/unit-513-C12613488</t>
  </si>
  <si>
    <t xml:space="preserve">condos.ca registered area 643 sqft* (source Calculated), in MLS bracket 600-699; leased 2025-12-15.</t>
  </si>
  <si>
    <t xml:space="preserve">C12557050</t>
  </si>
  <si>
    <t xml:space="preserve">https://condos.ca/toronto/library-district-170-fort-york-blvd/unit-1909-C12557050</t>
  </si>
  <si>
    <t xml:space="preserve">condos.ca area 777 sqft*; size 'Known'/stated (not registered area); calc SF 777 outside MLS bracket 800-899 — flagged; leased 2025-11-26.</t>
  </si>
  <si>
    <t xml:space="preserve">410</t>
  </si>
  <si>
    <t xml:space="preserve">C12566962</t>
  </si>
  <si>
    <t xml:space="preserve">https://condos.ca/toronto/library-district-170-fort-york-blvd/unit-410-C12566962</t>
  </si>
  <si>
    <t xml:space="preserve">condos.ca area 388 sqft*; size 'Known'/stated (not registered area); leased 2025-11-25.</t>
  </si>
  <si>
    <t xml:space="preserve">2811</t>
  </si>
  <si>
    <t xml:space="preserve">C12519342</t>
  </si>
  <si>
    <t xml:space="preserve">https://condos.ca/toronto/library-district-170-fort-york-blvd/unit-2811-C12519342</t>
  </si>
  <si>
    <t xml:space="preserve">condos.ca area 742 sqft*; size 'Known'/stated (not registered area); furnished/short-term lease; leased 2025-11-14.</t>
  </si>
  <si>
    <t xml:space="preserve">C12439348</t>
  </si>
  <si>
    <t xml:space="preserve">https://condos.ca/toronto/library-district-170-fort-york-blvd/unit-1010-C12439348</t>
  </si>
  <si>
    <t xml:space="preserve">condos.ca area 515 sqft*; size 'Known'/stated (not registered area); leased 2025-11-11.</t>
  </si>
  <si>
    <t xml:space="preserve">C12514304</t>
  </si>
  <si>
    <t xml:space="preserve">https://condos.ca/toronto/library-district-170-fort-york-blvd/unit-610-C12514304</t>
  </si>
  <si>
    <t xml:space="preserve">condos.ca area 388 sqft*; size 'Known'/stated (not registered area); furnished/short-term lease; leased 2025-11-09.</t>
  </si>
  <si>
    <t xml:space="preserve">C12361814</t>
  </si>
  <si>
    <t xml:space="preserve">https://condos.ca/toronto/library-district-170-fort-york-blvd/unit-1110-C12361814</t>
  </si>
  <si>
    <t xml:space="preserve">condos.ca area 515 sqft*; size 'Known'/stated (not registered area); leased 2025-08-26.</t>
  </si>
  <si>
    <t xml:space="preserve">C12358999</t>
  </si>
  <si>
    <t xml:space="preserve">https://condos.ca/toronto/library-district-170-fort-york-blvd/unit-2208-C12358999</t>
  </si>
  <si>
    <t xml:space="preserve">condos.ca registered area 492 sqft* (source Calculated), in MLS bracket 0-499; leased 2025-08-23.</t>
  </si>
  <si>
    <t xml:space="preserve">C12314824</t>
  </si>
  <si>
    <t xml:space="preserve">https://condos.ca/toronto/library-district-170-fort-york-blvd/unit-1907-C12314824</t>
  </si>
  <si>
    <t xml:space="preserve">condos.ca area 403 sqft*; size 'Known'/stated (not registered area); leased 2025-08-22.</t>
  </si>
  <si>
    <t xml:space="preserve">C12331764</t>
  </si>
  <si>
    <t xml:space="preserve">https://condos.ca/toronto/library-district-170-fort-york-blvd/unit-810-C12331764</t>
  </si>
  <si>
    <t xml:space="preserve">condos.ca area 515 sqft*; size 'Known'/stated (not registered area); leased 2025-08-13.</t>
  </si>
  <si>
    <t xml:space="preserve">404</t>
  </si>
  <si>
    <t xml:space="preserve">C12267479</t>
  </si>
  <si>
    <t xml:space="preserve">https://condos.ca/toronto/library-district-170-fort-york-blvd/unit-404-C12267479</t>
  </si>
  <si>
    <t xml:space="preserve">condos.ca area 558 sqft*; size 'Known'/stated (not registered area); leased 2025-08-01.</t>
  </si>
  <si>
    <t xml:space="preserve">C12313735</t>
  </si>
  <si>
    <t xml:space="preserve">https://condos.ca/toronto/library-district-170-fort-york-blvd/unit-707-C12313735</t>
  </si>
  <si>
    <t xml:space="preserve">condos.ca area 403 sqft*; size 'Known'/stated (not registered area); furnished/short-term lease; leased 2025-07-31.</t>
  </si>
  <si>
    <t xml:space="preserve">C12282066</t>
  </si>
  <si>
    <t xml:space="preserve">https://condos.ca/toronto/library-district-170-fort-york-blvd/unit-1603-C12282066</t>
  </si>
  <si>
    <t xml:space="preserve">condos.ca area 466 sqft*; size 'Known'/stated (not registered area); calc SF 466 outside MLS bracket 500-599 — flagged; leased 2025-07-24.</t>
  </si>
  <si>
    <t xml:space="preserve">C12279437</t>
  </si>
  <si>
    <t xml:space="preserve">https://condos.ca/toronto/library-district-170-fort-york-blvd/unit-907-C12279437</t>
  </si>
  <si>
    <t xml:space="preserve">condos.ca area 403 sqft*; size 'Known'/stated (not registered area); leased 2025-07-24.</t>
  </si>
  <si>
    <t xml:space="preserve">2204</t>
  </si>
  <si>
    <t xml:space="preserve">C12120206</t>
  </si>
  <si>
    <t xml:space="preserve">https://condos.ca/toronto/library-district-170-fort-york-blvd/unit-2204-C12120206</t>
  </si>
  <si>
    <t xml:space="preserve">condos.ca area 505 sqft*; size 'Known'/stated (not registered area); leased 2025-07-21.</t>
  </si>
  <si>
    <t xml:space="preserve">C12268188</t>
  </si>
  <si>
    <t xml:space="preserve">https://condos.ca/toronto/library-district-170-fort-york-blvd/unit-1512-C12268188</t>
  </si>
  <si>
    <t xml:space="preserve">condos.ca area 585 sqft*; size 'Known'/stated (not registered area); calc SF 585 outside MLS bracket 600-699 — flagged; leased 2025-07-11.</t>
  </si>
  <si>
    <t xml:space="preserve">C12212626</t>
  </si>
  <si>
    <t xml:space="preserve">https://condos.ca/toronto/library-district-170-fort-york-blvd/unit-1505-C12212626</t>
  </si>
  <si>
    <t xml:space="preserve">condos.ca area 403 sqft*; size 'Known'/stated (not registered area); leased 2025-07-11.</t>
  </si>
  <si>
    <t xml:space="preserve">C12230557</t>
  </si>
  <si>
    <t xml:space="preserve">https://condos.ca/toronto/library-district-170-fort-york-blvd/unit-1308-C12230557</t>
  </si>
  <si>
    <t xml:space="preserve">condos.ca registered area 492 sqft* (source Calculated), in MLS bracket 0-499; leased 2025-07-08.</t>
  </si>
  <si>
    <t xml:space="preserve">C12252144</t>
  </si>
  <si>
    <t xml:space="preserve">https://condos.ca/toronto/library-district-170-fort-york-blvd/unit-1908-C12252144</t>
  </si>
  <si>
    <t xml:space="preserve">condos.ca registered area 492 sqft* (source Calculated), in MLS bracket 0-499; leased 2025-07-05.</t>
  </si>
  <si>
    <t xml:space="preserve">C12190776</t>
  </si>
  <si>
    <t xml:space="preserve">https://condos.ca/toronto/library-district-170-fort-york-blvd/unit-2601-C12190776</t>
  </si>
  <si>
    <t xml:space="preserve">condos.ca registered area 643 sqft* (source Calculated), in MLS bracket 600-699; leased 2025-07-02.</t>
  </si>
  <si>
    <t xml:space="preserve">C12176600</t>
  </si>
  <si>
    <t xml:space="preserve">https://condos.ca/toronto/library-district-170-fort-york-blvd/unit-1205-C12176600</t>
  </si>
  <si>
    <t xml:space="preserve">condos.ca area 403 sqft*; size 'Known'/stated (not registered area); leased 2025-06-29.</t>
  </si>
  <si>
    <t xml:space="preserve">C12204744</t>
  </si>
  <si>
    <t xml:space="preserve">https://condos.ca/toronto/library-district-170-fort-york-blvd/unit-706-C12204744</t>
  </si>
  <si>
    <t xml:space="preserve">condos.ca area 493 sqft*; size 'Known'/stated (not registered area); leased 2025-06-19.</t>
  </si>
  <si>
    <t xml:space="preserve">C12178973</t>
  </si>
  <si>
    <t xml:space="preserve">https://condos.ca/toronto/library-district-170-fort-york-blvd/unit-1103-C12178973</t>
  </si>
  <si>
    <t xml:space="preserve">condos.ca area 466 sqft*; size 'Known'/stated (not registered area); leased 2025-06-18.</t>
  </si>
  <si>
    <t xml:space="preserve">C12190474</t>
  </si>
  <si>
    <t xml:space="preserve">https://condos.ca/toronto/library-district-170-fort-york-blvd/unit-1101-C12190474</t>
  </si>
  <si>
    <t xml:space="preserve">condos.ca registered area 643 sqft* (source Calculated), in MLS bracket 600-699; leased 2025-06-16.</t>
  </si>
  <si>
    <t xml:space="preserve">C12207218</t>
  </si>
  <si>
    <t xml:space="preserve">https://condos.ca/toronto/library-district-170-fort-york-blvd/unit-1404-C12207218</t>
  </si>
  <si>
    <t xml:space="preserve">condos.ca area 505 sqft*; size 'Known'/stated (not registered area); leased 2025-06-13.</t>
  </si>
  <si>
    <t xml:space="preserve">C12190285</t>
  </si>
  <si>
    <t xml:space="preserve">https://condos.ca/toronto/library-district-170-fort-york-blvd/unit-1904-C12190285</t>
  </si>
  <si>
    <t xml:space="preserve">condos.ca area 505 sqft*; size 'Known'/stated (not registered area); leased 2025-06-09.</t>
  </si>
  <si>
    <t xml:space="preserve">401</t>
  </si>
  <si>
    <t xml:space="preserve">C12060426</t>
  </si>
  <si>
    <t xml:space="preserve">https://condos.ca/toronto/library-district-170-fort-york-blvd/unit-401-C12060426</t>
  </si>
  <si>
    <t xml:space="preserve">condos.ca registered area 643 sqft* (source Calculated), in MLS bracket 600-699; leased 2025-06-07.</t>
  </si>
  <si>
    <t xml:space="preserve">2913</t>
  </si>
  <si>
    <t xml:space="preserve">C12191949</t>
  </si>
  <si>
    <t xml:space="preserve">https://condos.ca/toronto/library-district-170-fort-york-blvd/unit-2913-C12191949</t>
  </si>
  <si>
    <t xml:space="preserve">condos.ca registered area 643 sqft* (source Calculated), in MLS bracket 600-699; leased 2025-06-06.</t>
  </si>
  <si>
    <t xml:space="preserve">2025-05-11</t>
  </si>
  <si>
    <t xml:space="preserve">C12099518</t>
  </si>
  <si>
    <t xml:space="preserve">https://condos.ca/toronto/library-district-170-fort-york-blvd/unit-605-C12099518</t>
  </si>
  <si>
    <t xml:space="preserve">condos.ca area 403 sqft*; size 'Known'/stated (not registered area); leased 2025-05-11.</t>
  </si>
  <si>
    <t xml:space="preserve">2025-05-09</t>
  </si>
  <si>
    <t xml:space="preserve">C12128976</t>
  </si>
  <si>
    <t xml:space="preserve">https://condos.ca/toronto/library-district-170-fort-york-blvd/unit-1912-C12128976</t>
  </si>
  <si>
    <t xml:space="preserve">condos.ca area 585 sqft*; size 'Known'/stated (not registered area); leased 2025-05-09.</t>
  </si>
  <si>
    <t xml:space="preserve">C12107106</t>
  </si>
  <si>
    <t xml:space="preserve">https://condos.ca/toronto/library-district-170-fort-york-blvd/unit-2112-C12107106</t>
  </si>
  <si>
    <t xml:space="preserve">condos.ca area 585 sqft*; size 'Known'/stated (not registered area); leased 2025-05-07.</t>
  </si>
  <si>
    <t xml:space="preserve">C12112173</t>
  </si>
  <si>
    <t xml:space="preserve">https://condos.ca/toronto/library-district-170-fort-york-blvd/unit-1101-C12112173</t>
  </si>
  <si>
    <t xml:space="preserve">condos.ca registered area 643 sqft* (source Calculated), in MLS bracket 600-699; leased 2025-05-06.</t>
  </si>
  <si>
    <t xml:space="preserve">C12103949</t>
  </si>
  <si>
    <t xml:space="preserve">https://condos.ca/toronto/library-district-170-fort-york-blvd/unit-910-C12103949</t>
  </si>
  <si>
    <t xml:space="preserve">condos.ca area 515 sqft*; size 'Known'/stated (not registered area); leased 2025-05-02.</t>
  </si>
  <si>
    <t xml:space="preserve">C12069550</t>
  </si>
  <si>
    <t xml:space="preserve">https://condos.ca/toronto/library-district-170-fort-york-blvd/unit-1410-C12069550</t>
  </si>
  <si>
    <t xml:space="preserve">C12105875</t>
  </si>
  <si>
    <t xml:space="preserve">https://condos.ca/toronto/library-district-170-fort-york-blvd/unit-905-C12105875</t>
  </si>
  <si>
    <t xml:space="preserve">condos.ca area 403 sqft*; size 'Known'/stated (not registered area); leased 2025-05-01.</t>
  </si>
  <si>
    <t xml:space="preserve">C12080723</t>
  </si>
  <si>
    <t xml:space="preserve">https://condos.ca/toronto/library-district-170-fort-york-blvd/unit-906-C12080723</t>
  </si>
  <si>
    <t xml:space="preserve">condos.ca area 493 sqft*; size 'Known'/stated (not registered area); calc SF 493 outside MLS bracket 500-599 — flagged; leased 2025-05-01.</t>
  </si>
  <si>
    <t xml:space="preserve">C12088551</t>
  </si>
  <si>
    <t xml:space="preserve">https://condos.ca/toronto/library-district-170-fort-york-blvd/unit-2012-C12088551</t>
  </si>
  <si>
    <t xml:space="preserve">condos.ca area 585 sqft*; size 'Known'/stated (not registered area); leased 2025-04-29.</t>
  </si>
  <si>
    <t xml:space="preserve">C12087747</t>
  </si>
  <si>
    <t xml:space="preserve">https://condos.ca/toronto/library-district-170-fort-york-blvd/unit-309-C12087747</t>
  </si>
  <si>
    <t xml:space="preserve">condos.ca area 686 sqft*; size 'Known'/stated (not registered area); leased 2025-04-28.</t>
  </si>
  <si>
    <t xml:space="preserve">C12080270</t>
  </si>
  <si>
    <t xml:space="preserve">https://condos.ca/toronto/library-district-170-fort-york-blvd/unit-1208-C12080270</t>
  </si>
  <si>
    <t xml:space="preserve">condos.ca registered area 492 sqft* (source Calculated), in MLS bracket 0-499; leased 2025-04-18.</t>
  </si>
  <si>
    <t xml:space="preserve">C12059200</t>
  </si>
  <si>
    <t xml:space="preserve">https://condos.ca/toronto/library-district-170-fort-york-blvd/unit-2312-C12059200</t>
  </si>
  <si>
    <t xml:space="preserve">condos.ca area 585 sqft*; size 'Known'/stated (not registered area); calc SF 585 outside MLS bracket 600-699 — flagged; leased 2025-04-17.</t>
  </si>
  <si>
    <t xml:space="preserve">C12008013</t>
  </si>
  <si>
    <t xml:space="preserve">https://condos.ca/toronto/library-district-170-fort-york-blvd/unit-813-C12008013</t>
  </si>
  <si>
    <t xml:space="preserve">condos.ca registered area 643 sqft* (source Calculated), in MLS bracket 600-699; leased 2025-04-10.</t>
  </si>
  <si>
    <t xml:space="preserve">C12006519</t>
  </si>
  <si>
    <t xml:space="preserve">https://condos.ca/toronto/library-district-170-fort-york-blvd/unit-511-C12006519</t>
  </si>
  <si>
    <t xml:space="preserve">condos.ca area 742 sqft*; size 'Known'/stated (not registered area); leased 2025-04-09.</t>
  </si>
  <si>
    <t xml:space="preserve">C12051111</t>
  </si>
  <si>
    <t xml:space="preserve">https://condos.ca/toronto/library-district-170-fort-york-blvd/unit-1206-C12051111</t>
  </si>
  <si>
    <t xml:space="preserve">condos.ca area 493 sqft*; size 'Known'/stated (not registered area); leased 2025-04-06.</t>
  </si>
  <si>
    <t xml:space="preserve">C11995276</t>
  </si>
  <si>
    <t xml:space="preserve">https://condos.ca/toronto/library-district-170-fort-york-blvd/unit-1207-C11995276</t>
  </si>
  <si>
    <t xml:space="preserve">condos.ca area 403 sqft*; size 'Known'/stated (not registered area); leased 2025-03-13.</t>
  </si>
  <si>
    <t xml:space="preserve">2513</t>
  </si>
  <si>
    <t xml:space="preserve">C12003139</t>
  </si>
  <si>
    <t xml:space="preserve">https://condos.ca/toronto/library-district-170-fort-york-blvd/unit-2513-C12003139</t>
  </si>
  <si>
    <t xml:space="preserve">condos.ca registered area 643 sqft* (source Calculated), in MLS bracket 600-699; leased 2025-03-10.</t>
  </si>
  <si>
    <t xml:space="preserve">203</t>
  </si>
  <si>
    <t xml:space="preserve">C11976760</t>
  </si>
  <si>
    <t xml:space="preserve">https://condos.ca/toronto/library-district-170-fort-york-blvd/unit-203-C11976760</t>
  </si>
  <si>
    <t xml:space="preserve">condos.ca registered area 502 sqft* (source Calculated), in MLS bracket 500-599; leased 2025-02-25.</t>
  </si>
  <si>
    <t xml:space="preserve">1701</t>
  </si>
  <si>
    <t xml:space="preserve">C11934265</t>
  </si>
  <si>
    <t xml:space="preserve">https://condos.ca/toronto/library-district-170-fort-york-blvd/unit-1701-C11934265</t>
  </si>
  <si>
    <t xml:space="preserve">condos.ca registered area 643 sqft* (source Calculated), in MLS bracket 600-699; leased 2025-02-25.</t>
  </si>
  <si>
    <t xml:space="preserve">2025-02-07</t>
  </si>
  <si>
    <t xml:space="preserve">C11953983</t>
  </si>
  <si>
    <t xml:space="preserve">https://condos.ca/toronto/library-district-170-fort-york-blvd/unit-906-C11953983</t>
  </si>
  <si>
    <t xml:space="preserve">condos.ca area 493 sqft*; size 'Known'/stated (not registered area); calc SF 493 outside MLS bracket 500-599 — flagged; leased 2025-02-07.</t>
  </si>
  <si>
    <t xml:space="preserve">C11894216</t>
  </si>
  <si>
    <t xml:space="preserve">https://condos.ca/toronto/library-district-170-fort-york-blvd/unit-212-C11894216</t>
  </si>
  <si>
    <t xml:space="preserve">condos.ca area 585 sqft*; size 'Known'/stated (not registered area); leased 2025-02-06.</t>
  </si>
  <si>
    <t xml:space="preserve">C11947308</t>
  </si>
  <si>
    <t xml:space="preserve">https://condos.ca/toronto/library-district-170-fort-york-blvd/unit-903-C11947308</t>
  </si>
  <si>
    <t xml:space="preserve">condos.ca area 466 sqft*; size 'Known'/stated (not registered area); leased 2025-02-05.</t>
  </si>
  <si>
    <t xml:space="preserve">1508</t>
  </si>
  <si>
    <t xml:space="preserve">Built 2008 (18 yrs)</t>
  </si>
  <si>
    <t xml:space="preserve">C13437146</t>
  </si>
  <si>
    <t xml:space="preserve">https://condos.ca/toronto/n1-n2-cityplace-15-fort-york-blvd-15-brunel-crt/unit-1508-C13437146</t>
  </si>
  <si>
    <t xml:space="preserve">condos.ca registered area 587 sqft* (source Calculated), in MLS bracket 500-599; leased 2026-06-15.</t>
  </si>
  <si>
    <t xml:space="preserve">1601</t>
  </si>
  <si>
    <t xml:space="preserve">C13207458</t>
  </si>
  <si>
    <t xml:space="preserve">https://condos.ca/toronto/n1-n2-cityplace-15-fort-york-blvd-15-brunel-crt/unit-1601-C13207458</t>
  </si>
  <si>
    <t xml:space="preserve">condos.ca area 587 sqft*; furnished/short-term lease; leased 2026-06-10.</t>
  </si>
  <si>
    <t xml:space="preserve">C13226098</t>
  </si>
  <si>
    <t xml:space="preserve">https://condos.ca/toronto/n1-n2-cityplace-15-fort-york-blvd-15-brunel-crt/unit-1910-C13226098</t>
  </si>
  <si>
    <t xml:space="preserve">condos.ca registered area 914 sqft* (source Calculated), in MLS bracket 900-999; leased 2026-06-09.</t>
  </si>
  <si>
    <t xml:space="preserve">919</t>
  </si>
  <si>
    <t xml:space="preserve">C13170188</t>
  </si>
  <si>
    <t xml:space="preserve">https://condos.ca/toronto/n1-n2-cityplace-15-fort-york-blvd-15-brunel-crt/unit-919-C13170188</t>
  </si>
  <si>
    <t xml:space="preserve">condos.ca registered area 630 sqft* (source Calculated), in MLS bracket 600-699; leased 2026-06-05.</t>
  </si>
  <si>
    <t xml:space="preserve">C13120082</t>
  </si>
  <si>
    <t xml:space="preserve">https://condos.ca/toronto/n1-n2-cityplace-15-fort-york-blvd-15-brunel-crt/unit-510-C13120082</t>
  </si>
  <si>
    <t xml:space="preserve">condos.ca registered area 914 sqft* (source Calculated), in MLS bracket 900-999; leased 2026-05-19.</t>
  </si>
  <si>
    <t xml:space="preserve">327</t>
  </si>
  <si>
    <t xml:space="preserve">C13103194</t>
  </si>
  <si>
    <t xml:space="preserve">https://condos.ca/toronto/n1-n2-cityplace-15-fort-york-blvd-15-brunel-crt/unit-327-C13103194</t>
  </si>
  <si>
    <t xml:space="preserve">condos.ca registered area 630 sqft* (source Calculated), in MLS bracket 600-699; leased 2026-05-17.</t>
  </si>
  <si>
    <t xml:space="preserve">3907</t>
  </si>
  <si>
    <t xml:space="preserve">C13070062</t>
  </si>
  <si>
    <t xml:space="preserve">https://condos.ca/toronto/n1-n2-cityplace-15-fort-york-blvd-15-brunel-crt/unit-3907-C13070062</t>
  </si>
  <si>
    <t xml:space="preserve">condos.ca registered area 587 sqft* (source Calculated), in MLS bracket 500-599; leased 2026-05-08.</t>
  </si>
  <si>
    <t xml:space="preserve">C13050122</t>
  </si>
  <si>
    <t xml:space="preserve">https://condos.ca/toronto/n1-n2-cityplace-15-fort-york-blvd-15-brunel-crt/unit-903-C13050122</t>
  </si>
  <si>
    <t xml:space="preserve">condos.ca registered area 683 sqft* (source Calculated), in MLS bracket 600-699; leased 2026-05-07.</t>
  </si>
  <si>
    <t xml:space="preserve">518</t>
  </si>
  <si>
    <t xml:space="preserve">C13060060</t>
  </si>
  <si>
    <t xml:space="preserve">https://condos.ca/toronto/n1-n2-cityplace-15-fort-york-blvd-15-brunel-crt/unit-518-C13060060</t>
  </si>
  <si>
    <t xml:space="preserve">condos.ca registered area 595 sqft* (source Calculated), in MLS bracket 500-599; leased 2026-05-06.</t>
  </si>
  <si>
    <t xml:space="preserve">C13023478</t>
  </si>
  <si>
    <t xml:space="preserve">https://condos.ca/toronto/n1-n2-cityplace-15-fort-york-blvd-15-brunel-crt/unit-1910-C13023478</t>
  </si>
  <si>
    <t xml:space="preserve">condos.ca registered area 914 sqft* (source Calculated), in MLS bracket 900-999; leased 2026-04-27.</t>
  </si>
  <si>
    <t xml:space="preserve">321</t>
  </si>
  <si>
    <t xml:space="preserve">C13003732</t>
  </si>
  <si>
    <t xml:space="preserve">https://condos.ca/toronto/n1-n2-cityplace-15-fort-york-blvd-15-brunel-crt/unit-321-C13003732</t>
  </si>
  <si>
    <t xml:space="preserve">condos.ca area 595 sqft*; calc SF 595 outside MLS bracket 600-699 — flagged; leased 2026-04-18.</t>
  </si>
  <si>
    <t xml:space="preserve">2315</t>
  </si>
  <si>
    <t xml:space="preserve">C12979450</t>
  </si>
  <si>
    <t xml:space="preserve">https://condos.ca/toronto/n1-n2-cityplace-15-fort-york-blvd-15-brunel-crt/unit-2315-C12979450</t>
  </si>
  <si>
    <t xml:space="preserve">condos.ca registered area 479 sqft* (source Calculated), in MLS bracket 0-499; leased 2026-04-18.</t>
  </si>
  <si>
    <t xml:space="preserve">C12974928</t>
  </si>
  <si>
    <t xml:space="preserve">https://condos.ca/toronto/n1-n2-cityplace-15-fort-york-blvd-15-brunel-crt/unit-818-C12974928</t>
  </si>
  <si>
    <t xml:space="preserve">condos.ca registered area 633 sqft* (source Calculated), in MLS bracket 600-699; leased 2026-04-14.</t>
  </si>
  <si>
    <t xml:space="preserve">C12627738</t>
  </si>
  <si>
    <t xml:space="preserve">https://condos.ca/toronto/n1-n2-cityplace-15-fort-york-blvd-15-brunel-crt/unit-805-C12627738</t>
  </si>
  <si>
    <t xml:space="preserve">condos.ca registered area 648 sqft* (source Calculated), in MLS bracket 600-699; leased 2026-04-14.</t>
  </si>
  <si>
    <t xml:space="preserve">2026-04-11</t>
  </si>
  <si>
    <t xml:space="preserve">C12971590</t>
  </si>
  <si>
    <t xml:space="preserve">https://condos.ca/toronto/n1-n2-cityplace-15-fort-york-blvd-15-brunel-crt/unit-2109-C12971590</t>
  </si>
  <si>
    <t xml:space="preserve">condos.ca registered area 479 sqft* (source Calculated), in MLS bracket 0-499; leased 2026-04-11.</t>
  </si>
  <si>
    <t xml:space="preserve">C12957872</t>
  </si>
  <si>
    <t xml:space="preserve">https://condos.ca/toronto/n1-n2-cityplace-15-fort-york-blvd-15-brunel-crt/unit-3010-C12957872</t>
  </si>
  <si>
    <t xml:space="preserve">condos.ca registered area 914 sqft* (source Calculated), in MLS bracket 900-999; leased 2026-04-08.</t>
  </si>
  <si>
    <t xml:space="preserve">C12928600</t>
  </si>
  <si>
    <t xml:space="preserve">https://condos.ca/toronto/n1-n2-cityplace-15-fort-york-blvd-15-brunel-crt/unit-1702-C12928600</t>
  </si>
  <si>
    <t xml:space="preserve">condos.ca area 587 sqft*; calc SF 587 outside MLS bracket 600-699 — flagged; leased 2026-03-31.</t>
  </si>
  <si>
    <t xml:space="preserve">C12802078</t>
  </si>
  <si>
    <t xml:space="preserve">https://condos.ca/toronto/n1-n2-cityplace-15-fort-york-blvd-15-brunel-crt/unit-1212-C12802078</t>
  </si>
  <si>
    <t xml:space="preserve">condos.ca registered area 914 sqft* (source Calculated), in MLS bracket 900-999; leased 2026-03-13.</t>
  </si>
  <si>
    <t xml:space="preserve">C12609080</t>
  </si>
  <si>
    <t xml:space="preserve">https://condos.ca/toronto/n1-n2-cityplace-15-fort-york-blvd-15-brunel-crt/unit-605-C12609080</t>
  </si>
  <si>
    <t xml:space="preserve">condos.ca registered area 535 sqft* (source Calculated), in MLS bracket 500-599; leased 2026-03-10.</t>
  </si>
  <si>
    <t xml:space="preserve">C12743974</t>
  </si>
  <si>
    <t xml:space="preserve">https://condos.ca/toronto/n1-n2-cityplace-15-fort-york-blvd-15-brunel-crt/unit-3906-C12743974</t>
  </si>
  <si>
    <t xml:space="preserve">condos.ca registered area 780 sqft* (source Calculated), in MLS bracket 700-799; leased 2026-03-08.</t>
  </si>
  <si>
    <t xml:space="preserve">2805</t>
  </si>
  <si>
    <t xml:space="preserve">C12713714</t>
  </si>
  <si>
    <t xml:space="preserve">https://condos.ca/toronto/n1-n2-cityplace-15-fort-york-blvd-15-brunel-crt/unit-2805-C12713714</t>
  </si>
  <si>
    <t xml:space="preserve">condos.ca registered area 924 sqft* (source Calculated), in MLS bracket 900-999; leased 2026-03-08.</t>
  </si>
  <si>
    <t xml:space="preserve">C12746790</t>
  </si>
  <si>
    <t xml:space="preserve">https://condos.ca/toronto/n1-n2-cityplace-15-fort-york-blvd-15-brunel-crt/unit-3701-C12746790</t>
  </si>
  <si>
    <t xml:space="preserve">condos.ca registered area 1031 sqft* (source Calculated), in MLS bracket 1000-1199; leased 2026-02-27.</t>
  </si>
  <si>
    <t xml:space="preserve">2026-02-16</t>
  </si>
  <si>
    <t xml:space="preserve">C12786648</t>
  </si>
  <si>
    <t xml:space="preserve">https://condos.ca/toronto/n1-n2-cityplace-15-fort-york-blvd-15-brunel-crt/unit-808-C12786648</t>
  </si>
  <si>
    <t xml:space="preserve">condos.ca area 595 sqft*; calc SF 595 outside MLS bracket 600-699 — flagged; leased 2026-02-16.</t>
  </si>
  <si>
    <t xml:space="preserve">C12764096</t>
  </si>
  <si>
    <t xml:space="preserve">https://condos.ca/toronto/n1-n2-cityplace-15-fort-york-blvd-15-brunel-crt/unit-806-C12764096</t>
  </si>
  <si>
    <t xml:space="preserve">condos.ca registered area 780 sqft* (source Calculated), in MLS bracket 700-799; leased 2026-02-13.</t>
  </si>
  <si>
    <t xml:space="preserve">C12696618</t>
  </si>
  <si>
    <t xml:space="preserve">https://condos.ca/toronto/n1-n2-cityplace-15-fort-york-blvd-15-brunel-crt/unit-3208-C12696618</t>
  </si>
  <si>
    <t xml:space="preserve">condos.ca registered area 1031 sqft* (source Calculated), in MLS bracket 1000-1199; leased 2026-01-30.</t>
  </si>
  <si>
    <t xml:space="preserve">C12598090</t>
  </si>
  <si>
    <t xml:space="preserve">https://condos.ca/toronto/n1-n2-cityplace-15-fort-york-blvd-15-brunel-crt/unit-2008-C12598090</t>
  </si>
  <si>
    <t xml:space="preserve">condos.ca registered area 587 sqft* (source Calculated), in MLS bracket 500-599; leased 2026-01-16.</t>
  </si>
  <si>
    <t xml:space="preserve">916</t>
  </si>
  <si>
    <t xml:space="preserve">C12598756</t>
  </si>
  <si>
    <t xml:space="preserve">https://condos.ca/toronto/n1-n2-cityplace-15-fort-york-blvd-15-brunel-crt/unit-916-C12598756</t>
  </si>
  <si>
    <t xml:space="preserve">condos.ca registered area 595 sqft* (source Calculated), in MLS bracket 500-599; leased 2026-01-15.</t>
  </si>
  <si>
    <t xml:space="preserve">C12469657</t>
  </si>
  <si>
    <t xml:space="preserve">https://condos.ca/toronto/n1-n2-cityplace-15-fort-york-blvd-15-brunel-crt/unit-2102-C12469657</t>
  </si>
  <si>
    <t xml:space="preserve">condos.ca area 587 sqft*; calc SF 587 outside MLS bracket 600-699 — flagged; leased 2026-01-12.</t>
  </si>
  <si>
    <t xml:space="preserve">C12640036</t>
  </si>
  <si>
    <t xml:space="preserve">https://condos.ca/toronto/n1-n2-cityplace-15-fort-york-blvd-15-brunel-crt/unit-3903-C12640036</t>
  </si>
  <si>
    <t xml:space="preserve">condos.ca registered area 780 sqft* (source Calculated), in MLS bracket 700-799; leased 2026-01-07.</t>
  </si>
  <si>
    <t xml:space="preserve">717</t>
  </si>
  <si>
    <t xml:space="preserve">C12610094</t>
  </si>
  <si>
    <t xml:space="preserve">https://condos.ca/toronto/n1-n2-cityplace-15-fort-york-blvd-15-brunel-crt/unit-717-C12610094</t>
  </si>
  <si>
    <t xml:space="preserve">condos.ca registered area 595 sqft* (source Calculated), in MLS bracket 500-599; leased 2026-01-02.</t>
  </si>
  <si>
    <t xml:space="preserve">C12617386</t>
  </si>
  <si>
    <t xml:space="preserve">https://condos.ca/toronto/n1-n2-cityplace-15-fort-york-blvd-15-brunel-crt/unit-712-C12617386</t>
  </si>
  <si>
    <t xml:space="preserve">condos.ca registered area 914 sqft* (source Calculated), in MLS bracket 900-999; leased 2025-12-25.</t>
  </si>
  <si>
    <t xml:space="preserve">PH01</t>
  </si>
  <si>
    <t xml:space="preserve">C12630202</t>
  </si>
  <si>
    <t xml:space="preserve">https://condos.ca/toronto/n1-n2-cityplace-15-fort-york-blvd-15-brunel-crt/unit-PH01-C12630202</t>
  </si>
  <si>
    <t xml:space="preserve">condos.ca registered area 1708 sqft* (source Calculated), in MLS bracket 1600-1799; leased 2025-12-17.</t>
  </si>
  <si>
    <t xml:space="preserve">C12552782</t>
  </si>
  <si>
    <t xml:space="preserve">https://condos.ca/toronto/n1-n2-cityplace-15-fort-york-blvd-15-brunel-crt/unit-1812-C12552782</t>
  </si>
  <si>
    <t xml:space="preserve">condos.ca registered area 914 sqft* (source Calculated), in MLS bracket 900-999; leased 2025-12-01.</t>
  </si>
  <si>
    <t xml:space="preserve">107</t>
  </si>
  <si>
    <t xml:space="preserve">C12430681</t>
  </si>
  <si>
    <t xml:space="preserve">https://condos.ca/toronto/n1-n2-cityplace-15-fort-york-blvd-15-brunel-crt/unit-107-C12430681</t>
  </si>
  <si>
    <t xml:space="preserve">condos.ca registered area 656 sqft* (source Calculated), in MLS bracket 600-699; leased 2025-11-24.</t>
  </si>
  <si>
    <t xml:space="preserve">C12450565</t>
  </si>
  <si>
    <t xml:space="preserve">https://condos.ca/toronto/n1-n2-cityplace-15-fort-york-blvd-15-brunel-crt/unit-301-C12450565</t>
  </si>
  <si>
    <t xml:space="preserve">condos.ca registered area 625 sqft* (source Calculated), in MLS bracket 600-699; leased 2025-11-20.</t>
  </si>
  <si>
    <t xml:space="preserve">C12467548</t>
  </si>
  <si>
    <t xml:space="preserve">https://condos.ca/toronto/n1-n2-cityplace-15-fort-york-blvd-15-brunel-crt/unit-318-C12467548</t>
  </si>
  <si>
    <t xml:space="preserve">condos.ca area 595 sqft*; calc SF 595 outside MLS bracket 600-699 — flagged; leased 2025-11-11.</t>
  </si>
  <si>
    <t xml:space="preserve">2502</t>
  </si>
  <si>
    <t xml:space="preserve">2025-11-10</t>
  </si>
  <si>
    <t xml:space="preserve">C12452183</t>
  </si>
  <si>
    <t xml:space="preserve">https://condos.ca/toronto/n1-n2-cityplace-15-fort-york-blvd-15-brunel-crt/unit-2502-C12452183</t>
  </si>
  <si>
    <t xml:space="preserve">condos.ca area 587 sqft*; calc SF 587 outside MLS bracket 600-699 — flagged; leased 2025-11-10.</t>
  </si>
  <si>
    <t xml:space="preserve">C12424492</t>
  </si>
  <si>
    <t xml:space="preserve">https://condos.ca/toronto/n1-n2-cityplace-15-fort-york-blvd-15-brunel-crt/unit-4009-C12424492</t>
  </si>
  <si>
    <t xml:space="preserve">condos.ca registered area 479 sqft* (source Calculated), in MLS bracket 0-499; leased 2025-11-09.</t>
  </si>
  <si>
    <t xml:space="preserve">C12440032</t>
  </si>
  <si>
    <t xml:space="preserve">https://condos.ca/toronto/n1-n2-cityplace-15-fort-york-blvd-15-brunel-crt/unit-616-C12440032</t>
  </si>
  <si>
    <t xml:space="preserve">condos.ca area 595 sqft*; calc SF 595 outside MLS bracket 600-699 — flagged; leased 2025-11-03.</t>
  </si>
  <si>
    <t xml:space="preserve">C12472257</t>
  </si>
  <si>
    <t xml:space="preserve">https://condos.ca/toronto/n1-n2-cityplace-15-fort-york-blvd-15-brunel-crt/unit-608-C12472257</t>
  </si>
  <si>
    <t xml:space="preserve">condos.ca area 683 sqft*; furnished/short-term lease; leased 2025-10-24.</t>
  </si>
  <si>
    <t xml:space="preserve">4605</t>
  </si>
  <si>
    <t xml:space="preserve">C12444752</t>
  </si>
  <si>
    <t xml:space="preserve">https://condos.ca/toronto/n1-n2-cityplace-15-fort-york-blvd-15-brunel-crt/unit-4605-C12444752</t>
  </si>
  <si>
    <t xml:space="preserve">condos.ca area 924 sqft*; furnished/short-term lease; leased 2025-10-24.</t>
  </si>
  <si>
    <t xml:space="preserve">102</t>
  </si>
  <si>
    <t xml:space="preserve">C12354527</t>
  </si>
  <si>
    <t xml:space="preserve">https://condos.ca/toronto/n1-n2-cityplace-15-fort-york-blvd-15-brunel-crt/unit-102-C12354527</t>
  </si>
  <si>
    <t xml:space="preserve">condos.ca registered area 656 sqft* (source Calculated), in MLS bracket 600-699; leased 2025-10-18.</t>
  </si>
  <si>
    <t xml:space="preserve">C12445615</t>
  </si>
  <si>
    <t xml:space="preserve">https://condos.ca/toronto/n1-n2-cityplace-15-fort-york-blvd-15-brunel-crt/unit-4602-C12445615</t>
  </si>
  <si>
    <t xml:space="preserve">condos.ca registered area 587 sqft* (source Calculated), in MLS bracket 500-599; leased 2025-10-08.</t>
  </si>
  <si>
    <t xml:space="preserve">C12438950</t>
  </si>
  <si>
    <t xml:space="preserve">https://condos.ca/toronto/n1-n2-cityplace-15-fort-york-blvd-15-brunel-crt/unit-3505-C12438950</t>
  </si>
  <si>
    <t xml:space="preserve">condos.ca registered area 924 sqft* (source Calculated), in MLS bracket 900-999; leased 2025-10-08.</t>
  </si>
  <si>
    <t xml:space="preserve">C12363738</t>
  </si>
  <si>
    <t xml:space="preserve">https://condos.ca/toronto/n1-n2-cityplace-15-fort-york-blvd-15-brunel-crt/unit-1510-C12363738</t>
  </si>
  <si>
    <t xml:space="preserve">condos.ca registered area 914 sqft* (source Calculated), in MLS bracket 900-999; leased 2025-10-07.</t>
  </si>
  <si>
    <t xml:space="preserve">C12429304</t>
  </si>
  <si>
    <t xml:space="preserve">https://condos.ca/toronto/n1-n2-cityplace-15-fort-york-blvd-15-brunel-crt/unit-915-C12429304</t>
  </si>
  <si>
    <t xml:space="preserve">condos.ca area 595 sqft*; calc SF 595 outside MLS bracket 600-699 — flagged; leased 2025-10-03.</t>
  </si>
  <si>
    <t xml:space="preserve">C12403943</t>
  </si>
  <si>
    <t xml:space="preserve">https://condos.ca/toronto/n1-n2-cityplace-15-fort-york-blvd-15-brunel-crt/unit-3210-C12403943</t>
  </si>
  <si>
    <t xml:space="preserve">condos.ca area 914 sqft*; furnished/short-term lease; leased 2025-09-26.</t>
  </si>
  <si>
    <t xml:space="preserve">2025-09-25</t>
  </si>
  <si>
    <t xml:space="preserve">C12308579</t>
  </si>
  <si>
    <t xml:space="preserve">https://condos.ca/toronto/n1-n2-cityplace-15-fort-york-blvd-15-brunel-crt/unit-3510-C12308579</t>
  </si>
  <si>
    <t xml:space="preserve">condos.ca registered area 914 sqft* (source Calculated), in MLS bracket 900-999; leased 2025-09-25.</t>
  </si>
  <si>
    <t xml:space="preserve">4608</t>
  </si>
  <si>
    <t xml:space="preserve">C12395163</t>
  </si>
  <si>
    <t xml:space="preserve">https://condos.ca/toronto/n1-n2-cityplace-15-fort-york-blvd-15-brunel-crt/unit-4608-C12395163</t>
  </si>
  <si>
    <t xml:space="preserve">condos.ca registered area 1031 sqft* (source Calculated), in MLS bracket 1000-1199; leased 2025-09-22.</t>
  </si>
  <si>
    <t xml:space="preserve">2025-09-17</t>
  </si>
  <si>
    <t xml:space="preserve">C12376070</t>
  </si>
  <si>
    <t xml:space="preserve">https://condos.ca/toronto/n1-n2-cityplace-15-fort-york-blvd-15-brunel-crt/unit-3603-C12376070</t>
  </si>
  <si>
    <t xml:space="preserve">condos.ca registered area 780 sqft* (source Calculated), in MLS bracket 700-799; leased 2025-09-17.</t>
  </si>
  <si>
    <t xml:space="preserve">C12372261</t>
  </si>
  <si>
    <t xml:space="preserve">https://condos.ca/toronto/n1-n2-cityplace-15-fort-york-blvd-15-brunel-crt/unit-2101-C12372261</t>
  </si>
  <si>
    <t xml:space="preserve">condos.ca area 587 sqft*; calc SF 587 outside MLS bracket 600-699 — flagged; leased 2025-09-16.</t>
  </si>
  <si>
    <t xml:space="preserve">C12391976</t>
  </si>
  <si>
    <t xml:space="preserve">https://condos.ca/toronto/n1-n2-cityplace-15-fort-york-blvd-15-brunel-crt/unit-601-C12391976</t>
  </si>
  <si>
    <t xml:space="preserve">condos.ca registered area 625 sqft* (source Calculated), in MLS bracket 600-699; leased 2025-09-13.</t>
  </si>
  <si>
    <t xml:space="preserve">C12355409</t>
  </si>
  <si>
    <t xml:space="preserve">https://condos.ca/toronto/n1-n2-cityplace-15-fort-york-blvd-15-brunel-crt/unit-1107-C12355409</t>
  </si>
  <si>
    <t xml:space="preserve">condos.ca area 587 sqft*; calc SF 587 outside MLS bracket 0-499 — flagged; leased 2025-09-11.</t>
  </si>
  <si>
    <t xml:space="preserve">C12269372</t>
  </si>
  <si>
    <t xml:space="preserve">https://condos.ca/toronto/n1-n2-cityplace-15-fort-york-blvd-15-brunel-crt/unit-2609-C12269372</t>
  </si>
  <si>
    <t xml:space="preserve">condos.ca area 479 sqft*; calc SF 479 outside MLS bracket 500-599 — flagged; leased 2025-08-29.</t>
  </si>
  <si>
    <t xml:space="preserve">918</t>
  </si>
  <si>
    <t xml:space="preserve">C12341285</t>
  </si>
  <si>
    <t xml:space="preserve">https://condos.ca/toronto/n1-n2-cityplace-15-fort-york-blvd-15-brunel-crt/unit-918-C12341285</t>
  </si>
  <si>
    <t xml:space="preserve">condos.ca registered area 633 sqft* (source Calculated), in MLS bracket 600-699; leased 2025-08-27.</t>
  </si>
  <si>
    <t xml:space="preserve">2906</t>
  </si>
  <si>
    <t xml:space="preserve">C12331324</t>
  </si>
  <si>
    <t xml:space="preserve">https://condos.ca/toronto/n1-n2-cityplace-15-fort-york-blvd-15-brunel-crt/unit-2906-C12331324</t>
  </si>
  <si>
    <t xml:space="preserve">condos.ca area 479 sqft*; calc SF 479 outside MLS bracket 700-799 — flagged; furnished/short-term lease; leased 2025-08-27.</t>
  </si>
  <si>
    <t xml:space="preserve">2025-08-16</t>
  </si>
  <si>
    <t xml:space="preserve">C12342033</t>
  </si>
  <si>
    <t xml:space="preserve">https://condos.ca/toronto/n1-n2-cityplace-15-fort-york-blvd-15-brunel-crt/unit-2305-C12342033</t>
  </si>
  <si>
    <t xml:space="preserve">condos.ca registered area 535 sqft* (source Calculated), in MLS bracket 500-599; leased 2025-08-16.</t>
  </si>
  <si>
    <t xml:space="preserve">317</t>
  </si>
  <si>
    <t xml:space="preserve">C12325864</t>
  </si>
  <si>
    <t xml:space="preserve">https://condos.ca/toronto/n1-n2-cityplace-15-fort-york-blvd-15-brunel-crt/unit-317-C12325864</t>
  </si>
  <si>
    <t xml:space="preserve">condos.ca area 595 sqft*; calc SF 595 outside MLS bracket 600-699 — flagged; furnished/short-term lease; leased 2025-08-16.</t>
  </si>
  <si>
    <t xml:space="preserve">C12335547</t>
  </si>
  <si>
    <t xml:space="preserve">https://condos.ca/toronto/n1-n2-cityplace-15-fort-york-blvd-15-brunel-crt/unit-909-C12335547</t>
  </si>
  <si>
    <t xml:space="preserve">condos.ca registered area 479 sqft* (source Calculated), in MLS bracket 0-499; leased 2025-08-12.</t>
  </si>
  <si>
    <t xml:space="preserve">C12302184</t>
  </si>
  <si>
    <t xml:space="preserve">https://condos.ca/toronto/n1-n2-cityplace-15-fort-york-blvd-15-brunel-crt/unit-2501-C12302184</t>
  </si>
  <si>
    <t xml:space="preserve">condos.ca registered area 587 sqft* (source Calculated), in MLS bracket 500-599; leased 2025-08-09.</t>
  </si>
  <si>
    <t xml:space="preserve">C12259184</t>
  </si>
  <si>
    <t xml:space="preserve">https://condos.ca/toronto/n1-n2-cityplace-15-fort-york-blvd-15-brunel-crt/unit-4610-C12259184</t>
  </si>
  <si>
    <t xml:space="preserve">condos.ca registered area 914 sqft* (source Calculated), in MLS bracket 900-999; leased 2025-07-30.</t>
  </si>
  <si>
    <t xml:space="preserve">C12267304</t>
  </si>
  <si>
    <t xml:space="preserve">https://condos.ca/toronto/n1-n2-cityplace-15-fort-york-blvd-15-brunel-crt/unit-1507-C12267304</t>
  </si>
  <si>
    <t xml:space="preserve">condos.ca registered area 587 sqft* (source Calculated), in MLS bracket 500-599; leased 2025-07-29.</t>
  </si>
  <si>
    <t xml:space="preserve">C12287032</t>
  </si>
  <si>
    <t xml:space="preserve">https://condos.ca/toronto/n1-n2-cityplace-15-fort-york-blvd-15-brunel-crt/unit-1009-C12287032</t>
  </si>
  <si>
    <t xml:space="preserve">condos.ca registered area 479 sqft* (source Calculated), in MLS bracket 0-499; leased 2025-07-23.</t>
  </si>
  <si>
    <t xml:space="preserve">C12272403</t>
  </si>
  <si>
    <t xml:space="preserve">https://condos.ca/toronto/n1-n2-cityplace-15-fort-york-blvd-15-brunel-crt/unit-2302-C12272403</t>
  </si>
  <si>
    <t xml:space="preserve">condos.ca area 587 sqft*; calc SF 587 outside MLS bracket 600-699 — flagged; furnished/short-term lease; leased 2025-07-19.</t>
  </si>
  <si>
    <t xml:space="preserve">C12251329</t>
  </si>
  <si>
    <t xml:space="preserve">https://condos.ca/toronto/n1-n2-cityplace-15-fort-york-blvd-15-brunel-crt/unit-4106-C12251329</t>
  </si>
  <si>
    <t xml:space="preserve">condos.ca registered area 780 sqft* (source Calculated), in MLS bracket 700-799; leased 2025-07-14.</t>
  </si>
  <si>
    <t xml:space="preserve">C12217843</t>
  </si>
  <si>
    <t xml:space="preserve">https://condos.ca/toronto/n1-n2-cityplace-15-fort-york-blvd-15-brunel-crt/unit-912-C12217843</t>
  </si>
  <si>
    <t xml:space="preserve">condos.ca registered area 914 sqft* (source Calculated), in MLS bracket 900-999; leased 2025-06-23.</t>
  </si>
  <si>
    <t xml:space="preserve">819</t>
  </si>
  <si>
    <t xml:space="preserve">2025-06-08</t>
  </si>
  <si>
    <t xml:space="preserve">C12192297</t>
  </si>
  <si>
    <t xml:space="preserve">https://condos.ca/toronto/n1-n2-cityplace-15-fort-york-blvd-15-brunel-crt/unit-819-C12192297</t>
  </si>
  <si>
    <t xml:space="preserve">condos.ca registered area 630 sqft* (source Calculated), in MLS bracket 600-699; leased 2025-06-08.</t>
  </si>
  <si>
    <t xml:space="preserve">4111</t>
  </si>
  <si>
    <t xml:space="preserve">2025-05-27</t>
  </si>
  <si>
    <t xml:space="preserve">C12148342</t>
  </si>
  <si>
    <t xml:space="preserve">https://condos.ca/toronto/n1-n2-cityplace-15-fort-york-blvd-15-brunel-crt/unit-4111-C12148342</t>
  </si>
  <si>
    <t xml:space="preserve">condos.ca registered area 911 sqft* (source Calculated), in MLS bracket 900-999; leased 2025-05-27.</t>
  </si>
  <si>
    <t xml:space="preserve">C12165236</t>
  </si>
  <si>
    <t xml:space="preserve">https://condos.ca/toronto/n1-n2-cityplace-15-fort-york-blvd-15-brunel-crt/unit-4009-C12165236</t>
  </si>
  <si>
    <t xml:space="preserve">condos.ca registered area 479 sqft* (source Calculated), in MLS bracket 0-499; leased 2025-05-26.</t>
  </si>
  <si>
    <t xml:space="preserve">1615</t>
  </si>
  <si>
    <t xml:space="preserve">C12112095</t>
  </si>
  <si>
    <t xml:space="preserve">https://condos.ca/toronto/n1-n2-cityplace-15-fort-york-blvd-15-brunel-crt/unit-1615-C12112095</t>
  </si>
  <si>
    <t xml:space="preserve">condos.ca registered area 479 sqft* (source Calculated), in MLS bracket 0-499; leased 2025-05-23.</t>
  </si>
  <si>
    <t xml:space="preserve">C12102703</t>
  </si>
  <si>
    <t xml:space="preserve">https://condos.ca/toronto/n1-n2-cityplace-15-fort-york-blvd-15-brunel-crt/unit-710-C12102703</t>
  </si>
  <si>
    <t xml:space="preserve">condos.ca registered area 595 sqft* (source Calculated), in MLS bracket 500-599; leased 2025-05-20.</t>
  </si>
  <si>
    <t xml:space="preserve">C12118497</t>
  </si>
  <si>
    <t xml:space="preserve">https://condos.ca/toronto/n1-n2-cityplace-15-fort-york-blvd-15-brunel-crt/unit-810-C12118497</t>
  </si>
  <si>
    <t xml:space="preserve">condos.ca registered area 914 sqft* (source Calculated), in MLS bracket 900-999; leased 2025-05-05.</t>
  </si>
  <si>
    <t xml:space="preserve">C12098622</t>
  </si>
  <si>
    <t xml:space="preserve">https://condos.ca/toronto/n1-n2-cityplace-15-fort-york-blvd-15-brunel-crt/unit-617-C12098622</t>
  </si>
  <si>
    <t xml:space="preserve">condos.ca registered area 595 sqft* (source Calculated), in MLS bracket 500-599; leased 2025-04-30.</t>
  </si>
  <si>
    <t xml:space="preserve">4107</t>
  </si>
  <si>
    <t xml:space="preserve">C12024895</t>
  </si>
  <si>
    <t xml:space="preserve">https://condos.ca/toronto/n1-n2-cityplace-15-fort-york-blvd-15-brunel-crt/unit-4107-C12024895</t>
  </si>
  <si>
    <t xml:space="preserve">condos.ca area 587 sqft*; calc SF 587 outside MLS bracket 600-699 — flagged; leased 2025-04-30.</t>
  </si>
  <si>
    <t xml:space="preserve">2025-04-25</t>
  </si>
  <si>
    <t xml:space="preserve">C12060421</t>
  </si>
  <si>
    <t xml:space="preserve">https://condos.ca/toronto/n1-n2-cityplace-15-fort-york-blvd-15-brunel-crt/unit-910-C12060421</t>
  </si>
  <si>
    <t xml:space="preserve">condos.ca registered area 595 sqft* (source Calculated), in MLS bracket 500-599; leased 2025-04-25.</t>
  </si>
  <si>
    <t xml:space="preserve">3607</t>
  </si>
  <si>
    <t xml:space="preserve">C12063625</t>
  </si>
  <si>
    <t xml:space="preserve">https://condos.ca/toronto/n1-n2-cityplace-15-fort-york-blvd-15-brunel-crt/unit-3607-C12063625</t>
  </si>
  <si>
    <t xml:space="preserve">condos.ca registered area 587 sqft* (source Calculated), in MLS bracket 500-599; leased 2025-04-19.</t>
  </si>
  <si>
    <t xml:space="preserve">C12058949</t>
  </si>
  <si>
    <t xml:space="preserve">https://condos.ca/toronto/n1-n2-cityplace-15-fort-york-blvd-15-brunel-crt/unit-819-C12058949</t>
  </si>
  <si>
    <t xml:space="preserve">condos.ca registered area 630 sqft* (source Calculated), in MLS bracket 600-699; leased 2025-04-10.</t>
  </si>
  <si>
    <t xml:space="preserve">C12034772</t>
  </si>
  <si>
    <t xml:space="preserve">https://condos.ca/toronto/n1-n2-cityplace-15-fort-york-blvd-15-brunel-crt/unit-3501-C12034772</t>
  </si>
  <si>
    <t xml:space="preserve">condos.ca registered area 1031 sqft* (source Calculated), in MLS bracket 1000-1199; leased 2025-04-08.</t>
  </si>
  <si>
    <t xml:space="preserve">622</t>
  </si>
  <si>
    <t xml:space="preserve">C12022971</t>
  </si>
  <si>
    <t xml:space="preserve">https://condos.ca/toronto/n1-n2-cityplace-15-fort-york-blvd-15-brunel-crt/unit-622-C12022971</t>
  </si>
  <si>
    <t xml:space="preserve">condos.ca registered area 595 sqft* (source Calculated), in MLS bracket 500-599; leased 2025-04-07.</t>
  </si>
  <si>
    <t xml:space="preserve">C12057368</t>
  </si>
  <si>
    <t xml:space="preserve">https://condos.ca/toronto/n1-n2-cityplace-15-fort-york-blvd-15-brunel-crt/unit-3012-C12057368</t>
  </si>
  <si>
    <t xml:space="preserve">condos.ca registered area 1072 sqft* (source Calculated), in MLS bracket 1000-1199; leased 2025-04-04.</t>
  </si>
  <si>
    <t xml:space="preserve">C12009753</t>
  </si>
  <si>
    <t xml:space="preserve">https://condos.ca/toronto/n1-n2-cityplace-15-fort-york-blvd-15-brunel-crt/unit-903-C12009753</t>
  </si>
  <si>
    <t xml:space="preserve">condos.ca registered area 780 sqft* (source Calculated), in MLS bracket 700-799; leased 2025-04-04.</t>
  </si>
  <si>
    <t xml:space="preserve">718</t>
  </si>
  <si>
    <t xml:space="preserve">2025-04-02</t>
  </si>
  <si>
    <t xml:space="preserve">C12043599</t>
  </si>
  <si>
    <t xml:space="preserve">https://condos.ca/toronto/n1-n2-cityplace-15-fort-york-blvd-15-brunel-crt/unit-718-C12043599</t>
  </si>
  <si>
    <t xml:space="preserve">condos.ca registered area 633 sqft* (source Calculated), in MLS bracket 600-699; leased 2025-04-02.</t>
  </si>
  <si>
    <t xml:space="preserve">521</t>
  </si>
  <si>
    <t xml:space="preserve">2025-04-01</t>
  </si>
  <si>
    <t xml:space="preserve">C12019872</t>
  </si>
  <si>
    <t xml:space="preserve">https://condos.ca/toronto/n1-n2-cityplace-15-fort-york-blvd-15-brunel-crt/unit-521-C12019872</t>
  </si>
  <si>
    <t xml:space="preserve">condos.ca registered area 595 sqft* (source Calculated), in MLS bracket 500-599; leased 2025-04-01.</t>
  </si>
  <si>
    <t xml:space="preserve">C12019557</t>
  </si>
  <si>
    <t xml:space="preserve">https://condos.ca/toronto/n1-n2-cityplace-15-fort-york-blvd-15-brunel-crt/unit-4303-C12019557</t>
  </si>
  <si>
    <t xml:space="preserve">condos.ca area 780 sqft*; calc SF 780 outside MLS bracket 800-899 — flagged; furnished/short-term lease; leased 2025-03-22.</t>
  </si>
  <si>
    <t xml:space="preserve">2025-03-20</t>
  </si>
  <si>
    <t xml:space="preserve">C12021359</t>
  </si>
  <si>
    <t xml:space="preserve">https://condos.ca/toronto/n1-n2-cityplace-15-fort-york-blvd-15-brunel-crt/unit-1610-C12021359</t>
  </si>
  <si>
    <t xml:space="preserve">condos.ca registered area 914 sqft* (source Calculated), in MLS bracket 900-999; leased 2025-03-20.</t>
  </si>
  <si>
    <t xml:space="preserve">2025-03-15</t>
  </si>
  <si>
    <t xml:space="preserve">C12000771</t>
  </si>
  <si>
    <t xml:space="preserve">https://condos.ca/toronto/n1-n2-cityplace-15-fort-york-blvd-15-brunel-crt/unit-3908-C12000771</t>
  </si>
  <si>
    <t xml:space="preserve">condos.ca registered area 1031 sqft* (source Calculated), in MLS bracket 1000-1199; leased 2025-03-15.</t>
  </si>
  <si>
    <t xml:space="preserve">C11976251</t>
  </si>
  <si>
    <t xml:space="preserve">https://condos.ca/toronto/n1-n2-cityplace-15-fort-york-blvd-15-brunel-crt/unit-2903-C11976251</t>
  </si>
  <si>
    <t xml:space="preserve">condos.ca registered area 780 sqft* (source Calculated), in MLS bracket 700-799; leased 2025-02-25.</t>
  </si>
  <si>
    <t xml:space="preserve">C11975992</t>
  </si>
  <si>
    <t xml:space="preserve">https://condos.ca/toronto/n1-n2-cityplace-15-fort-york-blvd-15-brunel-crt/unit-3007-C11975992</t>
  </si>
  <si>
    <t xml:space="preserve">condos.ca registered area 587 sqft* (source Calculated), in MLS bracket 500-599; leased 2025-02-25.</t>
  </si>
  <si>
    <t xml:space="preserve">C11941265</t>
  </si>
  <si>
    <t xml:space="preserve">https://condos.ca/toronto/n1-n2-cityplace-15-fort-york-blvd-15-brunel-crt/unit-4109-C11941265</t>
  </si>
  <si>
    <t xml:space="preserve">condos.ca registered area 479 sqft* (source Calculated), in MLS bracket 0-499; leased 2025-02-23.</t>
  </si>
  <si>
    <t xml:space="preserve">C11934272</t>
  </si>
  <si>
    <t xml:space="preserve">https://condos.ca/toronto/n1-n2-cityplace-15-fort-york-blvd-15-brunel-crt/unit-4105-C11934272</t>
  </si>
  <si>
    <t xml:space="preserve">condos.ca area 924 sqft*; furnished/short-term lease; leased 2025-02-10.</t>
  </si>
  <si>
    <t xml:space="preserve">C11955557</t>
  </si>
  <si>
    <t xml:space="preserve">https://condos.ca/toronto/n1-n2-cityplace-15-fort-york-blvd-15-brunel-crt/unit-806-C11955557</t>
  </si>
  <si>
    <t xml:space="preserve">condos.ca area 780 sqft*; calc SF 780 outside MLS bracket 800-899 — flagged; leased 2025-02-07.</t>
  </si>
  <si>
    <t xml:space="preserve">C11951657</t>
  </si>
  <si>
    <t xml:space="preserve">https://condos.ca/toronto/n1-n2-cityplace-15-fort-york-blvd-15-brunel-crt/unit-1501-C11951657</t>
  </si>
  <si>
    <t xml:space="preserve">condos.ca area 587 sqft*; calc SF 587 outside MLS bracket 600-699 — flagged; furnished/short-term lease; leased 2025-02-07.</t>
  </si>
  <si>
    <t xml:space="preserve">C11938038</t>
  </si>
  <si>
    <t xml:space="preserve">https://condos.ca/toronto/n1-n2-cityplace-15-fort-york-blvd-15-brunel-crt/unit-3103-C11938038</t>
  </si>
  <si>
    <t xml:space="preserve">condos.ca area 780 sqft*; calc SF 780 outside MLS bracket 800-899 — flagged; leased 2025-02-01.</t>
  </si>
  <si>
    <t xml:space="preserve">4503</t>
  </si>
  <si>
    <t xml:space="preserve">2025-01-31</t>
  </si>
  <si>
    <t xml:space="preserve">C11825058</t>
  </si>
  <si>
    <t xml:space="preserve">https://condos.ca/toronto/n1-n2-cityplace-15-fort-york-blvd-15-brunel-crt/unit-4503-C11825058</t>
  </si>
  <si>
    <t xml:space="preserve">condos.ca area 780 sqft*; calc SF 780 outside MLS bracket 800-899 — flagged; furnished/short-term lease; leased 2025-01-31.</t>
  </si>
  <si>
    <t xml:space="preserve">C11905276</t>
  </si>
  <si>
    <t xml:space="preserve">https://condos.ca/toronto/n1-n2-cityplace-15-fort-york-blvd-15-brunel-crt/unit-812-C11905276</t>
  </si>
  <si>
    <t xml:space="preserve">condos.ca registered area 595 sqft* (source Calculated), in MLS bracket 500-599; leased 2025-01-27.</t>
  </si>
  <si>
    <t xml:space="preserve">2025-01-15</t>
  </si>
  <si>
    <t xml:space="preserve">C11919630</t>
  </si>
  <si>
    <t xml:space="preserve">https://condos.ca/toronto/n1-n2-cityplace-15-fort-york-blvd-15-brunel-crt/unit-2207-C11919630</t>
  </si>
  <si>
    <t xml:space="preserve">condos.ca registered area 587 sqft* (source Calculated), in MLS bracket 500-599; leased 2025-01-15.</t>
  </si>
  <si>
    <t xml:space="preserve">2025-01-14</t>
  </si>
  <si>
    <t xml:space="preserve">C11891380</t>
  </si>
  <si>
    <t xml:space="preserve">https://condos.ca/toronto/n1-n2-cityplace-15-fort-york-blvd-15-brunel-crt/unit-3903-C11891380</t>
  </si>
  <si>
    <t xml:space="preserve">condos.ca area 780 sqft*; calc SF 780 outside MLS bracket 800-899 — flagged; leased 2025-01-14.</t>
  </si>
  <si>
    <t xml:space="preserve">2025-01-09</t>
  </si>
  <si>
    <t xml:space="preserve">C11912601</t>
  </si>
  <si>
    <t xml:space="preserve">https://condos.ca/toronto/n1-n2-cityplace-15-fort-york-blvd-15-brunel-crt/unit-2203-C11912601</t>
  </si>
  <si>
    <t xml:space="preserve">condos.ca area 780 sqft*; calc SF 780 outside MLS bracket 800-899 — flagged; leased 2025-01-09.</t>
  </si>
  <si>
    <t xml:space="preserve">C10416122</t>
  </si>
  <si>
    <t xml:space="preserve">https://condos.ca/toronto/n1-n2-cityplace-15-fort-york-blvd-15-brunel-crt/unit-1102-C10416122</t>
  </si>
  <si>
    <t xml:space="preserve">condos.ca area 587 sqft*; calc SF 587 outside MLS bracket 600-699 — flagged; leased 2025-01-07.</t>
  </si>
  <si>
    <t xml:space="preserve">Built 2003 (23 yrs)</t>
  </si>
  <si>
    <t xml:space="preserve">C13131144</t>
  </si>
  <si>
    <t xml:space="preserve">https://condos.ca/toronto/aqua-410-queens-quay-w/unit-414-C13131144</t>
  </si>
  <si>
    <t xml:space="preserve">condos.ca registered area 600 sqft* (source Calculated), in MLS bracket 600-699; leased 2026-06-17.</t>
  </si>
  <si>
    <t xml:space="preserve">1115</t>
  </si>
  <si>
    <t xml:space="preserve">C13240210</t>
  </si>
  <si>
    <t xml:space="preserve">https://condos.ca/toronto/aqua-410-queens-quay-w/unit-1115-C13240210</t>
  </si>
  <si>
    <t xml:space="preserve">condos.ca registered area 516 sqft* (source Calculated), in MLS bracket 500-599; leased 2026-06-15.</t>
  </si>
  <si>
    <t xml:space="preserve">C13230806</t>
  </si>
  <si>
    <t xml:space="preserve">https://condos.ca/toronto/aqua-410-queens-quay-w/unit-1103-C13230806</t>
  </si>
  <si>
    <t xml:space="preserve">condos.ca registered area 929 sqft* (source Calculated), in MLS bracket 900-999; leased 2026-06-08.</t>
  </si>
  <si>
    <t xml:space="preserve">C13136720</t>
  </si>
  <si>
    <t xml:space="preserve">https://condos.ca/toronto/aqua-410-queens-quay-w/unit-509-C13136720</t>
  </si>
  <si>
    <t xml:space="preserve">condos.ca area 842 sqft*; furnished/short-term lease; leased 2026-05-19.</t>
  </si>
  <si>
    <t xml:space="preserve">1017</t>
  </si>
  <si>
    <t xml:space="preserve">C13032848</t>
  </si>
  <si>
    <t xml:space="preserve">https://condos.ca/toronto/aqua-410-queens-quay-w/unit-1017-C13032848</t>
  </si>
  <si>
    <t xml:space="preserve">condos.ca area 840 sqft*; calc SF 840 outside MLS bracket 900-999 — flagged; leased 2026-05-01.</t>
  </si>
  <si>
    <t xml:space="preserve">C12929788</t>
  </si>
  <si>
    <t xml:space="preserve">https://condos.ca/toronto/aqua-410-queens-quay-w/unit-605-C12929788</t>
  </si>
  <si>
    <t xml:space="preserve">condos.ca area 562 sqft*; furnished/short-term lease; leased 2026-04-03.</t>
  </si>
  <si>
    <t xml:space="preserve">C12931340</t>
  </si>
  <si>
    <t xml:space="preserve">https://condos.ca/toronto/aqua-410-queens-quay-w/unit-312-C12931340</t>
  </si>
  <si>
    <t xml:space="preserve">condos.ca area 600 sqft*; calc SF 600 outside MLS bracket 500-599 — flagged; leased 2026-03-31.</t>
  </si>
  <si>
    <t xml:space="preserve">217</t>
  </si>
  <si>
    <t xml:space="preserve">C12681120</t>
  </si>
  <si>
    <t xml:space="preserve">https://condos.ca/toronto/aqua-410-queens-quay-w/unit-217-C12681120</t>
  </si>
  <si>
    <t xml:space="preserve">condos.ca registered area 475 sqft* (source Calculated), in MLS bracket 0-499; leased 2026-02-13.</t>
  </si>
  <si>
    <t xml:space="preserve">413</t>
  </si>
  <si>
    <t xml:space="preserve">C12743708</t>
  </si>
  <si>
    <t xml:space="preserve">https://condos.ca/toronto/aqua-410-queens-quay-w/unit-413-C12743708</t>
  </si>
  <si>
    <t xml:space="preserve">condos.ca registered area 600 sqft* (source Calculated), in MLS bracket 600-699; leased 2026-02-09.</t>
  </si>
  <si>
    <t xml:space="preserve">C12672864</t>
  </si>
  <si>
    <t xml:space="preserve">https://condos.ca/toronto/aqua-410-queens-quay-w/unit-910-C12672864</t>
  </si>
  <si>
    <t xml:space="preserve">condos.ca area 600 sqft*; furnished/short-term lease; leased 2026-02-06.</t>
  </si>
  <si>
    <t xml:space="preserve">C12614680</t>
  </si>
  <si>
    <t xml:space="preserve">https://condos.ca/toronto/aqua-410-queens-quay-w/unit-712-C12614680</t>
  </si>
  <si>
    <t xml:space="preserve">condos.ca registered area 600 sqft* (source Calculated), in MLS bracket 600-699; leased 2026-01-08.</t>
  </si>
  <si>
    <t xml:space="preserve">C12473562</t>
  </si>
  <si>
    <t xml:space="preserve">https://condos.ca/toronto/aqua-410-queens-quay-w/unit-1110-C12473562</t>
  </si>
  <si>
    <t xml:space="preserve">condos.ca area 600 sqft*; furnished/short-term lease; leased 2025-12-01.</t>
  </si>
  <si>
    <t xml:space="preserve">UPH3</t>
  </si>
  <si>
    <t xml:space="preserve">C12491952</t>
  </si>
  <si>
    <t xml:space="preserve">https://condos.ca/toronto/aqua-410-queens-quay-w/unit-UPH3-C12491952</t>
  </si>
  <si>
    <t xml:space="preserve">condos.ca registered area 725 sqft* (source Calculated), in MLS bracket 700-799; leased 2025-11-07.</t>
  </si>
  <si>
    <t xml:space="preserve">LPH8</t>
  </si>
  <si>
    <t xml:space="preserve">C12469349</t>
  </si>
  <si>
    <t xml:space="preserve">https://condos.ca/toronto/aqua-410-queens-quay-w/unit-LPH8-C12469349</t>
  </si>
  <si>
    <t xml:space="preserve">condos.ca registered area 1711 sqft* (source Calculated), in MLS bracket 1600-1799; leased 2025-11-04.</t>
  </si>
  <si>
    <t xml:space="preserve">502</t>
  </si>
  <si>
    <t xml:space="preserve">2025-10-26</t>
  </si>
  <si>
    <t xml:space="preserve">C12433285</t>
  </si>
  <si>
    <t xml:space="preserve">https://condos.ca/toronto/aqua-410-queens-quay-w/unit-502-C12433285</t>
  </si>
  <si>
    <t xml:space="preserve">condos.ca registered area 675 sqft* (source Calculated), in MLS bracket 600-699; leased 2025-10-26.</t>
  </si>
  <si>
    <t xml:space="preserve">C12461092</t>
  </si>
  <si>
    <t xml:space="preserve">https://condos.ca/toronto/aqua-410-queens-quay-w/unit-701-C12461092</t>
  </si>
  <si>
    <t xml:space="preserve">condos.ca registered area 725 sqft* (source Calculated), in MLS bracket 700-799; leased 2025-10-21.</t>
  </si>
  <si>
    <t xml:space="preserve">C12407936</t>
  </si>
  <si>
    <t xml:space="preserve">https://condos.ca/toronto/aqua-410-queens-quay-w/unit-511-C12407936</t>
  </si>
  <si>
    <t xml:space="preserve">condos.ca area 600 sqft*; furnished/short-term lease; leased 2025-10-18.</t>
  </si>
  <si>
    <t xml:space="preserve">205</t>
  </si>
  <si>
    <t xml:space="preserve">C12450269</t>
  </si>
  <si>
    <t xml:space="preserve">https://condos.ca/toronto/aqua-410-queens-quay-w/unit-205-C12450269</t>
  </si>
  <si>
    <t xml:space="preserve">condos.ca registered area 617 sqft* (source Calculated), in MLS bracket 600-699; leased 2025-10-14.</t>
  </si>
  <si>
    <t xml:space="preserve">C12392820</t>
  </si>
  <si>
    <t xml:space="preserve">https://condos.ca/toronto/aqua-410-queens-quay-w/unit-907-C12392820</t>
  </si>
  <si>
    <t xml:space="preserve">condos.ca area 615 sqft*; calc SF 615 outside MLS bracket 500-599 — flagged; leased 2025-10-03.</t>
  </si>
  <si>
    <t xml:space="preserve">C12354868</t>
  </si>
  <si>
    <t xml:space="preserve">https://condos.ca/toronto/aqua-410-queens-quay-w/unit-716-C12354868</t>
  </si>
  <si>
    <t xml:space="preserve">condos.ca registered area 1173 sqft* (source Calculated), in MLS bracket 1000-1199; leased 2025-09-27.</t>
  </si>
  <si>
    <t xml:space="preserve">C12322559</t>
  </si>
  <si>
    <t xml:space="preserve">https://condos.ca/toronto/aqua-410-queens-quay-w/unit-1408-C12322559</t>
  </si>
  <si>
    <t xml:space="preserve">condos.ca registered area 616 sqft* (source Calculated), in MLS bracket 600-699; leased 2025-09-26.</t>
  </si>
  <si>
    <t xml:space="preserve">C12393374</t>
  </si>
  <si>
    <t xml:space="preserve">https://condos.ca/toronto/aqua-410-queens-quay-w/unit-718-C12393374</t>
  </si>
  <si>
    <t xml:space="preserve">condos.ca registered area 698 sqft* (source Calculated), in MLS bracket 600-699; leased 2025-09-13.</t>
  </si>
  <si>
    <t xml:space="preserve">C12359861</t>
  </si>
  <si>
    <t xml:space="preserve">https://condos.ca/toronto/aqua-410-queens-quay-w/unit-301-C12359861</t>
  </si>
  <si>
    <t xml:space="preserve">condos.ca registered area 782 sqft* (source Calculated), in MLS bracket 700-799; leased 2025-08-26.</t>
  </si>
  <si>
    <t xml:space="preserve">C12350946</t>
  </si>
  <si>
    <t xml:space="preserve">https://condos.ca/toronto/aqua-410-queens-quay-w/unit-702-C12350946</t>
  </si>
  <si>
    <t xml:space="preserve">condos.ca registered area 675 sqft* (source Calculated), in MLS bracket 600-699; leased 2025-08-20.</t>
  </si>
  <si>
    <t xml:space="preserve">C12284331</t>
  </si>
  <si>
    <t xml:space="preserve">https://condos.ca/toronto/aqua-410-queens-quay-w/unit-1509-C12284331</t>
  </si>
  <si>
    <t xml:space="preserve">condos.ca registered area 842 sqft* (source Calculated), in MLS bracket 800-899; leased 2025-08-11.</t>
  </si>
  <si>
    <t xml:space="preserve">C12285410</t>
  </si>
  <si>
    <t xml:space="preserve">https://condos.ca/toronto/aqua-410-queens-quay-w/unit-412-C12285410</t>
  </si>
  <si>
    <t xml:space="preserve">condos.ca registered area 600 sqft* (source Calculated), in MLS bracket 600-699; leased 2025-07-29.</t>
  </si>
  <si>
    <t xml:space="preserve">C12233616</t>
  </si>
  <si>
    <t xml:space="preserve">https://condos.ca/toronto/aqua-410-queens-quay-w/unit-1206-C12233616</t>
  </si>
  <si>
    <t xml:space="preserve">condos.ca area 567 sqft*; calc SF 567 outside MLS bracket 700-799 — flagged; leased 2025-06-26.</t>
  </si>
  <si>
    <t xml:space="preserve">C12162805</t>
  </si>
  <si>
    <t xml:space="preserve">https://condos.ca/toronto/aqua-410-queens-quay-w/unit-507-C12162805</t>
  </si>
  <si>
    <t xml:space="preserve">condos.ca registered area 615 sqft* (source Calculated), in MLS bracket 600-699; leased 2025-06-10.</t>
  </si>
  <si>
    <t xml:space="preserve">C12189209</t>
  </si>
  <si>
    <t xml:space="preserve">https://condos.ca/toronto/aqua-410-queens-quay-w/unit-812-C12189209</t>
  </si>
  <si>
    <t xml:space="preserve">condos.ca registered area 600 sqft* (source Calculated), in MLS bracket 600-699; leased 2025-06-06.</t>
  </si>
  <si>
    <t xml:space="preserve">1211</t>
  </si>
  <si>
    <t xml:space="preserve">C12102515</t>
  </si>
  <si>
    <t xml:space="preserve">https://condos.ca/toronto/aqua-410-queens-quay-w/unit-1211-C12102515</t>
  </si>
  <si>
    <t xml:space="preserve">condos.ca registered area 600 sqft* (source Calculated), in MLS bracket 600-699; leased 2025-05-06.</t>
  </si>
  <si>
    <t xml:space="preserve">C11821546</t>
  </si>
  <si>
    <t xml:space="preserve">https://condos.ca/toronto/aqua-410-queens-quay-w/unit-606-C11821546</t>
  </si>
  <si>
    <t xml:space="preserve">condos.ca area 541 sqft*; calc SF 541 outside MLS bracket 600-699 — flagged; leased 2025-01-21.</t>
  </si>
  <si>
    <t xml:space="preserve">No purpose-built rental apartment comps in this set.</t>
  </si>
  <si>
    <t xml:space="preserve">Subject/Comp</t>
  </si>
  <si>
    <t xml:space="preserve">Source Site</t>
  </si>
  <si>
    <t xml:space="preserve">Source URL</t>
  </si>
  <si>
    <t xml:space="preserve">Date Read</t>
  </si>
  <si>
    <t xml:space="preserve">Suite / Plan Name</t>
  </si>
  <si>
    <t xml:space="preserve">Interior SF</t>
  </si>
  <si>
    <t xml:space="preserve">Floor Band</t>
  </si>
  <si>
    <t xml:space="preserve">Stack / Line</t>
  </si>
  <si>
    <t xml:space="preserve">Balcony/Terrace</t>
  </si>
  <si>
    <t xml:space="preserve">Notes</t>
  </si>
  <si>
    <t xml:space="preserve">Used For Unit(s)</t>
  </si>
  <si>
    <t xml:space="preserve">Verification Tier</t>
  </si>
  <si>
    <t xml:space="preserve">10 Lower Spadina (SUBJECT)</t>
  </si>
  <si>
    <t xml:space="preserve">10 Lower Spadina Ave</t>
  </si>
  <si>
    <t xml:space="preserve">subject</t>
  </si>
  <si>
    <t xml:space="preserve">vipcondostoronto.net</t>
  </si>
  <si>
    <t xml:space="preserve">https://www.vipcondostoronto.net/toronto/10-lower-spadina-condos-5014</t>
  </si>
  <si>
    <t xml:space="preserve">2026-06-22</t>
  </si>
  <si>
    <t xml:space="preserve">(no plans published — pre-construction)</t>
  </si>
  <si>
    <t xml:space="preserve">Step 0 identity only; subject mix estimated.</t>
  </si>
  <si>
    <t xml:space="preserve">N/A</t>
  </si>
  <si>
    <t xml:space="preserve">Comp condos (Route B)</t>
  </si>
  <si>
    <t xml:space="preserve">comp</t>
  </si>
  <si>
    <t xml:space="preserve">condos.ca</t>
  </si>
  <si>
    <t xml:space="preserve">https://condos.ca/</t>
  </si>
  <si>
    <t xml:space="preserve">per-unit registered area (sqft*, source Calculated)</t>
  </si>
  <si>
    <t xml:space="preserve">All 1,068 comp SF came from the condos.ca leased index registered area (Route B); validated equal to unit page for Concord 929 &amp; Aqua 414 this session. No vipcondos plans opened for comps.</t>
  </si>
  <si>
    <t xml:space="preserve">all comp rows</t>
  </si>
  <si>
    <t xml:space="preserve">Route B / verified</t>
  </si>
  <si>
    <t xml:space="preserve">NOTE — one row per distinct VIPcondos plan opened this session. Subject plans tagged '(SUBJECT)'.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</si>
</sst>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#,##0"/>
    <numFmt numFmtId="167" formatCode="\$#,##0"/>
    <numFmt numFmtId="168" formatCode="\$#,##0.00"/>
    <numFmt numFmtId="169" formatCode="0.0%"/>
    <numFmt numFmtId="170" formatCode="0.000"/>
    <numFmt numFmtId="171" formatCode="0"/>
    <numFmt numFmtId="172" formatCode="#,##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595959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1B5E2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CECFF"/>
        <bgColor rgb="FFD9E1F2"/>
      </patternFill>
    </fill>
    <fill>
      <patternFill patternType="solid">
        <fgColor rgb="FFFFF2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D9E1F2"/>
        <bgColor rgb="FFCCECFF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E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8" min="7" style="0" width="15"/>
    <col collapsed="false" customWidth="true" hidden="false" outlineLevel="0" max="9" min="9" style="0" width="18"/>
    <col collapsed="false" customWidth="true" hidden="false" outlineLevel="0" max="11" min="11" style="0" width="42"/>
    <col collapsed="false" customWidth="true" hidden="false" outlineLevel="0" max="12" min="12" style="0" width="13"/>
    <col collapsed="false" customWidth="true" hidden="false" outlineLevel="0" max="13" min="13" style="0" width="61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55"/>
    <col collapsed="false" customWidth="true" hidden="false" outlineLevel="0" max="18" min="17" style="0" width="11"/>
    <col collapsed="false" customWidth="true" hidden="false" outlineLevel="0" max="19" min="19" style="0" width="9"/>
    <col collapsed="false" customWidth="true" hidden="false" outlineLevel="0" max="20" min="20" style="0" width="22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16"/>
    <col collapsed="false" customWidth="true" hidden="false" outlineLevel="0" max="26" min="25" style="0" width="11"/>
    <col collapsed="false" customWidth="true" hidden="false" outlineLevel="0" max="27" min="27" style="0" width="9"/>
    <col collapsed="false" customWidth="true" hidden="false" outlineLevel="0" max="28" min="28" style="0" width="16"/>
    <col collapsed="false" customWidth="true" hidden="false" outlineLevel="0" max="30" min="29" style="0" width="11"/>
    <col collapsed="false" customWidth="true" hidden="false" outlineLevel="0" max="31" min="31" style="0" width="9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5" customFormat="false" ht="15" hidden="false" customHeight="false" outlineLevel="0" collapsed="false">
      <c r="B5" s="3" t="s">
        <v>9</v>
      </c>
    </row>
    <row r="6" customFormat="false" ht="15" hidden="false" customHeight="false" outlineLevel="0" collapsed="false">
      <c r="B6" s="0" t="s">
        <v>10</v>
      </c>
      <c r="C6" s="0" t="n">
        <f aca="false">'Building Summary'!E4</f>
        <v>2025</v>
      </c>
      <c r="D6" s="4" t="n">
        <f aca="false">IFERROR(AVERAGEIFS('RD Condos'!$J:$J,'RD Condos'!$K:$K,$B6,'RD Condos'!$A:$A,1),"")</f>
        <v>45948.7570422535</v>
      </c>
      <c r="F6" s="0" t="n">
        <f aca="false">'Building Summary'!J4</f>
        <v>284</v>
      </c>
      <c r="G6" s="5" t="n">
        <f aca="false">'Building Summary'!K4</f>
        <v>629.260563380282</v>
      </c>
      <c r="H6" s="6" t="n">
        <f aca="false">IFERROR(AVERAGEIFS('RD Condos'!$D:$D,'RD Condos'!$K:$K,$B6,'RD Condos'!$A:$A,1),"")</f>
        <v>2649.80633802817</v>
      </c>
      <c r="I6" s="7" t="n">
        <f aca="false">IFERROR(AVERAGEIFS('RD Condos'!$F:$F,'RD Condos'!$K:$K,$B6,'RD Condos'!$A:$A,1),"")</f>
        <v>4.27725440824524</v>
      </c>
    </row>
    <row r="7" customFormat="false" ht="15" hidden="false" customHeight="false" outlineLevel="0" collapsed="false">
      <c r="B7" s="0" t="s">
        <v>11</v>
      </c>
      <c r="C7" s="0" t="n">
        <f aca="false">'Building Summary'!E5</f>
        <v>2024</v>
      </c>
      <c r="D7" s="4" t="n">
        <f aca="false">IFERROR(AVERAGEIFS('RD Condos'!$J:$J,'RD Condos'!$K:$K,$B7,'RD Condos'!$A:$A,1),"")</f>
        <v>45938.7799043062</v>
      </c>
      <c r="F7" s="0" t="n">
        <f aca="false">'Building Summary'!J5</f>
        <v>209</v>
      </c>
      <c r="G7" s="5" t="n">
        <f aca="false">'Building Summary'!K5</f>
        <v>720.842105263158</v>
      </c>
      <c r="H7" s="6" t="n">
        <f aca="false">IFERROR(AVERAGEIFS('RD Condos'!$D:$D,'RD Condos'!$K:$K,$B7,'RD Condos'!$A:$A,1),"")</f>
        <v>3099.96172248804</v>
      </c>
      <c r="I7" s="7" t="n">
        <f aca="false">IFERROR(AVERAGEIFS('RD Condos'!$F:$F,'RD Condos'!$K:$K,$B7,'RD Condos'!$A:$A,1),"")</f>
        <v>4.33653064616431</v>
      </c>
    </row>
    <row r="8" customFormat="false" ht="15" hidden="false" customHeight="false" outlineLevel="0" collapsed="false">
      <c r="B8" s="0" t="s">
        <v>12</v>
      </c>
      <c r="C8" s="0" t="n">
        <f aca="false">'Building Summary'!E6</f>
        <v>2024</v>
      </c>
      <c r="D8" s="4" t="n">
        <f aca="false">IFERROR(AVERAGEIFS('RD Condos'!$J:$J,'RD Condos'!$K:$K,$B8,'RD Condos'!$A:$A,1),"")</f>
        <v>45983.375</v>
      </c>
      <c r="F8" s="0" t="n">
        <f aca="false">'Building Summary'!J6</f>
        <v>56</v>
      </c>
      <c r="G8" s="5" t="n">
        <f aca="false">'Building Summary'!K6</f>
        <v>948.607142857143</v>
      </c>
      <c r="H8" s="6" t="n">
        <f aca="false">IFERROR(AVERAGEIFS('RD Condos'!$D:$D,'RD Condos'!$K:$K,$B8,'RD Condos'!$A:$A,1),"")</f>
        <v>4255.51785714286</v>
      </c>
      <c r="I8" s="7" t="n">
        <f aca="false">IFERROR(AVERAGEIFS('RD Condos'!$F:$F,'RD Condos'!$K:$K,$B8,'RD Condos'!$A:$A,1),"")</f>
        <v>4.3910832551803</v>
      </c>
    </row>
    <row r="9" customFormat="false" ht="15" hidden="false" customHeight="false" outlineLevel="0" collapsed="false">
      <c r="B9" s="0" t="s">
        <v>13</v>
      </c>
      <c r="C9" s="0" t="n">
        <f aca="false">'Building Summary'!E7</f>
        <v>2019</v>
      </c>
      <c r="D9" s="4" t="n">
        <f aca="false">IFERROR(AVERAGEIFS('RD Condos'!$J:$J,'RD Condos'!$K:$K,$B9,'RD Condos'!$A:$A,1),"")</f>
        <v>45923.9880952381</v>
      </c>
      <c r="F9" s="0" t="n">
        <f aca="false">'Building Summary'!J7</f>
        <v>168</v>
      </c>
      <c r="G9" s="5" t="n">
        <f aca="false">'Building Summary'!K7</f>
        <v>717.404761904762</v>
      </c>
      <c r="H9" s="6" t="n">
        <f aca="false">IFERROR(AVERAGEIFS('RD Condos'!$D:$D,'RD Condos'!$K:$K,$B9,'RD Condos'!$A:$A,1),"")</f>
        <v>2916.54166666667</v>
      </c>
      <c r="I9" s="7" t="n">
        <f aca="false">IFERROR(AVERAGEIFS('RD Condos'!$F:$F,'RD Condos'!$K:$K,$B9,'RD Condos'!$A:$A,1),"")</f>
        <v>4.03478249109952</v>
      </c>
    </row>
    <row r="10" customFormat="false" ht="15" hidden="false" customHeight="false" outlineLevel="0" collapsed="false">
      <c r="B10" s="0" t="s">
        <v>14</v>
      </c>
      <c r="C10" s="0" t="n">
        <f aca="false">'Building Summary'!E8</f>
        <v>2018</v>
      </c>
      <c r="D10" s="4" t="n">
        <f aca="false">IFERROR(AVERAGEIFS('RD Condos'!$J:$J,'RD Condos'!$K:$K,$B10,'RD Condos'!$A:$A,1),"")</f>
        <v>45934.954248366</v>
      </c>
      <c r="F10" s="0" t="n">
        <f aca="false">'Building Summary'!J8</f>
        <v>153</v>
      </c>
      <c r="G10" s="5" t="n">
        <f aca="false">'Building Summary'!K8</f>
        <v>643.803921568627</v>
      </c>
      <c r="H10" s="6" t="n">
        <f aca="false">IFERROR(AVERAGEIFS('RD Condos'!$D:$D,'RD Condos'!$K:$K,$B10,'RD Condos'!$A:$A,1),"")</f>
        <v>2674.54248366013</v>
      </c>
      <c r="I10" s="7" t="n">
        <f aca="false">IFERROR(AVERAGEIFS('RD Condos'!$F:$F,'RD Condos'!$K:$K,$B10,'RD Condos'!$A:$A,1),"")</f>
        <v>4.20304325152932</v>
      </c>
    </row>
    <row r="11" customFormat="false" ht="15" hidden="false" customHeight="false" outlineLevel="0" collapsed="false">
      <c r="B11" s="0" t="s">
        <v>15</v>
      </c>
      <c r="C11" s="0" t="n">
        <f aca="false">'Building Summary'!E9</f>
        <v>2015</v>
      </c>
      <c r="D11" s="4" t="str">
        <f aca="false">IFERROR(AVERAGEIFS('RD Condos'!$J:$J,'RD Condos'!$K:$K,$B11,'RD Condos'!$A:$A,1),"")</f>
        <v/>
      </c>
      <c r="F11" s="0" t="n">
        <f aca="false">'Building Summary'!J9</f>
        <v>0</v>
      </c>
      <c r="G11" s="5" t="str">
        <f aca="false">'Building Summary'!K9</f>
        <v/>
      </c>
      <c r="H11" s="6" t="str">
        <f aca="false">IFERROR(AVERAGEIFS('RD Condos'!$D:$D,'RD Condos'!$K:$K,$B11,'RD Condos'!$A:$A,1),"")</f>
        <v/>
      </c>
      <c r="I11" s="7" t="str">
        <f aca="false">IFERROR(AVERAGEIFS('RD Condos'!$F:$F,'RD Condos'!$K:$K,$B11,'RD Condos'!$A:$A,1),"")</f>
        <v/>
      </c>
    </row>
    <row r="12" customFormat="false" ht="15" hidden="false" customHeight="false" outlineLevel="0" collapsed="false">
      <c r="B12" s="0" t="s">
        <v>16</v>
      </c>
      <c r="C12" s="0" t="n">
        <f aca="false">'Building Summary'!E10</f>
        <v>2014</v>
      </c>
      <c r="D12" s="4" t="n">
        <f aca="false">IFERROR(AVERAGEIFS('RD Condos'!$J:$J,'RD Condos'!$K:$K,$B12,'RD Condos'!$A:$A,1),"")</f>
        <v>45901.1029411765</v>
      </c>
      <c r="F12" s="0" t="n">
        <f aca="false">'Building Summary'!J10</f>
        <v>68</v>
      </c>
      <c r="G12" s="5" t="n">
        <f aca="false">'Building Summary'!K10</f>
        <v>541.588235294118</v>
      </c>
      <c r="H12" s="6" t="n">
        <f aca="false">IFERROR(AVERAGEIFS('RD Condos'!$D:$D,'RD Condos'!$K:$K,$B12,'RD Condos'!$A:$A,1),"")</f>
        <v>2272.13235294118</v>
      </c>
      <c r="I12" s="7" t="n">
        <f aca="false">IFERROR(AVERAGEIFS('RD Condos'!$F:$F,'RD Condos'!$K:$K,$B12,'RD Condos'!$A:$A,1),"")</f>
        <v>4.2769048159858</v>
      </c>
    </row>
    <row r="13" customFormat="false" ht="15" hidden="false" customHeight="false" outlineLevel="0" collapsed="false">
      <c r="B13" s="0" t="s">
        <v>17</v>
      </c>
      <c r="C13" s="0" t="n">
        <f aca="false">'Building Summary'!E11</f>
        <v>2008</v>
      </c>
      <c r="D13" s="4" t="n">
        <f aca="false">IFERROR(AVERAGEIFS('RD Condos'!$J:$J,'RD Condos'!$K:$K,$B13,'RD Condos'!$A:$A,1),"")</f>
        <v>45917.8282828283</v>
      </c>
      <c r="F13" s="0" t="n">
        <f aca="false">'Building Summary'!J11</f>
        <v>99</v>
      </c>
      <c r="G13" s="5" t="n">
        <f aca="false">'Building Summary'!K11</f>
        <v>711.222222222222</v>
      </c>
      <c r="H13" s="6" t="n">
        <f aca="false">IFERROR(AVERAGEIFS('RD Condos'!$D:$D,'RD Condos'!$K:$K,$B13,'RD Condos'!$A:$A,1),"")</f>
        <v>2733.42424242424</v>
      </c>
      <c r="I13" s="7" t="n">
        <f aca="false">IFERROR(AVERAGEIFS('RD Condos'!$F:$F,'RD Condos'!$K:$K,$B13,'RD Condos'!$A:$A,1),"")</f>
        <v>3.9035884762728</v>
      </c>
    </row>
    <row r="14" customFormat="false" ht="15" hidden="false" customHeight="false" outlineLevel="0" collapsed="false">
      <c r="B14" s="0" t="s">
        <v>18</v>
      </c>
      <c r="C14" s="0" t="n">
        <f aca="false">'Building Summary'!E12</f>
        <v>2003</v>
      </c>
      <c r="D14" s="4" t="n">
        <f aca="false">IFERROR(AVERAGEIFS('RD Condos'!$J:$J,'RD Condos'!$K:$K,$B14,'RD Condos'!$A:$A,1),"")</f>
        <v>45973.8064516129</v>
      </c>
      <c r="F14" s="0" t="n">
        <f aca="false">'Building Summary'!J12</f>
        <v>31</v>
      </c>
      <c r="G14" s="5" t="n">
        <f aca="false">'Building Summary'!K12</f>
        <v>701.322580645161</v>
      </c>
      <c r="H14" s="6" t="n">
        <f aca="false">IFERROR(AVERAGEIFS('RD Condos'!$D:$D,'RD Condos'!$K:$K,$B14,'RD Condos'!$A:$A,1),"")</f>
        <v>2612.25806451613</v>
      </c>
      <c r="I14" s="7" t="n">
        <f aca="false">IFERROR(AVERAGEIFS('RD Condos'!$F:$F,'RD Condos'!$K:$K,$B14,'RD Condos'!$A:$A,1),"")</f>
        <v>3.79153613440907</v>
      </c>
    </row>
    <row r="15" customFormat="false" ht="15" hidden="false" customHeight="false" outlineLevel="0" collapsed="false">
      <c r="B15" s="8" t="s">
        <v>19</v>
      </c>
      <c r="F15" s="0" t="n">
        <f aca="false">COUNTIFS('RD Condos'!$A:$A,1)</f>
        <v>1068</v>
      </c>
      <c r="G15" s="5" t="n">
        <f aca="false">IFERROR(AVERAGEIFS('RD Condos'!$B:$B,'RD Condos'!$A:$A,1),"")</f>
        <v>683.983146067416</v>
      </c>
      <c r="H15" s="6" t="n">
        <f aca="false">IFERROR(AVERAGEIFS('RD Condos'!$D:$D,'RD Condos'!$A:$A,1),"")</f>
        <v>2850.20973782772</v>
      </c>
      <c r="I15" s="7" t="n">
        <f aca="false">IFERROR(AVERAGEIFS('RD Condos'!$F:$F,'RD Condos'!$A:$A,1),"")</f>
        <v>4.19729148134224</v>
      </c>
    </row>
    <row r="16" customFormat="false" ht="15" hidden="false" customHeight="false" outlineLevel="0" collapsed="false">
      <c r="B16" s="0" t="s">
        <v>20</v>
      </c>
      <c r="H16" s="9" t="n">
        <f aca="false">Data_Summary!C4</f>
        <v>0.0576622142976115</v>
      </c>
      <c r="I16" s="9" t="n">
        <f aca="false">Data_Summary!C4</f>
        <v>0.0576622142976115</v>
      </c>
    </row>
    <row r="17" customFormat="false" ht="15" hidden="false" customHeight="false" outlineLevel="0" collapsed="false">
      <c r="B17" s="10" t="s">
        <v>21</v>
      </c>
      <c r="G17" s="5" t="n">
        <f aca="false">G15</f>
        <v>683.983146067416</v>
      </c>
      <c r="H17" s="6" t="n">
        <f aca="false">IFERROR(H15*(1+H16),"")</f>
        <v>3014.55914252348</v>
      </c>
      <c r="I17" s="7" t="n">
        <f aca="false">IFERROR(I15*(1+I16),"")</f>
        <v>4.43931660220894</v>
      </c>
    </row>
    <row r="19" customFormat="false" ht="15" hidden="false" customHeight="false" outlineLevel="0" collapsed="false">
      <c r="B19" s="11" t="s">
        <v>22</v>
      </c>
      <c r="G19" s="5" t="n">
        <f aca="false">G17</f>
        <v>683.983146067416</v>
      </c>
      <c r="H19" s="6" t="n">
        <f aca="false">H17</f>
        <v>3014.55914252348</v>
      </c>
      <c r="I19" s="7" t="n">
        <f aca="false">I17</f>
        <v>4.43931660220894</v>
      </c>
    </row>
    <row r="21" customFormat="false" ht="15" hidden="false" customHeight="false" outlineLevel="0" collapsed="false">
      <c r="B21" s="10" t="s">
        <v>23</v>
      </c>
    </row>
    <row r="22" customFormat="false" ht="15" hidden="false" customHeight="false" outlineLevel="0" collapsed="false">
      <c r="B22" s="12" t="s">
        <v>24</v>
      </c>
    </row>
    <row r="23" customFormat="false" ht="15" hidden="false" customHeight="false" outlineLevel="0" collapsed="false">
      <c r="B23" s="12" t="s">
        <v>25</v>
      </c>
    </row>
    <row r="24" customFormat="false" ht="15" hidden="false" customHeight="false" outlineLevel="0" collapsed="false">
      <c r="B24" s="12" t="s">
        <v>26</v>
      </c>
    </row>
    <row r="25" customFormat="false" ht="15" hidden="false" customHeight="false" outlineLevel="0" collapsed="false">
      <c r="B25" s="8" t="s">
        <v>27</v>
      </c>
      <c r="F25" s="0" t="n">
        <f aca="false">COUNTIFS('RD Condos'!$A:$A,1)</f>
        <v>1068</v>
      </c>
      <c r="G25" s="5" t="n">
        <f aca="false">IFERROR(AVERAGEIFS('RD Condos'!$B:$B,'RD Condos'!$A:$A,1),"")</f>
        <v>683.983146067416</v>
      </c>
      <c r="H25" s="6" t="n">
        <f aca="false">IFERROR(AVERAGEIFS('RD Condos'!$D:$D,'RD Condos'!$A:$A,1),"")</f>
        <v>2850.20973782772</v>
      </c>
      <c r="I25" s="7" t="n">
        <f aca="false">IFERROR(AVERAGEIFS('RD Condos'!$F:$F,'RD Condos'!$A:$A,1),"")</f>
        <v>4.19729148134224</v>
      </c>
    </row>
    <row r="26" customFormat="false" ht="15" hidden="false" customHeight="false" outlineLevel="0" collapsed="false">
      <c r="B26" s="0" t="s">
        <v>20</v>
      </c>
      <c r="H26" s="9" t="n">
        <f aca="false">Data_Summary!C4</f>
        <v>0.0576622142976115</v>
      </c>
      <c r="I26" s="9" t="n">
        <f aca="false">Data_Summary!C4</f>
        <v>0.0576622142976115</v>
      </c>
    </row>
    <row r="27" customFormat="false" ht="15" hidden="false" customHeight="false" outlineLevel="0" collapsed="false">
      <c r="B27" s="10" t="s">
        <v>21</v>
      </c>
      <c r="H27" s="6" t="n">
        <f aca="false">IFERROR(H25*(1+H26),"")</f>
        <v>3014.55914252348</v>
      </c>
      <c r="I27" s="7" t="n">
        <f aca="false">IFERROR(I25*(1+I26),"")</f>
        <v>4.43931660220894</v>
      </c>
      <c r="L27" s="3" t="s">
        <v>28</v>
      </c>
      <c r="P27" s="3" t="s">
        <v>29</v>
      </c>
      <c r="T27" s="3" t="s">
        <v>30</v>
      </c>
      <c r="X27" s="3" t="s">
        <v>31</v>
      </c>
      <c r="AB27" s="3" t="s">
        <v>32</v>
      </c>
    </row>
    <row r="28" customFormat="false" ht="26.85" hidden="false" customHeight="false" outlineLevel="0" collapsed="false">
      <c r="K28" s="2" t="s">
        <v>1</v>
      </c>
      <c r="L28" s="13" t="s">
        <v>33</v>
      </c>
      <c r="M28" s="13" t="s">
        <v>34</v>
      </c>
      <c r="N28" s="13" t="s">
        <v>35</v>
      </c>
      <c r="O28" s="13" t="s">
        <v>36</v>
      </c>
      <c r="P28" s="13" t="s">
        <v>33</v>
      </c>
      <c r="Q28" s="13" t="s">
        <v>34</v>
      </c>
      <c r="R28" s="13" t="s">
        <v>35</v>
      </c>
      <c r="S28" s="13" t="s">
        <v>36</v>
      </c>
      <c r="T28" s="13" t="s">
        <v>33</v>
      </c>
      <c r="U28" s="13" t="s">
        <v>34</v>
      </c>
      <c r="V28" s="13" t="s">
        <v>35</v>
      </c>
      <c r="W28" s="13" t="s">
        <v>36</v>
      </c>
      <c r="X28" s="13" t="s">
        <v>33</v>
      </c>
      <c r="Y28" s="13" t="s">
        <v>34</v>
      </c>
      <c r="Z28" s="13" t="s">
        <v>35</v>
      </c>
      <c r="AA28" s="13" t="s">
        <v>36</v>
      </c>
      <c r="AB28" s="13" t="s">
        <v>33</v>
      </c>
      <c r="AC28" s="13" t="s">
        <v>34</v>
      </c>
      <c r="AD28" s="13" t="s">
        <v>35</v>
      </c>
      <c r="AE28" s="13" t="s">
        <v>36</v>
      </c>
    </row>
    <row r="29" customFormat="false" ht="15" hidden="false" customHeight="false" outlineLevel="0" collapsed="false">
      <c r="K29" s="0" t="s">
        <v>10</v>
      </c>
      <c r="L29" s="0" t="n">
        <f aca="false">COUNTIFS('RD Condos'!$H:$H,"0",'RD Condos'!$A:$A,1,'RD Condos'!$K:$K,"Concord Canada House")</f>
        <v>0</v>
      </c>
      <c r="M29" s="5" t="str">
        <f aca="false">IFERROR(AVERAGEIFS('RD Condos'!$B:$B,'RD Condos'!$H:$H,"0",'RD Condos'!$A:$A,1,'RD Condos'!$K:$K,"Concord Canada House"),"")</f>
        <v/>
      </c>
      <c r="N29" s="6" t="str">
        <f aca="false">IFERROR(AVERAGEIFS('RD Condos'!$D:$D,'RD Condos'!$H:$H,"0",'RD Condos'!$A:$A,1,'RD Condos'!$K:$K,"Concord Canada House"),"")</f>
        <v/>
      </c>
      <c r="O29" s="7" t="str">
        <f aca="false">IFERROR(AVERAGEIFS('RD Condos'!$F:$F,'RD Condos'!$H:$H,"0",'RD Condos'!$A:$A,1,'RD Condos'!$K:$K,"Concord Canada House"),"")</f>
        <v/>
      </c>
      <c r="P29" s="0" t="n">
        <f aca="false">COUNTIFS('RD Condos'!$Q:$Q,"1",'RD Condos'!$A:$A,1,'RD Condos'!$K:$K,"Concord Canada House")</f>
        <v>140</v>
      </c>
      <c r="Q29" s="5" t="n">
        <f aca="false">IFERROR(AVERAGEIFS('RD Condos'!$B:$B,'RD Condos'!$Q:$Q,"1",'RD Condos'!$A:$A,1,'RD Condos'!$K:$K,"Concord Canada House"),"")</f>
        <v>525.178571428571</v>
      </c>
      <c r="R29" s="6" t="n">
        <f aca="false">IFERROR(AVERAGEIFS('RD Condos'!$D:$D,'RD Condos'!$Q:$Q,"1",'RD Condos'!$A:$A,1,'RD Condos'!$K:$K,"Concord Canada House"),"")</f>
        <v>2262.03571428571</v>
      </c>
      <c r="S29" s="7" t="n">
        <f aca="false">IFERROR(AVERAGEIFS('RD Condos'!$F:$F,'RD Condos'!$Q:$Q,"1",'RD Condos'!$A:$A,1,'RD Condos'!$K:$K,"Concord Canada House"),"")</f>
        <v>4.32975014999007</v>
      </c>
      <c r="T29" s="0" t="n">
        <f aca="false">COUNTIFS('RD Condos'!$Q:$Q,"1+1",'RD Condos'!$A:$A,1,'RD Condos'!$K:$K,"Concord Canada House")</f>
        <v>55</v>
      </c>
      <c r="U29" s="5" t="n">
        <f aca="false">IFERROR(AVERAGEIFS('RD Condos'!$B:$B,'RD Condos'!$Q:$Q,"1+1",'RD Condos'!$A:$A,1,'RD Condos'!$K:$K,"Concord Canada House"),"")</f>
        <v>583.872727272727</v>
      </c>
      <c r="V29" s="6" t="n">
        <f aca="false">IFERROR(AVERAGEIFS('RD Condos'!$D:$D,'RD Condos'!$Q:$Q,"1+1",'RD Condos'!$A:$A,1,'RD Condos'!$K:$K,"Concord Canada House"),"")</f>
        <v>2562.90909090909</v>
      </c>
      <c r="W29" s="7" t="n">
        <f aca="false">IFERROR(AVERAGEIFS('RD Condos'!$F:$F,'RD Condos'!$Q:$Q,"1+1",'RD Condos'!$A:$A,1,'RD Condos'!$K:$K,"Concord Canada House"),"")</f>
        <v>4.42379239697825</v>
      </c>
      <c r="X29" s="0" t="n">
        <f aca="false">COUNTIFS('RD Condos'!$H:$H,"2",'RD Condos'!$A:$A,1,'RD Condos'!$K:$K,"Concord Canada House")</f>
        <v>74</v>
      </c>
      <c r="Y29" s="5" t="n">
        <f aca="false">IFERROR(AVERAGEIFS('RD Condos'!$B:$B,'RD Condos'!$H:$H,"2",'RD Condos'!$A:$A,1,'RD Condos'!$K:$K,"Concord Canada House"),"")</f>
        <v>783.135135135135</v>
      </c>
      <c r="Z29" s="6" t="n">
        <f aca="false">IFERROR(AVERAGEIFS('RD Condos'!$D:$D,'RD Condos'!$H:$H,"2",'RD Condos'!$A:$A,1,'RD Condos'!$K:$K,"Concord Canada House"),"")</f>
        <v>3163.51351351351</v>
      </c>
      <c r="AA29" s="7" t="n">
        <f aca="false">IFERROR(AVERAGEIFS('RD Condos'!$F:$F,'RD Condos'!$H:$H,"2",'RD Condos'!$A:$A,1,'RD Condos'!$K:$K,"Concord Canada House"),"")</f>
        <v>4.07937785303087</v>
      </c>
      <c r="AB29" s="0" t="n">
        <f aca="false">COUNTIFS('RD Condos'!$H:$H,"3",'RD Condos'!$A:$A,1,'RD Condos'!$K:$K,"Concord Canada House")</f>
        <v>15</v>
      </c>
      <c r="AC29" s="5" t="n">
        <f aca="false">IFERROR(AVERAGEIFS('RD Condos'!$B:$B,'RD Condos'!$H:$H,"3",'RD Condos'!$A:$A,1,'RD Condos'!$K:$K,"Concord Canada House"),"")</f>
        <v>1008</v>
      </c>
      <c r="AD29" s="6" t="n">
        <f aca="false">IFERROR(AVERAGEIFS('RD Condos'!$D:$D,'RD Condos'!$H:$H,"3",'RD Condos'!$A:$A,1,'RD Condos'!$K:$K,"Concord Canada House"),"")</f>
        <v>4053.33333333333</v>
      </c>
      <c r="AE29" s="7" t="n">
        <f aca="false">IFERROR(AVERAGEIFS('RD Condos'!$F:$F,'RD Condos'!$H:$H,"3",'RD Condos'!$A:$A,1,'RD Condos'!$K:$K,"Concord Canada House"),"")</f>
        <v>4.22617919899667</v>
      </c>
    </row>
    <row r="30" customFormat="false" ht="15" hidden="false" customHeight="false" outlineLevel="0" collapsed="false">
      <c r="B30" s="8" t="s">
        <v>37</v>
      </c>
    </row>
    <row r="31" customFormat="false" ht="15" hidden="false" customHeight="false" outlineLevel="0" collapsed="false">
      <c r="B31" s="0" t="s">
        <v>38</v>
      </c>
      <c r="D31" s="14" t="n">
        <f aca="false">Data_Summary!$C$34</f>
        <v>4.55529382184352</v>
      </c>
      <c r="K31" s="0" t="s">
        <v>39</v>
      </c>
      <c r="L31" s="0" t="n">
        <f aca="false">COUNTIFS('RD Condos'!$H:$H,"0",'RD Condos'!$A:$A,1)</f>
        <v>1</v>
      </c>
      <c r="M31" s="5" t="n">
        <f aca="false">IFERROR(AVERAGEIFS('RD Condos'!$B:$B,'RD Condos'!$H:$H,"0",'RD Condos'!$A:$A,1),"")</f>
        <v>403</v>
      </c>
      <c r="N31" s="6" t="n">
        <f aca="false">IFERROR(AVERAGEIFS('RD Condos'!$D:$D,'RD Condos'!$H:$H,"0",'RD Condos'!$A:$A,1),"")</f>
        <v>2000</v>
      </c>
      <c r="O31" s="7" t="n">
        <f aca="false">IFERROR(AVERAGEIFS('RD Condos'!$F:$F,'RD Condos'!$H:$H,"0",'RD Condos'!$A:$A,1),"")</f>
        <v>4.96277915632754</v>
      </c>
      <c r="P31" s="0" t="n">
        <f aca="false">COUNTIFS('RD Condos'!$Q:$Q,"1",'RD Condos'!$A:$A,1)</f>
        <v>387</v>
      </c>
      <c r="Q31" s="5" t="n">
        <f aca="false">IFERROR(AVERAGEIFS('RD Condos'!$B:$B,'RD Condos'!$Q:$Q,"1",'RD Condos'!$A:$A,1),"")</f>
        <v>533.679586563308</v>
      </c>
      <c r="R31" s="6" t="n">
        <f aca="false">IFERROR(AVERAGEIFS('RD Condos'!$D:$D,'RD Condos'!$Q:$Q,"1",'RD Condos'!$A:$A,1),"")</f>
        <v>2283.52454780362</v>
      </c>
      <c r="S31" s="7" t="n">
        <f aca="false">IFERROR(AVERAGEIFS('RD Condos'!$F:$F,'RD Condos'!$Q:$Q,"1",'RD Condos'!$A:$A,1),"")</f>
        <v>4.31275623103552</v>
      </c>
      <c r="T31" s="0" t="n">
        <f aca="false">COUNTIFS('RD Condos'!$Q:$Q,"1+1",'RD Condos'!$A:$A,1)</f>
        <v>235</v>
      </c>
      <c r="U31" s="5" t="n">
        <f aca="false">IFERROR(AVERAGEIFS('RD Condos'!$B:$B,'RD Condos'!$Q:$Q,"1+1",'RD Condos'!$A:$A,1),"")</f>
        <v>612.668085106383</v>
      </c>
      <c r="V31" s="6" t="n">
        <f aca="false">IFERROR(AVERAGEIFS('RD Condos'!$D:$D,'RD Condos'!$Q:$Q,"1+1",'RD Condos'!$A:$A,1),"")</f>
        <v>2483.61276595745</v>
      </c>
      <c r="W31" s="7" t="n">
        <f aca="false">IFERROR(AVERAGEIFS('RD Condos'!$F:$F,'RD Condos'!$Q:$Q,"1+1",'RD Condos'!$A:$A,1),"")</f>
        <v>4.07786793463021</v>
      </c>
      <c r="X31" s="0" t="n">
        <f aca="false">COUNTIFS('RD Condos'!$H:$H,"2",'RD Condos'!$A:$A,1)</f>
        <v>371</v>
      </c>
      <c r="Y31" s="5" t="n">
        <f aca="false">IFERROR(AVERAGEIFS('RD Condos'!$B:$B,'RD Condos'!$H:$H,"2",'RD Condos'!$A:$A,1),"")</f>
        <v>801.840970350404</v>
      </c>
      <c r="Z31" s="6" t="n">
        <f aca="false">IFERROR(AVERAGEIFS('RD Condos'!$D:$D,'RD Condos'!$H:$H,"2",'RD Condos'!$A:$A,1),"")</f>
        <v>3315.52021563342</v>
      </c>
      <c r="AA31" s="7" t="n">
        <f aca="false">IFERROR(AVERAGEIFS('RD Condos'!$F:$F,'RD Condos'!$H:$H,"2",'RD Condos'!$A:$A,1),"")</f>
        <v>4.14831599370835</v>
      </c>
      <c r="AB31" s="0" t="n">
        <f aca="false">COUNTIFS('RD Condos'!$H:$H,"3",'RD Condos'!$A:$A,1)</f>
        <v>74</v>
      </c>
      <c r="AC31" s="5" t="n">
        <f aca="false">IFERROR(AVERAGEIFS('RD Condos'!$B:$B,'RD Condos'!$H:$H,"3",'RD Condos'!$A:$A,1),"")</f>
        <v>1109.41891891892</v>
      </c>
      <c r="AD31" s="6" t="n">
        <f aca="false">IFERROR(AVERAGEIFS('RD Condos'!$D:$D,'RD Condos'!$H:$H,"3",'RD Condos'!$A:$A,1),"")</f>
        <v>4656.66216216216</v>
      </c>
      <c r="AE31" s="7" t="n">
        <f aca="false">IFERROR(AVERAGEIFS('RD Condos'!$F:$F,'RD Condos'!$H:$H,"3",'RD Condos'!$A:$A,1),"")</f>
        <v>4.20788734057489</v>
      </c>
    </row>
    <row r="32" customFormat="false" ht="15" hidden="false" customHeight="false" outlineLevel="0" collapsed="false">
      <c r="B32" s="0" t="s">
        <v>40</v>
      </c>
      <c r="D32" s="14" t="n">
        <f aca="false">Data_Summary!$C$35</f>
        <v>4.51089182934585</v>
      </c>
      <c r="K32" s="0" t="s">
        <v>41</v>
      </c>
      <c r="O32" s="7" t="n">
        <f aca="false">IFERROR(SUMPRODUCT(MIN(IF((('RD Condos'!$H$2:$H$1069="0")*('RD Condos'!$A$2:$A$1069=1)),'RD Condos'!$F$2:$F$1069))),"")</f>
        <v>4.96277915632754</v>
      </c>
      <c r="S32" s="7" t="n">
        <f aca="false">IFERROR(SUMPRODUCT(MIN(IF((('RD Condos'!$Q$2:$Q$1069="1")*('RD Condos'!$A$2:$A$1069=1)),'RD Condos'!$F$2:$F$1069))),"")</f>
        <v>2.55434782608696</v>
      </c>
      <c r="W32" s="7" t="n">
        <f aca="false">IFERROR(SUMPRODUCT(MIN(IF((('RD Condos'!$Q$2:$Q$1069="1+1")*('RD Condos'!$A$2:$A$1069=1)),'RD Condos'!$F$2:$F$1069))),"")</f>
        <v>2.86783042394015</v>
      </c>
      <c r="AA32" s="7" t="n">
        <f aca="false">IFERROR(SUMPRODUCT(MIN(IF((('RD Condos'!$H$2:$H$1069="2")*('RD Condos'!$A$2:$A$1069=1)),'RD Condos'!$F$2:$F$1069))),"")</f>
        <v>2.23342939481268</v>
      </c>
      <c r="AE32" s="7" t="n">
        <f aca="false">IFERROR(SUMPRODUCT(MIN(IF((('RD Condos'!$H$2:$H$1069="3")*('RD Condos'!$A$2:$A$1069=1)),'RD Condos'!$F$2:$F$1069))),"")</f>
        <v>2.92479108635097</v>
      </c>
    </row>
    <row r="33" customFormat="false" ht="15" hidden="false" customHeight="false" outlineLevel="0" collapsed="false">
      <c r="B33" s="0" t="s">
        <v>42</v>
      </c>
      <c r="D33" s="14" t="n">
        <f aca="false">Data_Summary!$C$31</f>
        <v>4.30694579069242</v>
      </c>
      <c r="K33" s="0" t="s">
        <v>43</v>
      </c>
      <c r="O33" s="7" t="n">
        <f aca="false">IFERROR(SUMPRODUCT(MAX(IF((('RD Condos'!$H$2:$H$1069="0")*('RD Condos'!$A$2:$A$1069=1)),'RD Condos'!$F$2:$F$1069))),"")</f>
        <v>4.96277915632754</v>
      </c>
      <c r="S33" s="7" t="n">
        <f aca="false">IFERROR(SUMPRODUCT(MAX(IF((('RD Condos'!$Q$2:$Q$1069="1")*('RD Condos'!$A$2:$A$1069=1)),'RD Condos'!$F$2:$F$1069))),"")</f>
        <v>7.40740740740741</v>
      </c>
      <c r="W33" s="7" t="n">
        <f aca="false">IFERROR(SUMPRODUCT(MAX(IF((('RD Condos'!$Q$2:$Q$1069="1+1")*('RD Condos'!$A$2:$A$1069=1)),'RD Condos'!$F$2:$F$1069))),"")</f>
        <v>5.42056074766355</v>
      </c>
      <c r="AA33" s="7" t="n">
        <f aca="false">IFERROR(SUMPRODUCT(MAX(IF((('RD Condos'!$H$2:$H$1069="2")*('RD Condos'!$A$2:$A$1069=1)),'RD Condos'!$F$2:$F$1069))),"")</f>
        <v>6.59340659340659</v>
      </c>
      <c r="AE33" s="7" t="n">
        <f aca="false">IFERROR(SUMPRODUCT(MAX(IF((('RD Condos'!$H$2:$H$1069="3")*('RD Condos'!$A$2:$A$1069=1)),'RD Condos'!$F$2:$F$1069))),"")</f>
        <v>6.88073394495413</v>
      </c>
    </row>
    <row r="34" customFormat="false" ht="15" hidden="false" customHeight="false" outlineLevel="0" collapsed="false">
      <c r="B34" s="0" t="s">
        <v>44</v>
      </c>
      <c r="D34" s="9" t="n">
        <f aca="false">Data_Summary!$C$4</f>
        <v>0.0576622142976115</v>
      </c>
    </row>
    <row r="35" customFormat="false" ht="15" hidden="false" customHeight="false" outlineLevel="0" collapsed="false">
      <c r="K35" s="0" t="s">
        <v>20</v>
      </c>
      <c r="O35" s="7" t="n">
        <f aca="false">Data_Summary!$C$4</f>
        <v>0.0576622142976115</v>
      </c>
      <c r="S35" s="7" t="n">
        <f aca="false">Data_Summary!$C$4</f>
        <v>0.0576622142976115</v>
      </c>
      <c r="W35" s="7" t="n">
        <f aca="false">Data_Summary!$C$4</f>
        <v>0.0576622142976115</v>
      </c>
      <c r="AA35" s="7" t="n">
        <f aca="false">Data_Summary!$C$4</f>
        <v>0.0576622142976115</v>
      </c>
      <c r="AE35" s="7" t="n">
        <f aca="false">Data_Summary!$C$4</f>
        <v>0.0576622142976115</v>
      </c>
    </row>
    <row r="36" customFormat="false" ht="15" hidden="false" customHeight="false" outlineLevel="0" collapsed="false">
      <c r="B36" s="8" t="s">
        <v>45</v>
      </c>
      <c r="K36" s="0" t="s">
        <v>46</v>
      </c>
      <c r="N36" s="6" t="n">
        <f aca="false">IFERROR(N31*(1+$O$35),"")</f>
        <v>2115.32442859522</v>
      </c>
      <c r="O36" s="7" t="n">
        <f aca="false">IFERROR(O31*(1+O35),"")</f>
        <v>5.24894399155142</v>
      </c>
      <c r="R36" s="6" t="n">
        <f aca="false">IFERROR(R31*(1+$S$35),"")</f>
        <v>2415.19762963293</v>
      </c>
      <c r="S36" s="7" t="n">
        <f aca="false">IFERROR(S31*(1+S35),"")</f>
        <v>4.56143930504285</v>
      </c>
      <c r="V36" s="6" t="n">
        <f aca="false">IFERROR(V31*(1+$W$35),"")</f>
        <v>2626.82337750037</v>
      </c>
      <c r="W36" s="7" t="n">
        <f aca="false">IFERROR(W31*(1+W35),"")</f>
        <v>4.31300682935422</v>
      </c>
      <c r="Z36" s="6" t="n">
        <f aca="false">IFERROR(Z31*(1+$AA$35),"")</f>
        <v>3506.70045281534</v>
      </c>
      <c r="AA36" s="7" t="n">
        <f aca="false">IFERROR(AA31*(1+AA35),"")</f>
        <v>4.38751707951177</v>
      </c>
      <c r="AD36" s="6" t="n">
        <f aca="false">IFERROR(AD31*(1+$AE$35),"")</f>
        <v>4925.17561366834</v>
      </c>
      <c r="AE36" s="7" t="n">
        <f aca="false">IFERROR(AE31*(1+AE35),"")</f>
        <v>4.45052344214733</v>
      </c>
    </row>
    <row r="37" customFormat="false" ht="15" hidden="false" customHeight="false" outlineLevel="0" collapsed="false">
      <c r="B37" s="8" t="s">
        <v>47</v>
      </c>
      <c r="C37" s="8" t="s">
        <v>48</v>
      </c>
      <c r="D37" s="8" t="s">
        <v>49</v>
      </c>
      <c r="K37" s="0" t="s">
        <v>50</v>
      </c>
      <c r="L37" s="6" t="n">
        <f aca="false">IFERROR((R31*Data_Summary!$T$3+V31*Data_Summary!$T$4+Z31*Data_Summary!$T$5+AD31*Data_Summary!$T$6)*Data_Summary!$T$2,"")</f>
        <v>1428377.22657735</v>
      </c>
    </row>
    <row r="38" customFormat="false" ht="15" hidden="false" customHeight="false" outlineLevel="0" collapsed="false">
      <c r="B38" s="0" t="s">
        <v>51</v>
      </c>
      <c r="C38" s="15" t="n">
        <f aca="false">Data_Summary!C26</f>
        <v>541.733333333333</v>
      </c>
      <c r="D38" s="6" t="n">
        <f aca="false">Data_Summary!F26</f>
        <v>2483.85191141805</v>
      </c>
    </row>
    <row r="39" customFormat="false" ht="15" hidden="false" customHeight="false" outlineLevel="0" collapsed="false">
      <c r="B39" s="0" t="s">
        <v>52</v>
      </c>
      <c r="C39" s="15" t="n">
        <f aca="false">Data_Summary!C27</f>
        <v>783.135135135135</v>
      </c>
      <c r="D39" s="6" t="n">
        <f aca="false">Data_Summary!F27</f>
        <v>3433.82901331083</v>
      </c>
      <c r="K39" s="8" t="s">
        <v>53</v>
      </c>
      <c r="N39" s="6" t="n">
        <f aca="false">IFERROR(N36,"")</f>
        <v>2115.32442859522</v>
      </c>
      <c r="R39" s="6" t="n">
        <f aca="false">IFERROR(R36,"")</f>
        <v>2415.19762963293</v>
      </c>
      <c r="V39" s="6" t="n">
        <f aca="false">IFERROR(V36,"")</f>
        <v>2626.82337750037</v>
      </c>
      <c r="Z39" s="6" t="n">
        <f aca="false">IFERROR(Z36,"")</f>
        <v>3506.70045281534</v>
      </c>
      <c r="AD39" s="6" t="n">
        <f aca="false">IFERROR(AD36,"")</f>
        <v>4925.17561366834</v>
      </c>
    </row>
    <row r="40" customFormat="false" ht="15" hidden="false" customHeight="false" outlineLevel="0" collapsed="false">
      <c r="B40" s="0" t="s">
        <v>54</v>
      </c>
      <c r="C40" s="15" t="n">
        <f aca="false">Data_Summary!C28</f>
        <v>1008</v>
      </c>
      <c r="D40" s="6" t="n">
        <f aca="false">Data_Summary!F28</f>
        <v>4435.13021862132</v>
      </c>
      <c r="K40" s="0" t="s">
        <v>55</v>
      </c>
      <c r="L40" s="6" t="n">
        <f aca="false">IFERROR((R39*Data_Summary!$T$3+V39*Data_Summary!$T$4+Z39*Data_Summary!$T$5+AD39*Data_Summary!$T$6)*Data_Summary!$T$2,"")</f>
        <v>1510740.62031408</v>
      </c>
    </row>
    <row r="42" customFormat="false" ht="15" hidden="false" customHeight="false" outlineLevel="0" collapsed="false">
      <c r="B42" s="0" t="s">
        <v>56</v>
      </c>
      <c r="D42" s="16" t="n">
        <v>700</v>
      </c>
      <c r="K42" s="0" t="s">
        <v>57</v>
      </c>
      <c r="N42" s="6" t="n">
        <f aca="false">IFERROR(O36*M31,"")</f>
        <v>2115.32442859522</v>
      </c>
      <c r="R42" s="6" t="n">
        <f aca="false">IFERROR(S36*Q31,"")</f>
        <v>2434.34704244889</v>
      </c>
      <c r="V42" s="6" t="n">
        <f aca="false">IFERROR(W36*U31,"")</f>
        <v>2642.4416351912</v>
      </c>
      <c r="Z42" s="6" t="n">
        <f aca="false">IFERROR(AA36*Y31,"")</f>
        <v>3518.09095246469</v>
      </c>
      <c r="AD42" s="6" t="n">
        <f aca="false">IFERROR(AE36*AC31,"")</f>
        <v>4937.4949058104</v>
      </c>
    </row>
    <row r="43" customFormat="false" ht="15" hidden="false" customHeight="false" outlineLevel="0" collapsed="false">
      <c r="B43" s="8" t="s">
        <v>58</v>
      </c>
      <c r="D43" s="6" t="n">
        <f aca="false">IFERROR(D42*Data_Summary!$C$34,"")</f>
        <v>3188.70567529047</v>
      </c>
      <c r="K43" s="0" t="s">
        <v>59</v>
      </c>
      <c r="L43" s="6" t="n">
        <f aca="false">IFERROR((R42*Data_Summary!$T$3+V42*Data_Summary!$T$4+Z42*Data_Summary!$T$5+AD42*Data_Summary!$T$6)*Data_Summary!$T$2,"")</f>
        <v>1518767.41980968</v>
      </c>
    </row>
    <row r="44" customFormat="false" ht="15" hidden="false" customHeight="false" outlineLevel="0" collapsed="false">
      <c r="B44" s="8" t="s">
        <v>60</v>
      </c>
      <c r="D44" s="6" t="n">
        <f aca="false">IFERROR(D42*Data_Summary!$C$31,"")</f>
        <v>3014.86205348469</v>
      </c>
    </row>
    <row r="45" customFormat="false" ht="15" hidden="false" customHeight="false" outlineLevel="0" collapsed="false">
      <c r="K45" s="10" t="s">
        <v>61</v>
      </c>
      <c r="N45" s="6" t="n">
        <f aca="false">IFERROR(AVERAGE(N39,N42),"")</f>
        <v>2115.32442859522</v>
      </c>
      <c r="R45" s="6" t="n">
        <f aca="false">IFERROR(AVERAGE(R39,R42),"")</f>
        <v>2424.77233604091</v>
      </c>
      <c r="V45" s="6" t="n">
        <f aca="false">IFERROR(AVERAGE(V39,V42),"")</f>
        <v>2634.63250634579</v>
      </c>
      <c r="Z45" s="6" t="n">
        <f aca="false">IFERROR(AVERAGE(Z39,Z42),"")</f>
        <v>3512.39570264001</v>
      </c>
      <c r="AD45" s="6" t="n">
        <f aca="false">IFERROR(AVERAGE(AD39,AD42),"")</f>
        <v>4931.33525973937</v>
      </c>
    </row>
    <row r="46" customFormat="false" ht="15" hidden="false" customHeight="false" outlineLevel="0" collapsed="false">
      <c r="B46" s="8" t="s">
        <v>62</v>
      </c>
      <c r="K46" s="0" t="s">
        <v>55</v>
      </c>
      <c r="L46" s="6" t="n">
        <f aca="false">IFERROR((R45*Data_Summary!$T$3+V45*Data_Summary!$T$4+Z45*Data_Summary!$T$5+AD45*Data_Summary!$T$6)*Data_Summary!$T$2,"")</f>
        <v>1514754.02006188</v>
      </c>
    </row>
    <row r="47" customFormat="false" ht="15" hidden="false" customHeight="false" outlineLevel="0" collapsed="false">
      <c r="B47" s="12" t="s">
        <v>63</v>
      </c>
    </row>
    <row r="48" customFormat="false" ht="15" hidden="false" customHeight="false" outlineLevel="0" collapsed="false">
      <c r="B48" s="12" t="s">
        <v>64</v>
      </c>
      <c r="K48" s="17" t="s">
        <v>65</v>
      </c>
    </row>
    <row r="49" customFormat="false" ht="15" hidden="false" customHeight="false" outlineLevel="0" collapsed="false">
      <c r="B49" s="12" t="s">
        <v>66</v>
      </c>
      <c r="K49" s="0" t="s">
        <v>67</v>
      </c>
    </row>
    <row r="50" customFormat="false" ht="15" hidden="false" customHeight="false" outlineLevel="0" collapsed="false">
      <c r="B50" s="12" t="s">
        <v>68</v>
      </c>
      <c r="K50" s="17" t="s">
        <v>69</v>
      </c>
      <c r="L50" s="0" t="n">
        <v>0</v>
      </c>
      <c r="M50" s="5" t="s">
        <v>70</v>
      </c>
    </row>
    <row r="51" customFormat="false" ht="15" hidden="false" customHeight="false" outlineLevel="0" collapsed="false">
      <c r="B51" s="12" t="s">
        <v>71</v>
      </c>
    </row>
    <row r="52" customFormat="false" ht="15" hidden="false" customHeight="false" outlineLevel="0" collapsed="false">
      <c r="B52" s="12" t="s">
        <v>72</v>
      </c>
      <c r="K52" s="0" t="s">
        <v>73</v>
      </c>
      <c r="L52" s="9" t="n">
        <f aca="false">IFERROR(L46/L37-1,"")</f>
        <v>0.0604719760840109</v>
      </c>
    </row>
    <row r="53" customFormat="false" ht="15" hidden="false" customHeight="false" outlineLevel="0" collapsed="false">
      <c r="K53" s="17" t="s">
        <v>74</v>
      </c>
      <c r="L53" s="6" t="n">
        <f aca="false">L46</f>
        <v>1514754.02006188</v>
      </c>
    </row>
    <row r="56" customFormat="false" ht="15" hidden="false" customHeight="false" outlineLevel="0" collapsed="false">
      <c r="R56" s="0" t="s">
        <v>75</v>
      </c>
      <c r="Z56" s="0" t="s">
        <v>75</v>
      </c>
      <c r="AD56" s="0" t="s">
        <v>75</v>
      </c>
    </row>
    <row r="57" customFormat="false" ht="15" hidden="false" customHeight="false" outlineLevel="0" collapsed="false">
      <c r="K57" s="0" t="s">
        <v>76</v>
      </c>
      <c r="R57" s="0" t="s">
        <v>77</v>
      </c>
      <c r="Z57" s="0" t="s">
        <v>78</v>
      </c>
      <c r="AD57" s="0" t="s">
        <v>79</v>
      </c>
    </row>
    <row r="58" customFormat="false" ht="15" hidden="false" customHeight="false" outlineLevel="0" collapsed="false">
      <c r="P58" s="1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7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5" min="4" style="0" width="16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9" min="9" style="0" width="6"/>
    <col collapsed="false" customWidth="true" hidden="false" outlineLevel="0" max="10" min="10" style="0" width="18"/>
    <col collapsed="false" customWidth="true" hidden="false" outlineLevel="0" max="11" min="11" style="0" width="7"/>
    <col collapsed="false" customWidth="true" hidden="false" outlineLevel="0" max="13" min="12" style="0" width="9"/>
  </cols>
  <sheetData>
    <row r="1" customFormat="false" ht="15" hidden="false" customHeight="false" outlineLevel="0" collapsed="false">
      <c r="A1" s="1" t="s">
        <v>81</v>
      </c>
    </row>
    <row r="3" customFormat="false" ht="15" hidden="false" customHeight="false" outlineLevel="0" collapsed="false">
      <c r="A3" s="2" t="s">
        <v>1</v>
      </c>
      <c r="B3" s="2" t="s">
        <v>82</v>
      </c>
      <c r="C3" s="2" t="s">
        <v>83</v>
      </c>
      <c r="D3" s="2" t="s">
        <v>84</v>
      </c>
      <c r="E3" s="2" t="s">
        <v>2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5</v>
      </c>
      <c r="K3" s="2" t="s">
        <v>48</v>
      </c>
      <c r="L3" s="2" t="s">
        <v>89</v>
      </c>
      <c r="M3" s="2" t="s">
        <v>90</v>
      </c>
    </row>
    <row r="4" customFormat="false" ht="15" hidden="false" customHeight="false" outlineLevel="0" collapsed="false">
      <c r="A4" s="0" t="s">
        <v>10</v>
      </c>
      <c r="B4" s="0" t="s">
        <v>91</v>
      </c>
      <c r="C4" s="0" t="s">
        <v>92</v>
      </c>
      <c r="D4" s="0" t="s">
        <v>93</v>
      </c>
      <c r="E4" s="0" t="n">
        <v>2025</v>
      </c>
      <c r="F4" s="0" t="n">
        <v>2025</v>
      </c>
      <c r="G4" s="0" t="s">
        <v>94</v>
      </c>
      <c r="J4" s="0" t="n">
        <f aca="false">COUNTIFS('RD Condos'!$K:$K,$A4,'RD Condos'!$A:$A,1)</f>
        <v>284</v>
      </c>
      <c r="K4" s="5" t="n">
        <f aca="false">IFERROR(AVERAGEIFS('RD Condos'!$B:$B,'RD Condos'!$K:$K,$A4,'RD Condos'!$A:$A,1),"")</f>
        <v>629.260563380282</v>
      </c>
      <c r="L4" s="5" t="n">
        <f aca="false">IFERROR(AVERAGEIFS('RD Condos'!$AB:$AB,'RD Condos'!$K:$K,$A4,'RD Condos'!$A:$A,1),"")</f>
        <v>2679.91197183099</v>
      </c>
      <c r="M4" s="18" t="n">
        <f aca="false">IFERROR(AVERAGEIFS('RD Condos'!$E:$E,'RD Condos'!$K:$K,$A4,'RD Condos'!$A:$A,1),"")</f>
        <v>4.31377552665344</v>
      </c>
    </row>
    <row r="5" customFormat="false" ht="15" hidden="false" customHeight="false" outlineLevel="0" collapsed="false">
      <c r="A5" s="0" t="s">
        <v>11</v>
      </c>
      <c r="B5" s="0" t="s">
        <v>95</v>
      </c>
      <c r="C5" s="0" t="s">
        <v>96</v>
      </c>
      <c r="D5" s="0" t="s">
        <v>97</v>
      </c>
      <c r="E5" s="0" t="n">
        <v>2024</v>
      </c>
      <c r="F5" s="0" t="n">
        <v>2024</v>
      </c>
      <c r="G5" s="0" t="s">
        <v>94</v>
      </c>
      <c r="J5" s="0" t="n">
        <f aca="false">COUNTIFS('RD Condos'!$K:$K,$A5,'RD Condos'!$A:$A,1)</f>
        <v>209</v>
      </c>
      <c r="K5" s="5" t="n">
        <f aca="false">IFERROR(AVERAGEIFS('RD Condos'!$B:$B,'RD Condos'!$K:$K,$A5,'RD Condos'!$A:$A,1),"")</f>
        <v>720.842105263158</v>
      </c>
      <c r="L5" s="5" t="n">
        <f aca="false">IFERROR(AVERAGEIFS('RD Condos'!$AB:$AB,'RD Condos'!$K:$K,$A5,'RD Condos'!$A:$A,1),"")</f>
        <v>3128.66985645933</v>
      </c>
      <c r="M5" s="18" t="n">
        <f aca="false">IFERROR(AVERAGEIFS('RD Condos'!$E:$E,'RD Condos'!$K:$K,$A5,'RD Condos'!$A:$A,1),"")</f>
        <v>4.36904157151268</v>
      </c>
    </row>
    <row r="6" customFormat="false" ht="15" hidden="false" customHeight="false" outlineLevel="0" collapsed="false">
      <c r="A6" s="0" t="s">
        <v>12</v>
      </c>
      <c r="B6" s="0" t="s">
        <v>98</v>
      </c>
      <c r="C6" s="0" t="s">
        <v>99</v>
      </c>
      <c r="D6" s="0" t="s">
        <v>100</v>
      </c>
      <c r="E6" s="0" t="n">
        <v>2024</v>
      </c>
      <c r="F6" s="0" t="n">
        <v>2024</v>
      </c>
      <c r="G6" s="0" t="s">
        <v>94</v>
      </c>
      <c r="J6" s="0" t="n">
        <f aca="false">COUNTIFS('RD Condos'!$K:$K,$A6,'RD Condos'!$A:$A,1)</f>
        <v>56</v>
      </c>
      <c r="K6" s="5" t="n">
        <f aca="false">IFERROR(AVERAGEIFS('RD Condos'!$B:$B,'RD Condos'!$K:$K,$A6,'RD Condos'!$A:$A,1),"")</f>
        <v>948.607142857143</v>
      </c>
      <c r="L6" s="5" t="n">
        <f aca="false">IFERROR(AVERAGEIFS('RD Condos'!$AB:$AB,'RD Condos'!$K:$K,$A6,'RD Condos'!$A:$A,1),"")</f>
        <v>4351.94642857143</v>
      </c>
      <c r="M6" s="18" t="n">
        <f aca="false">IFERROR(AVERAGEIFS('RD Condos'!$E:$E,'RD Condos'!$K:$K,$A6,'RD Condos'!$A:$A,1),"")</f>
        <v>4.47631579237932</v>
      </c>
    </row>
    <row r="7" customFormat="false" ht="15" hidden="false" customHeight="false" outlineLevel="0" collapsed="false">
      <c r="A7" s="0" t="s">
        <v>13</v>
      </c>
      <c r="B7" s="0" t="s">
        <v>101</v>
      </c>
      <c r="C7" s="0" t="s">
        <v>102</v>
      </c>
      <c r="D7" s="0" t="s">
        <v>103</v>
      </c>
      <c r="E7" s="0" t="n">
        <v>2019</v>
      </c>
      <c r="F7" s="0" t="n">
        <v>2019</v>
      </c>
      <c r="G7" s="0" t="s">
        <v>94</v>
      </c>
      <c r="J7" s="0" t="n">
        <f aca="false">COUNTIFS('RD Condos'!$K:$K,$A7,'RD Condos'!$A:$A,1)</f>
        <v>168</v>
      </c>
      <c r="K7" s="5" t="n">
        <f aca="false">IFERROR(AVERAGEIFS('RD Condos'!$B:$B,'RD Condos'!$K:$K,$A7,'RD Condos'!$A:$A,1),"")</f>
        <v>717.404761904762</v>
      </c>
      <c r="L7" s="5" t="n">
        <f aca="false">IFERROR(AVERAGEIFS('RD Condos'!$AB:$AB,'RD Condos'!$K:$K,$A7,'RD Condos'!$A:$A,1),"")</f>
        <v>2964.75595238095</v>
      </c>
      <c r="M7" s="18" t="n">
        <f aca="false">IFERROR(AVERAGEIFS('RD Condos'!$E:$E,'RD Condos'!$K:$K,$A7,'RD Condos'!$A:$A,1),"")</f>
        <v>4.0902089370437</v>
      </c>
    </row>
    <row r="8" customFormat="false" ht="15" hidden="false" customHeight="false" outlineLevel="0" collapsed="false">
      <c r="A8" s="0" t="s">
        <v>14</v>
      </c>
      <c r="B8" s="0" t="s">
        <v>104</v>
      </c>
      <c r="C8" s="0" t="s">
        <v>92</v>
      </c>
      <c r="D8" s="0" t="s">
        <v>93</v>
      </c>
      <c r="E8" s="0" t="n">
        <v>2018</v>
      </c>
      <c r="F8" s="0" t="n">
        <v>2018</v>
      </c>
      <c r="G8" s="0" t="s">
        <v>94</v>
      </c>
      <c r="J8" s="0" t="n">
        <f aca="false">COUNTIFS('RD Condos'!$K:$K,$A8,'RD Condos'!$A:$A,1)</f>
        <v>153</v>
      </c>
      <c r="K8" s="5" t="n">
        <f aca="false">IFERROR(AVERAGEIFS('RD Condos'!$B:$B,'RD Condos'!$K:$K,$A8,'RD Condos'!$A:$A,1),"")</f>
        <v>643.803921568627</v>
      </c>
      <c r="L8" s="5" t="n">
        <f aca="false">IFERROR(AVERAGEIFS('RD Condos'!$AB:$AB,'RD Condos'!$K:$K,$A8,'RD Condos'!$A:$A,1),"")</f>
        <v>2743.16993464052</v>
      </c>
      <c r="M8" s="18" t="n">
        <f aca="false">IFERROR(AVERAGEIFS('RD Condos'!$E:$E,'RD Condos'!$K:$K,$A8,'RD Condos'!$A:$A,1),"")</f>
        <v>4.30316699825574</v>
      </c>
    </row>
    <row r="9" customFormat="false" ht="15" hidden="false" customHeight="false" outlineLevel="0" collapsed="false">
      <c r="A9" s="0" t="s">
        <v>15</v>
      </c>
      <c r="B9" s="0" t="s">
        <v>105</v>
      </c>
      <c r="C9" s="0" t="s">
        <v>92</v>
      </c>
      <c r="D9" s="0" t="s">
        <v>93</v>
      </c>
      <c r="E9" s="0" t="n">
        <v>2015</v>
      </c>
      <c r="F9" s="0" t="n">
        <v>2015</v>
      </c>
      <c r="G9" s="0" t="s">
        <v>94</v>
      </c>
      <c r="J9" s="0" t="n">
        <f aca="false">COUNTIFS('RD Condos'!$K:$K,$A9,'RD Condos'!$A:$A,1)</f>
        <v>0</v>
      </c>
      <c r="K9" s="5" t="str">
        <f aca="false">IFERROR(AVERAGEIFS('RD Condos'!$B:$B,'RD Condos'!$K:$K,$A9,'RD Condos'!$A:$A,1),"")</f>
        <v/>
      </c>
      <c r="L9" s="5" t="str">
        <f aca="false">IFERROR(AVERAGEIFS('RD Condos'!$AB:$AB,'RD Condos'!$K:$K,$A9,'RD Condos'!$A:$A,1),"")</f>
        <v/>
      </c>
      <c r="M9" s="18" t="str">
        <f aca="false">IFERROR(AVERAGEIFS('RD Condos'!$E:$E,'RD Condos'!$K:$K,$A9,'RD Condos'!$A:$A,1),"")</f>
        <v/>
      </c>
    </row>
    <row r="10" customFormat="false" ht="15" hidden="false" customHeight="false" outlineLevel="0" collapsed="false">
      <c r="A10" s="0" t="s">
        <v>16</v>
      </c>
      <c r="B10" s="0" t="s">
        <v>106</v>
      </c>
      <c r="C10" s="0" t="s">
        <v>92</v>
      </c>
      <c r="D10" s="0" t="s">
        <v>93</v>
      </c>
      <c r="E10" s="0" t="n">
        <v>2014</v>
      </c>
      <c r="F10" s="0" t="n">
        <v>2014</v>
      </c>
      <c r="G10" s="0" t="s">
        <v>94</v>
      </c>
      <c r="J10" s="0" t="n">
        <f aca="false">COUNTIFS('RD Condos'!$K:$K,$A10,'RD Condos'!$A:$A,1)</f>
        <v>68</v>
      </c>
      <c r="K10" s="5" t="n">
        <f aca="false">IFERROR(AVERAGEIFS('RD Condos'!$B:$B,'RD Condos'!$K:$K,$A10,'RD Condos'!$A:$A,1),"")</f>
        <v>541.588235294118</v>
      </c>
      <c r="L10" s="5" t="n">
        <f aca="false">IFERROR(AVERAGEIFS('RD Condos'!$AB:$AB,'RD Condos'!$K:$K,$A10,'RD Condos'!$A:$A,1),"")</f>
        <v>2329.48529411765</v>
      </c>
      <c r="M10" s="18" t="n">
        <f aca="false">IFERROR(AVERAGEIFS('RD Condos'!$E:$E,'RD Condos'!$K:$K,$A10,'RD Condos'!$A:$A,1),"")</f>
        <v>4.37476151598443</v>
      </c>
    </row>
    <row r="11" customFormat="false" ht="15" hidden="false" customHeight="false" outlineLevel="0" collapsed="false">
      <c r="A11" s="0" t="s">
        <v>17</v>
      </c>
      <c r="B11" s="0" t="s">
        <v>107</v>
      </c>
      <c r="C11" s="0" t="s">
        <v>92</v>
      </c>
      <c r="D11" s="0" t="s">
        <v>93</v>
      </c>
      <c r="E11" s="0" t="n">
        <v>2008</v>
      </c>
      <c r="F11" s="0" t="n">
        <v>2008</v>
      </c>
      <c r="G11" s="0" t="s">
        <v>94</v>
      </c>
      <c r="J11" s="0" t="n">
        <f aca="false">COUNTIFS('RD Condos'!$K:$K,$A11,'RD Condos'!$A:$A,1)</f>
        <v>99</v>
      </c>
      <c r="K11" s="5" t="n">
        <f aca="false">IFERROR(AVERAGEIFS('RD Condos'!$B:$B,'RD Condos'!$K:$K,$A11,'RD Condos'!$A:$A,1),"")</f>
        <v>711.222222222222</v>
      </c>
      <c r="L11" s="5" t="n">
        <f aca="false">IFERROR(AVERAGEIFS('RD Condos'!$AB:$AB,'RD Condos'!$K:$K,$A11,'RD Condos'!$A:$A,1),"")</f>
        <v>2839.48484848485</v>
      </c>
      <c r="M11" s="18" t="n">
        <f aca="false">IFERROR(AVERAGEIFS('RD Condos'!$E:$E,'RD Condos'!$K:$K,$A11,'RD Condos'!$A:$A,1),"")</f>
        <v>4.05011370712904</v>
      </c>
    </row>
    <row r="12" customFormat="false" ht="15" hidden="false" customHeight="false" outlineLevel="0" collapsed="false">
      <c r="A12" s="0" t="s">
        <v>18</v>
      </c>
      <c r="B12" s="0" t="s">
        <v>108</v>
      </c>
      <c r="C12" s="0" t="s">
        <v>102</v>
      </c>
      <c r="D12" s="0" t="s">
        <v>109</v>
      </c>
      <c r="E12" s="0" t="n">
        <v>2003</v>
      </c>
      <c r="F12" s="0" t="n">
        <v>2003</v>
      </c>
      <c r="G12" s="0" t="s">
        <v>94</v>
      </c>
      <c r="J12" s="0" t="n">
        <f aca="false">COUNTIFS('RD Condos'!$K:$K,$A12,'RD Condos'!$A:$A,1)</f>
        <v>31</v>
      </c>
      <c r="K12" s="5" t="n">
        <f aca="false">IFERROR(AVERAGEIFS('RD Condos'!$B:$B,'RD Condos'!$K:$K,$A12,'RD Condos'!$A:$A,1),"")</f>
        <v>701.322580645161</v>
      </c>
      <c r="L12" s="5" t="n">
        <f aca="false">IFERROR(AVERAGEIFS('RD Condos'!$AB:$AB,'RD Condos'!$K:$K,$A12,'RD Condos'!$A:$A,1),"")</f>
        <v>2699.35483870968</v>
      </c>
      <c r="M12" s="18" t="n">
        <f aca="false">IFERROR(AVERAGEIFS('RD Condos'!$E:$E,'RD Condos'!$K:$K,$A12,'RD Condos'!$A:$A,1),"")</f>
        <v>3.90855177244009</v>
      </c>
    </row>
    <row r="13" customFormat="false" ht="15" hidden="false" customHeight="false" outlineLevel="0" collapsed="false">
      <c r="A13" s="19" t="s">
        <v>110</v>
      </c>
      <c r="J13" s="19" t="n">
        <f aca="false">SUM(J4:J12)</f>
        <v>1068</v>
      </c>
      <c r="K13" s="20" t="n">
        <f aca="false">IFERROR(AVERAGEIFS('RD Condos'!$B:$B,'RD Condos'!$A:$A,1),"")</f>
        <v>683.983146067416</v>
      </c>
      <c r="L13" s="20" t="n">
        <f aca="false">IFERROR(AVERAGEIFS('RD Condos'!$AB:$AB,'RD Condos'!$A:$A,1),"")</f>
        <v>2902.31647940075</v>
      </c>
      <c r="M13" s="21" t="n">
        <f aca="false">IFERROR(AVERAGEIFS('RD Condos'!$AN:$AN,'RD Condos'!$A:$A,1),"")</f>
        <v>4.26410619811217</v>
      </c>
    </row>
    <row r="14" customFormat="false" ht="15" hidden="false" customHeight="false" outlineLevel="0" collapsed="false">
      <c r="A14" s="19" t="s">
        <v>111</v>
      </c>
      <c r="J14" s="19" t="n">
        <f aca="false">COUNTIFS('RD Apartments'!$A:$A,1)</f>
        <v>0</v>
      </c>
      <c r="K14" s="20" t="str">
        <f aca="false">IFERROR(AVERAGEIFS('RD Apartments'!$B:$B,'RD Apartments'!$A:$A,1),"")</f>
        <v/>
      </c>
      <c r="L14" s="20" t="str">
        <f aca="false">IFERROR(AVERAGEIFS('RD Apartments'!$AB:$AB,'RD Apartments'!$A:$A,1),"")</f>
        <v/>
      </c>
      <c r="M14" s="21" t="str">
        <f aca="false">IFERROR(AVERAGEIFS('RD Apartments'!$AN:$AN,'RD Apartments'!$A:$A,1),"")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67"/>
    <col collapsed="false" customWidth="true" hidden="false" outlineLevel="0" max="3" min="3" style="0" width="11"/>
    <col collapsed="false" customWidth="true" hidden="false" outlineLevel="0" max="4" min="4" style="0" width="10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51"/>
    <col collapsed="false" customWidth="true" hidden="false" outlineLevel="0" max="8" min="8" style="0" width="10"/>
    <col collapsed="false" customWidth="true" hidden="false" outlineLevel="0" max="16" min="16" style="0" width="38"/>
    <col collapsed="false" customWidth="true" hidden="false" outlineLevel="0" max="17" min="17" style="0" width="100"/>
    <col collapsed="false" customWidth="true" hidden="false" outlineLevel="0" max="19" min="19" style="0" width="33"/>
    <col collapsed="false" customWidth="true" hidden="false" outlineLevel="0" max="20" min="20" style="0" width="6"/>
    <col collapsed="false" customWidth="true" hidden="false" outlineLevel="0" max="21" min="21" style="0" width="54"/>
  </cols>
  <sheetData>
    <row r="1" customFormat="false" ht="15" hidden="false" customHeight="false" outlineLevel="0" collapsed="false">
      <c r="B1" s="0" t="s">
        <v>112</v>
      </c>
      <c r="C1" s="22" t="n">
        <v>45658</v>
      </c>
      <c r="D1" s="12" t="s">
        <v>113</v>
      </c>
      <c r="G1" s="0" t="s">
        <v>114</v>
      </c>
      <c r="P1" s="1" t="s">
        <v>115</v>
      </c>
      <c r="S1" s="1" t="s">
        <v>116</v>
      </c>
    </row>
    <row r="2" customFormat="false" ht="15" hidden="false" customHeight="false" outlineLevel="0" collapsed="false">
      <c r="B2" s="0" t="s">
        <v>117</v>
      </c>
      <c r="C2" s="23" t="n">
        <v>150</v>
      </c>
      <c r="D2" s="12" t="s">
        <v>118</v>
      </c>
      <c r="G2" s="0" t="s">
        <v>119</v>
      </c>
      <c r="H2" s="9" t="n">
        <f aca="false">IF($Q$5&gt;0,$Q$2/$Q$5,$Q$8)</f>
        <v>0.63</v>
      </c>
      <c r="P2" s="0" t="s">
        <v>120</v>
      </c>
      <c r="Q2" s="0" t="n">
        <f aca="false">COUNTIFS('Floor Plans'!$A:$A,"*(SUBJECT)*",'Floor Plans'!$I:$I,"&lt;=1")</f>
        <v>0</v>
      </c>
      <c r="S2" s="0" t="s">
        <v>121</v>
      </c>
      <c r="T2" s="24" t="n">
        <v>511</v>
      </c>
      <c r="U2" s="12" t="s">
        <v>122</v>
      </c>
    </row>
    <row r="3" customFormat="false" ht="15" hidden="false" customHeight="false" outlineLevel="0" collapsed="false">
      <c r="B3" s="0" t="s">
        <v>123</v>
      </c>
      <c r="C3" s="25" t="n">
        <v>0</v>
      </c>
      <c r="D3" s="12" t="s">
        <v>124</v>
      </c>
      <c r="G3" s="0" t="s">
        <v>125</v>
      </c>
      <c r="H3" s="9" t="n">
        <f aca="false">IF($Q$5&gt;0,$Q$3/$Q$5,$Q$9)</f>
        <v>0.3</v>
      </c>
      <c r="P3" s="0" t="s">
        <v>126</v>
      </c>
      <c r="Q3" s="0" t="n">
        <f aca="false">COUNTIFS('Floor Plans'!$A:$A,"*(SUBJECT)*",'Floor Plans'!$I:$I,2)</f>
        <v>0</v>
      </c>
      <c r="S3" s="0" t="s">
        <v>119</v>
      </c>
      <c r="T3" s="25" t="n">
        <v>0.45</v>
      </c>
    </row>
    <row r="4" customFormat="false" ht="15" hidden="false" customHeight="false" outlineLevel="0" collapsed="false">
      <c r="B4" s="0" t="s">
        <v>127</v>
      </c>
      <c r="C4" s="9" t="n">
        <f aca="false">IF(AND(ABS(C61)&lt;0.0001,ABS(C62)&lt;0.0001),0.1,(C61+C62)/2)</f>
        <v>0.0576622142976115</v>
      </c>
      <c r="D4" s="12" t="s">
        <v>128</v>
      </c>
      <c r="G4" s="0" t="s">
        <v>129</v>
      </c>
      <c r="H4" s="9" t="n">
        <f aca="false">IF($Q$5&gt;0,$Q$4/$Q$5,$Q$10)</f>
        <v>0.07</v>
      </c>
      <c r="P4" s="0" t="s">
        <v>130</v>
      </c>
      <c r="Q4" s="0" t="n">
        <f aca="false">COUNTIFS('Floor Plans'!$A:$A,"*(SUBJECT)*",'Floor Plans'!$I:$I,"&gt;=3")</f>
        <v>0</v>
      </c>
      <c r="S4" s="0" t="s">
        <v>131</v>
      </c>
      <c r="T4" s="25" t="n">
        <v>0.18</v>
      </c>
    </row>
    <row r="5" customFormat="false" ht="15" hidden="false" customHeight="false" outlineLevel="0" collapsed="false">
      <c r="P5" s="0" t="s">
        <v>132</v>
      </c>
      <c r="Q5" s="0" t="n">
        <f aca="false">SUM(Q2:Q4)</f>
        <v>0</v>
      </c>
      <c r="S5" s="0" t="s">
        <v>125</v>
      </c>
      <c r="T5" s="25" t="n">
        <v>0.3</v>
      </c>
    </row>
    <row r="6" customFormat="false" ht="15" hidden="false" customHeight="false" outlineLevel="0" collapsed="false">
      <c r="P6" s="12" t="s">
        <v>133</v>
      </c>
      <c r="S6" s="0" t="s">
        <v>129</v>
      </c>
      <c r="T6" s="25" t="n">
        <v>0.07</v>
      </c>
    </row>
    <row r="7" customFormat="false" ht="15" hidden="false" customHeight="false" outlineLevel="0" collapsed="false">
      <c r="P7" s="0" t="s">
        <v>134</v>
      </c>
      <c r="Q7" s="24" t="s">
        <v>135</v>
      </c>
    </row>
    <row r="8" customFormat="false" ht="15" hidden="false" customHeight="false" outlineLevel="0" collapsed="false">
      <c r="P8" s="0" t="s">
        <v>136</v>
      </c>
      <c r="Q8" s="25" t="n">
        <v>0.63</v>
      </c>
    </row>
    <row r="9" customFormat="false" ht="15" hidden="false" customHeight="false" outlineLevel="0" collapsed="false">
      <c r="P9" s="0" t="s">
        <v>137</v>
      </c>
      <c r="Q9" s="25" t="n">
        <v>0.3</v>
      </c>
    </row>
    <row r="10" customFormat="false" ht="15" hidden="false" customHeight="false" outlineLevel="0" collapsed="false">
      <c r="P10" s="0" t="s">
        <v>138</v>
      </c>
      <c r="Q10" s="25" t="n">
        <v>0.07</v>
      </c>
    </row>
    <row r="18" customFormat="false" ht="15" hidden="false" customHeight="false" outlineLevel="0" collapsed="false">
      <c r="A18" s="8" t="s">
        <v>139</v>
      </c>
    </row>
    <row r="19" customFormat="false" ht="15" hidden="false" customHeight="false" outlineLevel="0" collapsed="false">
      <c r="A19" s="2" t="s">
        <v>140</v>
      </c>
      <c r="B19" s="2" t="s">
        <v>141</v>
      </c>
      <c r="C19" s="2" t="s">
        <v>48</v>
      </c>
      <c r="D19" s="2" t="s">
        <v>89</v>
      </c>
      <c r="E19" s="2" t="s">
        <v>90</v>
      </c>
    </row>
    <row r="20" customFormat="false" ht="15" hidden="false" customHeight="false" outlineLevel="0" collapsed="false">
      <c r="A20" s="0" t="s">
        <v>142</v>
      </c>
      <c r="B20" s="0" t="n">
        <f aca="false">COUNTIFS('RD Condos'!$H:$H,"1",'RD Condos'!$A:$A,1)</f>
        <v>622</v>
      </c>
      <c r="C20" s="5" t="n">
        <f aca="false">IFERROR(AVERAGEIFS('RD Condos'!$B:$B,'RD Condos'!$H:$H,"1",'RD Condos'!$A:$A,1),"")</f>
        <v>563.522508038585</v>
      </c>
      <c r="D20" s="5" t="n">
        <f aca="false">IFERROR(AVERAGEIFS('RD Condos'!$AB:$AB,'RD Condos'!$H:$H,"1",'RD Condos'!$A:$A,1),"")</f>
        <v>2385.16559485531</v>
      </c>
      <c r="E20" s="26" t="n">
        <f aca="false">IFERROR(AVERAGEIFS('RD Condos'!$AN:$AN,'RD Condos'!$H:$H,"1",'RD Condos'!$A:$A,1),"")</f>
        <v>4.26866431210877</v>
      </c>
    </row>
    <row r="21" customFormat="false" ht="15" hidden="false" customHeight="false" outlineLevel="0" collapsed="false">
      <c r="A21" s="0" t="s">
        <v>143</v>
      </c>
      <c r="B21" s="0" t="n">
        <f aca="false">COUNTIFS('RD Condos'!$H:$H,"2",'RD Condos'!$A:$A,1)</f>
        <v>371</v>
      </c>
      <c r="C21" s="5" t="n">
        <f aca="false">IFERROR(AVERAGEIFS('RD Condos'!$B:$B,'RD Condos'!$H:$H,"2",'RD Condos'!$A:$A,1),"")</f>
        <v>801.840970350404</v>
      </c>
      <c r="D21" s="5" t="n">
        <f aca="false">IFERROR(AVERAGEIFS('RD Condos'!$AB:$AB,'RD Condos'!$H:$H,"2",'RD Condos'!$A:$A,1),"")</f>
        <v>3391.53099730458</v>
      </c>
      <c r="E21" s="26" t="n">
        <f aca="false">IFERROR(AVERAGEIFS('RD Condos'!$AN:$AN,'RD Condos'!$H:$H,"2",'RD Condos'!$A:$A,1),"")</f>
        <v>4.23800945519112</v>
      </c>
    </row>
    <row r="22" customFormat="false" ht="15" hidden="false" customHeight="false" outlineLevel="0" collapsed="false">
      <c r="A22" s="0" t="s">
        <v>144</v>
      </c>
      <c r="B22" s="0" t="n">
        <f aca="false">COUNTIFS('RD Condos'!$H:$H,"3",'RD Condos'!$A:$A,1)</f>
        <v>74</v>
      </c>
      <c r="C22" s="5" t="n">
        <f aca="false">IFERROR(AVERAGEIFS('RD Condos'!$B:$B,'RD Condos'!$H:$H,"3",'RD Condos'!$A:$A,1),"")</f>
        <v>1109.41891891892</v>
      </c>
      <c r="D22" s="5" t="n">
        <f aca="false">IFERROR(AVERAGEIFS('RD Condos'!$AB:$AB,'RD Condos'!$H:$H,"3",'RD Condos'!$A:$A,1),"")</f>
        <v>4808.68918918919</v>
      </c>
      <c r="E22" s="26" t="n">
        <f aca="false">IFERROR(AVERAGEIFS('RD Condos'!$AN:$AN,'RD Condos'!$H:$H,"3",'RD Condos'!$A:$A,1),"")</f>
        <v>4.34718824891773</v>
      </c>
    </row>
    <row r="24" customFormat="false" ht="15" hidden="false" customHeight="false" outlineLevel="0" collapsed="false">
      <c r="A24" s="8" t="s">
        <v>145</v>
      </c>
    </row>
    <row r="25" customFormat="false" ht="15" hidden="false" customHeight="false" outlineLevel="0" collapsed="false">
      <c r="A25" s="2" t="s">
        <v>140</v>
      </c>
      <c r="B25" s="2" t="s">
        <v>141</v>
      </c>
      <c r="C25" s="2" t="s">
        <v>48</v>
      </c>
      <c r="D25" s="2" t="s">
        <v>89</v>
      </c>
      <c r="E25" s="2" t="s">
        <v>146</v>
      </c>
      <c r="F25" s="2" t="s">
        <v>147</v>
      </c>
    </row>
    <row r="26" customFormat="false" ht="15" hidden="false" customHeight="false" outlineLevel="0" collapsed="false">
      <c r="A26" s="0" t="s">
        <v>142</v>
      </c>
      <c r="B26" s="0" t="n">
        <f aca="false">COUNTIFS('RD Condos'!$K:$K,"Concord Canada House",'RD Condos'!$H:$H,"1",'RD Condos'!$A:$A,1)</f>
        <v>195</v>
      </c>
      <c r="C26" s="5" t="n">
        <f aca="false">IFERROR(AVERAGEIFS('RD Condos'!$B:$B,'RD Condos'!$K:$K,"Concord Canada House",'RD Condos'!$H:$H,"1",'RD Condos'!$A:$A,1),"")</f>
        <v>541.733333333333</v>
      </c>
      <c r="D26" s="5" t="n">
        <f aca="false">IFERROR(AVERAGEIFS('RD Condos'!$AB:$AB,'RD Condos'!$K:$K,"Concord Canada House",'RD Condos'!$H:$H,"1",'RD Condos'!$A:$A,1),"")</f>
        <v>2348.4358974359</v>
      </c>
      <c r="E26" s="26" t="n">
        <f aca="false">IFERROR(AVERAGEIFS('RD Condos'!$E:$E,'RD Condos'!$K:$K,"Concord Canada House",'RD Condos'!$H:$H,"1",'RD Condos'!$A:$A,1),"")</f>
        <v>4.359235930088</v>
      </c>
      <c r="F26" s="27" t="n">
        <f aca="false">IFERROR(D26*(1+$C$4),"")</f>
        <v>2483.85191141805</v>
      </c>
    </row>
    <row r="27" customFormat="false" ht="15" hidden="false" customHeight="false" outlineLevel="0" collapsed="false">
      <c r="A27" s="0" t="s">
        <v>143</v>
      </c>
      <c r="B27" s="0" t="n">
        <f aca="false">COUNTIFS('RD Condos'!$K:$K,"Concord Canada House",'RD Condos'!$H:$H,"2",'RD Condos'!$A:$A,1)</f>
        <v>74</v>
      </c>
      <c r="C27" s="5" t="n">
        <f aca="false">IFERROR(AVERAGEIFS('RD Condos'!$B:$B,'RD Condos'!$K:$K,"Concord Canada House",'RD Condos'!$H:$H,"2",'RD Condos'!$A:$A,1),"")</f>
        <v>783.135135135135</v>
      </c>
      <c r="D27" s="5" t="n">
        <f aca="false">IFERROR(AVERAGEIFS('RD Condos'!$AB:$AB,'RD Condos'!$K:$K,"Concord Canada House",'RD Condos'!$H:$H,"2",'RD Condos'!$A:$A,1),"")</f>
        <v>3246.62162162162</v>
      </c>
      <c r="E27" s="26" t="n">
        <f aca="false">IFERROR(AVERAGEIFS('RD Condos'!$E:$E,'RD Condos'!$K:$K,"Concord Canada House",'RD Condos'!$H:$H,"2",'RD Condos'!$A:$A,1),"")</f>
        <v>4.18364662222711</v>
      </c>
      <c r="F27" s="27" t="n">
        <f aca="false">IFERROR(D27*(1+$C$4),"")</f>
        <v>3433.82901331083</v>
      </c>
    </row>
    <row r="28" customFormat="false" ht="15" hidden="false" customHeight="false" outlineLevel="0" collapsed="false">
      <c r="A28" s="0" t="s">
        <v>144</v>
      </c>
      <c r="B28" s="0" t="n">
        <f aca="false">COUNTIFS('RD Condos'!$K:$K,"Concord Canada House",'RD Condos'!$H:$H,"3",'RD Condos'!$A:$A,1)</f>
        <v>15</v>
      </c>
      <c r="C28" s="5" t="n">
        <f aca="false">IFERROR(AVERAGEIFS('RD Condos'!$B:$B,'RD Condos'!$K:$K,"Concord Canada House",'RD Condos'!$H:$H,"3",'RD Condos'!$A:$A,1),"")</f>
        <v>1008</v>
      </c>
      <c r="D28" s="5" t="n">
        <f aca="false">IFERROR(AVERAGEIFS('RD Condos'!$AB:$AB,'RD Condos'!$K:$K,"Concord Canada House",'RD Condos'!$H:$H,"3",'RD Condos'!$A:$A,1),"")</f>
        <v>4193.33333333333</v>
      </c>
      <c r="E28" s="26" t="n">
        <f aca="false">IFERROR(AVERAGEIFS('RD Condos'!$E:$E,'RD Condos'!$K:$K,"Concord Canada House",'RD Condos'!$H:$H,"3",'RD Condos'!$A:$A,1),"")</f>
        <v>4.36475954384074</v>
      </c>
      <c r="F28" s="27" t="n">
        <f aca="false">IFERROR(D28*(1+$C$4),"")</f>
        <v>4435.13021862132</v>
      </c>
    </row>
    <row r="30" customFormat="false" ht="15" hidden="false" customHeight="false" outlineLevel="0" collapsed="false">
      <c r="A30" s="28" t="s">
        <v>148</v>
      </c>
    </row>
    <row r="31" customFormat="false" ht="15" hidden="false" customHeight="false" outlineLevel="0" collapsed="false">
      <c r="A31" s="0" t="s">
        <v>149</v>
      </c>
      <c r="C31" s="7" t="n">
        <f aca="false">E26*$H$2+E27*$H$3+E28*$H$4</f>
        <v>4.30694579069242</v>
      </c>
    </row>
    <row r="32" customFormat="false" ht="15" hidden="false" customHeight="false" outlineLevel="0" collapsed="false">
      <c r="A32" s="0" t="s">
        <v>150</v>
      </c>
      <c r="C32" s="7" t="n">
        <f aca="false">E20*$H$2+E21*$H$3+E22*$H$4</f>
        <v>4.2649645306101</v>
      </c>
    </row>
    <row r="33" customFormat="false" ht="15" hidden="false" customHeight="false" outlineLevel="0" collapsed="false">
      <c r="A33" s="0" t="s">
        <v>151</v>
      </c>
      <c r="C33" s="9" t="n">
        <f aca="false">C4</f>
        <v>0.0576622142976115</v>
      </c>
    </row>
    <row r="34" customFormat="false" ht="15" hidden="false" customHeight="false" outlineLevel="0" collapsed="false">
      <c r="A34" s="0" t="s">
        <v>152</v>
      </c>
      <c r="C34" s="29" t="n">
        <f aca="false">C31*(1+C4)</f>
        <v>4.55529382184352</v>
      </c>
    </row>
    <row r="35" customFormat="false" ht="15" hidden="false" customHeight="false" outlineLevel="0" collapsed="false">
      <c r="A35" s="0" t="s">
        <v>153</v>
      </c>
      <c r="C35" s="7" t="n">
        <f aca="false">C32*(1+C4)</f>
        <v>4.51089182934585</v>
      </c>
    </row>
    <row r="36" customFormat="false" ht="15" hidden="false" customHeight="false" outlineLevel="0" collapsed="false">
      <c r="A36" s="0" t="s">
        <v>154</v>
      </c>
      <c r="C36" s="24" t="n">
        <v>4.78</v>
      </c>
    </row>
    <row r="37" customFormat="false" ht="15" hidden="false" customHeight="false" outlineLevel="0" collapsed="false">
      <c r="A37" s="0" t="s">
        <v>155</v>
      </c>
      <c r="C37" s="9" t="n">
        <f aca="false">IFERROR(C34/C36-1,"")</f>
        <v>-0.0470096607021919</v>
      </c>
    </row>
    <row r="56" customFormat="false" ht="15" hidden="false" customHeight="false" outlineLevel="0" collapsed="false">
      <c r="A56" s="8" t="s">
        <v>156</v>
      </c>
    </row>
    <row r="57" customFormat="false" ht="15" hidden="false" customHeight="false" outlineLevel="0" collapsed="false">
      <c r="A57" s="8" t="s">
        <v>157</v>
      </c>
      <c r="C57" s="8" t="s">
        <v>146</v>
      </c>
    </row>
    <row r="58" customFormat="false" ht="15" hidden="false" customHeight="false" outlineLevel="0" collapsed="false">
      <c r="A58" s="0" t="s">
        <v>158</v>
      </c>
      <c r="C58" s="14" t="n">
        <f aca="false">IFERROR(AVERAGEIFS('RD Condos'!$E:$E,'RD Condos'!$K:$K,"Concord Canada House",'RD Condos'!$A:$A,1),"")</f>
        <v>4.31377552665344</v>
      </c>
    </row>
    <row r="59" customFormat="false" ht="15" hidden="false" customHeight="false" outlineLevel="0" collapsed="false">
      <c r="A59" s="0" t="s">
        <v>159</v>
      </c>
      <c r="C59" s="14" t="n">
        <f aca="false">IFERROR(AVERAGEIFS('RD Condos'!$AN:$AN,'RD Condos'!$A:$A,1),"")</f>
        <v>4.26410619811217</v>
      </c>
    </row>
    <row r="60" customFormat="false" ht="15" hidden="false" customHeight="false" outlineLevel="0" collapsed="false">
      <c r="A60" s="0" t="s">
        <v>160</v>
      </c>
      <c r="C60" s="14" t="n">
        <f aca="false">IFERROR(AVERAGEIFS('RD Condos'!$E:$E,'RD Condos'!$K:$K,"Aqua",'RD Condos'!$A:$A,1),"")</f>
        <v>3.90855177244009</v>
      </c>
    </row>
    <row r="61" customFormat="false" ht="15" hidden="false" customHeight="false" outlineLevel="0" collapsed="false">
      <c r="A61" s="0" t="s">
        <v>161</v>
      </c>
      <c r="C61" s="9" t="n">
        <f aca="false">IFERROR(C58/C59-1,"")</f>
        <v>0.0116482390994994</v>
      </c>
    </row>
    <row r="62" customFormat="false" ht="15" hidden="false" customHeight="false" outlineLevel="0" collapsed="false">
      <c r="A62" s="0" t="s">
        <v>162</v>
      </c>
      <c r="C62" s="9" t="n">
        <f aca="false">IFERROR(C58/C60-1,"")</f>
        <v>0.103676189495724</v>
      </c>
    </row>
    <row r="63" customFormat="false" ht="15" hidden="false" customHeight="false" outlineLevel="0" collapsed="false">
      <c r="A63" s="0" t="s">
        <v>163</v>
      </c>
      <c r="C63" s="9" t="n">
        <f aca="false">C4</f>
        <v>0.0576622142976115</v>
      </c>
    </row>
    <row r="65" customFormat="false" ht="15" hidden="false" customHeight="false" outlineLevel="0" collapsed="false">
      <c r="A65" s="8" t="s">
        <v>164</v>
      </c>
    </row>
    <row r="66" customFormat="false" ht="15" hidden="false" customHeight="false" outlineLevel="0" collapsed="false">
      <c r="A66" s="8" t="s">
        <v>165</v>
      </c>
      <c r="B66" s="8" t="s">
        <v>166</v>
      </c>
      <c r="C66" s="8" t="s">
        <v>167</v>
      </c>
      <c r="D66" s="8" t="s">
        <v>168</v>
      </c>
    </row>
    <row r="67" customFormat="false" ht="15" hidden="false" customHeight="false" outlineLevel="0" collapsed="false">
      <c r="A67" s="0" t="s">
        <v>169</v>
      </c>
      <c r="B67" s="0" t="n">
        <f aca="false">COUNTIFS('RD Condos'!$H:$H,"1",'RD Condos'!$A:$A,1)</f>
        <v>622</v>
      </c>
      <c r="C67" s="9" t="n">
        <f aca="false">IFERROR(B67/$B$70,"")</f>
        <v>0.582942830365511</v>
      </c>
      <c r="D67" s="9" t="n">
        <f aca="false">H2</f>
        <v>0.63</v>
      </c>
    </row>
    <row r="68" customFormat="false" ht="15" hidden="false" customHeight="false" outlineLevel="0" collapsed="false">
      <c r="A68" s="0" t="s">
        <v>170</v>
      </c>
      <c r="B68" s="0" t="n">
        <f aca="false">COUNTIFS('RD Condos'!$H:$H,"2",'RD Condos'!$A:$A,1)</f>
        <v>371</v>
      </c>
      <c r="C68" s="9" t="n">
        <f aca="false">IFERROR(B68/$B$70,"")</f>
        <v>0.347703842549203</v>
      </c>
      <c r="D68" s="9" t="n">
        <f aca="false">H3</f>
        <v>0.3</v>
      </c>
    </row>
    <row r="69" customFormat="false" ht="15" hidden="false" customHeight="false" outlineLevel="0" collapsed="false">
      <c r="A69" s="0" t="s">
        <v>171</v>
      </c>
      <c r="B69" s="0" t="n">
        <f aca="false">COUNTIFS('RD Condos'!$H:$H,"3",'RD Condos'!$A:$A,1)</f>
        <v>74</v>
      </c>
      <c r="C69" s="9" t="n">
        <f aca="false">IFERROR(B69/$B$70,"")</f>
        <v>0.0693533270852859</v>
      </c>
      <c r="D69" s="9" t="n">
        <f aca="false">H4</f>
        <v>0.07</v>
      </c>
    </row>
    <row r="70" customFormat="false" ht="15" hidden="false" customHeight="false" outlineLevel="0" collapsed="false">
      <c r="A70" s="0" t="s">
        <v>172</v>
      </c>
      <c r="B70" s="0" t="n">
        <f aca="false">B67+B68+B69</f>
        <v>1067</v>
      </c>
    </row>
    <row r="71" customFormat="false" ht="15" hidden="false" customHeight="false" outlineLevel="0" collapsed="false">
      <c r="A71" s="0" t="s">
        <v>173</v>
      </c>
      <c r="B71" s="0" t="n">
        <f aca="false">COUNTIFS('RD Condos'!$Q:$Q,"1+1",'RD Condos'!$A:$A,1)</f>
        <v>235</v>
      </c>
      <c r="C71" s="9" t="n">
        <f aca="false">IFERROR(B71/$B$70,"")</f>
        <v>0.220243673851921</v>
      </c>
      <c r="D71" s="9" t="n">
        <f aca="false">T4</f>
        <v>0.18</v>
      </c>
    </row>
    <row r="74" customFormat="false" ht="15" hidden="false" customHeight="false" outlineLevel="0" collapsed="false">
      <c r="A74" s="8" t="s">
        <v>174</v>
      </c>
    </row>
    <row r="75" customFormat="false" ht="15" hidden="false" customHeight="false" outlineLevel="0" collapsed="false">
      <c r="A75" s="12" t="s">
        <v>175</v>
      </c>
    </row>
    <row r="78" customFormat="false" ht="15" hidden="false" customHeight="false" outlineLevel="0" collapsed="false">
      <c r="A78" s="8" t="s">
        <v>176</v>
      </c>
    </row>
    <row r="79" customFormat="false" ht="15" hidden="false" customHeight="false" outlineLevel="0" collapsed="false">
      <c r="A79" s="2" t="s">
        <v>1</v>
      </c>
      <c r="B79" s="2" t="s">
        <v>82</v>
      </c>
      <c r="C79" s="2" t="s">
        <v>177</v>
      </c>
      <c r="D79" s="2" t="s">
        <v>141</v>
      </c>
      <c r="E79" s="2" t="s">
        <v>48</v>
      </c>
      <c r="F79" s="2" t="s">
        <v>89</v>
      </c>
      <c r="G79" s="2" t="s">
        <v>90</v>
      </c>
    </row>
    <row r="80" customFormat="false" ht="15" hidden="false" customHeight="false" outlineLevel="0" collapsed="false">
      <c r="A80" s="0" t="s">
        <v>10</v>
      </c>
      <c r="B80" s="0" t="s">
        <v>91</v>
      </c>
      <c r="C80" s="0" t="s">
        <v>178</v>
      </c>
      <c r="D80" s="0" t="n">
        <f aca="false">COUNTIFS('RD Condos'!$K:$K,$A80,'RD Condos'!$A:$A,1)</f>
        <v>284</v>
      </c>
      <c r="E80" s="5" t="n">
        <f aca="false">IFERROR(AVERAGEIFS('RD Condos'!$B:$B,'RD Condos'!$K:$K,$A80,'RD Condos'!$A:$A,1),"")</f>
        <v>629.260563380282</v>
      </c>
      <c r="F80" s="5" t="n">
        <f aca="false">IFERROR(AVERAGEIFS('RD Condos'!$AB:$AB,'RD Condos'!$K:$K,$A80,'RD Condos'!$A:$A,1),"")</f>
        <v>2679.91197183099</v>
      </c>
      <c r="G80" s="26" t="n">
        <f aca="false">IFERROR(AVERAGEIFS('RD Condos'!$E:$E,'RD Condos'!$K:$K,$A80,'RD Condos'!$A:$A,1),"")</f>
        <v>4.31377552665344</v>
      </c>
    </row>
    <row r="81" customFormat="false" ht="15" hidden="false" customHeight="false" outlineLevel="0" collapsed="false">
      <c r="A81" s="0" t="s">
        <v>11</v>
      </c>
      <c r="B81" s="0" t="s">
        <v>95</v>
      </c>
      <c r="C81" s="0" t="s">
        <v>179</v>
      </c>
      <c r="D81" s="0" t="n">
        <f aca="false">COUNTIFS('RD Condos'!$K:$K,$A81,'RD Condos'!$A:$A,1)</f>
        <v>209</v>
      </c>
      <c r="E81" s="5" t="n">
        <f aca="false">IFERROR(AVERAGEIFS('RD Condos'!$B:$B,'RD Condos'!$K:$K,$A81,'RD Condos'!$A:$A,1),"")</f>
        <v>720.842105263158</v>
      </c>
      <c r="F81" s="5" t="n">
        <f aca="false">IFERROR(AVERAGEIFS('RD Condos'!$AB:$AB,'RD Condos'!$K:$K,$A81,'RD Condos'!$A:$A,1),"")</f>
        <v>3128.66985645933</v>
      </c>
      <c r="G81" s="26" t="n">
        <f aca="false">IFERROR(AVERAGEIFS('RD Condos'!$E:$E,'RD Condos'!$K:$K,$A81,'RD Condos'!$A:$A,1),"")</f>
        <v>4.36904157151268</v>
      </c>
    </row>
    <row r="82" customFormat="false" ht="15" hidden="false" customHeight="false" outlineLevel="0" collapsed="false">
      <c r="A82" s="0" t="s">
        <v>12</v>
      </c>
      <c r="B82" s="0" t="s">
        <v>98</v>
      </c>
      <c r="C82" s="0" t="s">
        <v>179</v>
      </c>
      <c r="D82" s="0" t="n">
        <f aca="false">COUNTIFS('RD Condos'!$K:$K,$A82,'RD Condos'!$A:$A,1)</f>
        <v>56</v>
      </c>
      <c r="E82" s="5" t="n">
        <f aca="false">IFERROR(AVERAGEIFS('RD Condos'!$B:$B,'RD Condos'!$K:$K,$A82,'RD Condos'!$A:$A,1),"")</f>
        <v>948.607142857143</v>
      </c>
      <c r="F82" s="5" t="n">
        <f aca="false">IFERROR(AVERAGEIFS('RD Condos'!$AB:$AB,'RD Condos'!$K:$K,$A82,'RD Condos'!$A:$A,1),"")</f>
        <v>4351.94642857143</v>
      </c>
      <c r="G82" s="26" t="n">
        <f aca="false">IFERROR(AVERAGEIFS('RD Condos'!$E:$E,'RD Condos'!$K:$K,$A82,'RD Condos'!$A:$A,1),"")</f>
        <v>4.47631579237932</v>
      </c>
    </row>
    <row r="83" customFormat="false" ht="15" hidden="false" customHeight="false" outlineLevel="0" collapsed="false">
      <c r="A83" s="0" t="s">
        <v>13</v>
      </c>
      <c r="B83" s="0" t="s">
        <v>101</v>
      </c>
      <c r="C83" s="0" t="s">
        <v>180</v>
      </c>
      <c r="D83" s="0" t="n">
        <f aca="false">COUNTIFS('RD Condos'!$K:$K,$A83,'RD Condos'!$A:$A,1)</f>
        <v>168</v>
      </c>
      <c r="E83" s="5" t="n">
        <f aca="false">IFERROR(AVERAGEIFS('RD Condos'!$B:$B,'RD Condos'!$K:$K,$A83,'RD Condos'!$A:$A,1),"")</f>
        <v>717.404761904762</v>
      </c>
      <c r="F83" s="5" t="n">
        <f aca="false">IFERROR(AVERAGEIFS('RD Condos'!$AB:$AB,'RD Condos'!$K:$K,$A83,'RD Condos'!$A:$A,1),"")</f>
        <v>2964.75595238095</v>
      </c>
      <c r="G83" s="26" t="n">
        <f aca="false">IFERROR(AVERAGEIFS('RD Condos'!$E:$E,'RD Condos'!$K:$K,$A83,'RD Condos'!$A:$A,1),"")</f>
        <v>4.0902089370437</v>
      </c>
    </row>
    <row r="84" customFormat="false" ht="15" hidden="false" customHeight="false" outlineLevel="0" collapsed="false">
      <c r="A84" s="0" t="s">
        <v>14</v>
      </c>
      <c r="B84" s="0" t="s">
        <v>104</v>
      </c>
      <c r="C84" s="0" t="s">
        <v>181</v>
      </c>
      <c r="D84" s="0" t="n">
        <f aca="false">COUNTIFS('RD Condos'!$K:$K,$A84,'RD Condos'!$A:$A,1)</f>
        <v>153</v>
      </c>
      <c r="E84" s="5" t="n">
        <f aca="false">IFERROR(AVERAGEIFS('RD Condos'!$B:$B,'RD Condos'!$K:$K,$A84,'RD Condos'!$A:$A,1),"")</f>
        <v>643.803921568627</v>
      </c>
      <c r="F84" s="5" t="n">
        <f aca="false">IFERROR(AVERAGEIFS('RD Condos'!$AB:$AB,'RD Condos'!$K:$K,$A84,'RD Condos'!$A:$A,1),"")</f>
        <v>2743.16993464052</v>
      </c>
      <c r="G84" s="26" t="n">
        <f aca="false">IFERROR(AVERAGEIFS('RD Condos'!$E:$E,'RD Condos'!$K:$K,$A84,'RD Condos'!$A:$A,1),"")</f>
        <v>4.30316699825574</v>
      </c>
    </row>
    <row r="85" customFormat="false" ht="15" hidden="false" customHeight="false" outlineLevel="0" collapsed="false">
      <c r="A85" s="0" t="s">
        <v>15</v>
      </c>
      <c r="B85" s="0" t="s">
        <v>105</v>
      </c>
      <c r="C85" s="0" t="s">
        <v>182</v>
      </c>
      <c r="D85" s="0" t="n">
        <f aca="false">COUNTIFS('RD Condos'!$K:$K,$A85,'RD Condos'!$A:$A,1)</f>
        <v>0</v>
      </c>
      <c r="E85" s="5" t="str">
        <f aca="false">IFERROR(AVERAGEIFS('RD Condos'!$B:$B,'RD Condos'!$K:$K,$A85,'RD Condos'!$A:$A,1),"")</f>
        <v/>
      </c>
      <c r="F85" s="5" t="str">
        <f aca="false">IFERROR(AVERAGEIFS('RD Condos'!$AB:$AB,'RD Condos'!$K:$K,$A85,'RD Condos'!$A:$A,1),"")</f>
        <v/>
      </c>
      <c r="G85" s="26" t="str">
        <f aca="false">IFERROR(AVERAGEIFS('RD Condos'!$E:$E,'RD Condos'!$K:$K,$A85,'RD Condos'!$A:$A,1),"")</f>
        <v/>
      </c>
    </row>
    <row r="86" customFormat="false" ht="15" hidden="false" customHeight="false" outlineLevel="0" collapsed="false">
      <c r="A86" s="0" t="s">
        <v>16</v>
      </c>
      <c r="B86" s="0" t="s">
        <v>106</v>
      </c>
      <c r="C86" s="0" t="s">
        <v>183</v>
      </c>
      <c r="D86" s="0" t="n">
        <f aca="false">COUNTIFS('RD Condos'!$K:$K,$A86,'RD Condos'!$A:$A,1)</f>
        <v>68</v>
      </c>
      <c r="E86" s="5" t="n">
        <f aca="false">IFERROR(AVERAGEIFS('RD Condos'!$B:$B,'RD Condos'!$K:$K,$A86,'RD Condos'!$A:$A,1),"")</f>
        <v>541.588235294118</v>
      </c>
      <c r="F86" s="5" t="n">
        <f aca="false">IFERROR(AVERAGEIFS('RD Condos'!$AB:$AB,'RD Condos'!$K:$K,$A86,'RD Condos'!$A:$A,1),"")</f>
        <v>2329.48529411765</v>
      </c>
      <c r="G86" s="26" t="n">
        <f aca="false">IFERROR(AVERAGEIFS('RD Condos'!$E:$E,'RD Condos'!$K:$K,$A86,'RD Condos'!$A:$A,1),"")</f>
        <v>4.37476151598443</v>
      </c>
    </row>
    <row r="87" customFormat="false" ht="15" hidden="false" customHeight="false" outlineLevel="0" collapsed="false">
      <c r="A87" s="0" t="s">
        <v>17</v>
      </c>
      <c r="B87" s="0" t="s">
        <v>107</v>
      </c>
      <c r="C87" s="0" t="s">
        <v>184</v>
      </c>
      <c r="D87" s="0" t="n">
        <f aca="false">COUNTIFS('RD Condos'!$K:$K,$A87,'RD Condos'!$A:$A,1)</f>
        <v>99</v>
      </c>
      <c r="E87" s="5" t="n">
        <f aca="false">IFERROR(AVERAGEIFS('RD Condos'!$B:$B,'RD Condos'!$K:$K,$A87,'RD Condos'!$A:$A,1),"")</f>
        <v>711.222222222222</v>
      </c>
      <c r="F87" s="5" t="n">
        <f aca="false">IFERROR(AVERAGEIFS('RD Condos'!$AB:$AB,'RD Condos'!$K:$K,$A87,'RD Condos'!$A:$A,1),"")</f>
        <v>2839.48484848485</v>
      </c>
      <c r="G87" s="26" t="n">
        <f aca="false">IFERROR(AVERAGEIFS('RD Condos'!$E:$E,'RD Condos'!$K:$K,$A87,'RD Condos'!$A:$A,1),"")</f>
        <v>4.05011370712904</v>
      </c>
    </row>
    <row r="88" customFormat="false" ht="15" hidden="false" customHeight="false" outlineLevel="0" collapsed="false">
      <c r="A88" s="0" t="s">
        <v>18</v>
      </c>
      <c r="B88" s="0" t="s">
        <v>108</v>
      </c>
      <c r="C88" s="0" t="s">
        <v>185</v>
      </c>
      <c r="D88" s="0" t="n">
        <f aca="false">COUNTIFS('RD Condos'!$K:$K,$A88,'RD Condos'!$A:$A,1)</f>
        <v>31</v>
      </c>
      <c r="E88" s="5" t="n">
        <f aca="false">IFERROR(AVERAGEIFS('RD Condos'!$B:$B,'RD Condos'!$K:$K,$A88,'RD Condos'!$A:$A,1),"")</f>
        <v>701.322580645161</v>
      </c>
      <c r="F88" s="5" t="n">
        <f aca="false">IFERROR(AVERAGEIFS('RD Condos'!$AB:$AB,'RD Condos'!$K:$K,$A88,'RD Condos'!$A:$A,1),"")</f>
        <v>2699.35483870968</v>
      </c>
      <c r="G88" s="26" t="n">
        <f aca="false">IFERROR(AVERAGEIFS('RD Condos'!$E:$E,'RD Condos'!$K:$K,$A88,'RD Condos'!$A:$A,1),"")</f>
        <v>3.90855177244009</v>
      </c>
    </row>
    <row r="89" customFormat="false" ht="15" hidden="false" customHeight="false" outlineLevel="0" collapsed="false">
      <c r="A89" s="19" t="s">
        <v>186</v>
      </c>
      <c r="D89" s="19" t="n">
        <f aca="false">SUM(D80:D88)</f>
        <v>1068</v>
      </c>
      <c r="E89" s="20" t="n">
        <f aca="false">IFERROR(AVERAGEIFS('RD Condos'!$B:$B,'RD Condos'!$A:$A,1),"")</f>
        <v>683.983146067416</v>
      </c>
      <c r="F89" s="20" t="n">
        <f aca="false">IFERROR(AVERAGEIFS('RD Condos'!$AB:$AB,'RD Condos'!$A:$A,1),"")</f>
        <v>2902.31647940075</v>
      </c>
      <c r="G89" s="21" t="n">
        <f aca="false">IFERROR(AVERAGEIFS('RD Condos'!$AN:$AN,'RD Condos'!$A:$A,1),"")</f>
        <v>4.26410619811217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1"/>
    <col collapsed="false" customWidth="true" hidden="false" outlineLevel="0" max="11" min="11" style="0" width="21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7"/>
    <col collapsed="false" customWidth="true" hidden="false" outlineLevel="0" max="16" min="16" style="0" width="13"/>
    <col collapsed="false" customWidth="true" hidden="false" outlineLevel="0" max="18" min="17" style="0" width="6"/>
    <col collapsed="false" customWidth="true" hidden="false" outlineLevel="0" max="19" min="19" style="0" width="17"/>
    <col collapsed="false" customWidth="true" hidden="false" outlineLevel="0" max="20" min="20" style="0" width="15"/>
    <col collapsed="false" customWidth="true" hidden="false" outlineLevel="0" max="21" min="21" style="0" width="10"/>
    <col collapsed="false" customWidth="true" hidden="false" outlineLevel="0" max="22" min="22" style="0" width="17"/>
    <col collapsed="false" customWidth="true" hidden="false" outlineLevel="0" max="23" min="23" style="0" width="8"/>
    <col collapsed="false" customWidth="true" hidden="false" outlineLevel="0" max="24" min="24" style="0" width="15"/>
    <col collapsed="false" customWidth="true" hidden="false" outlineLevel="0" max="25" min="25" style="0" width="9"/>
    <col collapsed="false" customWidth="true" hidden="false" outlineLevel="0" max="26" min="26" style="0" width="20"/>
    <col collapsed="false" customWidth="true" hidden="false" outlineLevel="0" max="27" min="27" style="0" width="44"/>
    <col collapsed="false" customWidth="true" hidden="false" outlineLevel="0" max="29" min="28" style="0" width="16"/>
    <col collapsed="false" customWidth="true" hidden="false" outlineLevel="0" max="30" min="30" style="0" width="17"/>
    <col collapsed="false" customWidth="true" hidden="false" outlineLevel="0" max="31" min="31" style="0" width="14"/>
    <col collapsed="false" customWidth="true" hidden="false" outlineLevel="0" max="32" min="32" style="0" width="10"/>
    <col collapsed="false" customWidth="true" hidden="false" outlineLevel="0" max="34" min="33" style="0" width="15"/>
    <col collapsed="false" customWidth="true" hidden="false" outlineLevel="0" max="35" min="35" style="0" width="11"/>
    <col collapsed="false" customWidth="true" hidden="false" outlineLevel="0" max="36" min="36" style="0" width="10"/>
    <col collapsed="false" customWidth="true" hidden="false" outlineLevel="0" max="38" min="37" style="0" width="100"/>
    <col collapsed="false" customWidth="true" hidden="false" outlineLevel="0" max="39" min="39" style="0" width="13"/>
    <col collapsed="false" customWidth="true" hidden="false" outlineLevel="0" max="40" min="40" style="0" width="19"/>
    <col collapsed="false" customWidth="true" hidden="false" outlineLevel="0" max="41" min="41" style="0" width="13"/>
  </cols>
  <sheetData>
    <row r="1" customFormat="false" ht="15" hidden="false" customHeight="false" outlineLevel="0" collapsed="false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  <c r="K1" s="2" t="s">
        <v>197</v>
      </c>
      <c r="L1" s="2" t="s">
        <v>198</v>
      </c>
      <c r="M1" s="2" t="s">
        <v>199</v>
      </c>
      <c r="N1" s="2" t="s">
        <v>84</v>
      </c>
      <c r="O1" s="2" t="s">
        <v>200</v>
      </c>
      <c r="P1" s="2" t="s">
        <v>201</v>
      </c>
      <c r="Q1" s="2" t="s">
        <v>140</v>
      </c>
      <c r="R1" s="2" t="s">
        <v>202</v>
      </c>
      <c r="S1" s="2" t="s">
        <v>203</v>
      </c>
      <c r="T1" s="2" t="s">
        <v>204</v>
      </c>
      <c r="U1" s="2" t="s">
        <v>205</v>
      </c>
      <c r="V1" s="2" t="s">
        <v>206</v>
      </c>
      <c r="W1" s="2" t="s">
        <v>207</v>
      </c>
      <c r="X1" s="2" t="s">
        <v>208</v>
      </c>
      <c r="Y1" s="2" t="s">
        <v>209</v>
      </c>
      <c r="Z1" s="2" t="s">
        <v>210</v>
      </c>
      <c r="AA1" s="2" t="s">
        <v>211</v>
      </c>
      <c r="AB1" s="2" t="s">
        <v>212</v>
      </c>
      <c r="AC1" s="2" t="s">
        <v>213</v>
      </c>
      <c r="AD1" s="2" t="s">
        <v>214</v>
      </c>
      <c r="AE1" s="2" t="s">
        <v>215</v>
      </c>
      <c r="AF1" s="2" t="s">
        <v>216</v>
      </c>
      <c r="AG1" s="2" t="s">
        <v>217</v>
      </c>
      <c r="AH1" s="2" t="s">
        <v>218</v>
      </c>
      <c r="AI1" s="2" t="s">
        <v>219</v>
      </c>
      <c r="AJ1" s="2" t="s">
        <v>220</v>
      </c>
      <c r="AK1" s="2" t="s">
        <v>221</v>
      </c>
      <c r="AL1" s="2" t="s">
        <v>222</v>
      </c>
      <c r="AM1" s="2" t="s">
        <v>223</v>
      </c>
      <c r="AN1" s="2" t="s">
        <v>224</v>
      </c>
      <c r="AO1" s="2" t="s">
        <v>225</v>
      </c>
    </row>
    <row r="2" customFormat="false" ht="15" hidden="false" customHeight="false" outlineLevel="0" collapsed="false">
      <c r="A2" s="0" t="n">
        <f aca="false">IF(AND(ISNUMBER(B2),B2&gt;0,ISNUMBER(AB2),AB2&gt;0,J2&gt;=Data_Summary!$C$1),1,0)</f>
        <v>1</v>
      </c>
      <c r="B2" s="30" t="n">
        <v>888</v>
      </c>
      <c r="C2" s="5" t="n">
        <f aca="false">IF(ISNUMBER(AB2),AB2,"")</f>
        <v>3750</v>
      </c>
      <c r="D2" s="0" t="n">
        <f aca="false">IF(ISNUMBER(C2),C2-U2*Data_Summary!$C$2,"")</f>
        <v>3600</v>
      </c>
      <c r="E2" s="31" t="n">
        <f aca="false">IFERROR(C2/B2,"")</f>
        <v>4.22297297297297</v>
      </c>
      <c r="F2" s="26" t="n">
        <f aca="false">IFERROR(D2/B2,"")</f>
        <v>4.05405405405405</v>
      </c>
      <c r="G2" s="0" t="str">
        <f aca="false">Q2</f>
        <v>3</v>
      </c>
      <c r="H2" s="0" t="str">
        <f aca="false">IFERROR(LEFT(G2,1),"")</f>
        <v>3</v>
      </c>
      <c r="I2" s="0" t="n">
        <f aca="false">IF(LEN(G2)&gt;1,1,0)</f>
        <v>0</v>
      </c>
      <c r="J2" s="4" t="n">
        <v>46191</v>
      </c>
      <c r="K2" s="0" t="s">
        <v>10</v>
      </c>
      <c r="L2" s="0" t="s">
        <v>91</v>
      </c>
      <c r="M2" s="0" t="s">
        <v>226</v>
      </c>
      <c r="N2" s="0" t="s">
        <v>93</v>
      </c>
      <c r="O2" s="0" t="s">
        <v>227</v>
      </c>
      <c r="Q2" s="0" t="s">
        <v>228</v>
      </c>
      <c r="R2" s="0" t="n">
        <v>2</v>
      </c>
      <c r="S2" s="5" t="n">
        <v>888</v>
      </c>
      <c r="T2" s="0" t="s">
        <v>229</v>
      </c>
      <c r="U2" s="0" t="n">
        <v>1</v>
      </c>
      <c r="V2" s="0" t="s">
        <v>230</v>
      </c>
      <c r="W2" s="0" t="s">
        <v>231</v>
      </c>
      <c r="X2" s="0" t="s">
        <v>232</v>
      </c>
      <c r="Y2" s="0" t="s">
        <v>233</v>
      </c>
      <c r="Z2" s="0" t="s">
        <v>234</v>
      </c>
      <c r="AA2" s="0" t="s">
        <v>235</v>
      </c>
      <c r="AB2" s="32" t="n">
        <v>3750</v>
      </c>
      <c r="AC2" s="32" t="n">
        <v>3950</v>
      </c>
      <c r="AD2" s="26" t="n">
        <f aca="false">IFERROR(AB2/B2,"")</f>
        <v>4.22297297297297</v>
      </c>
      <c r="AE2" s="26" t="n">
        <f aca="false">IFERROR(AC2/B2,"")</f>
        <v>4.4481981981982</v>
      </c>
      <c r="AF2" s="0" t="s">
        <v>236</v>
      </c>
      <c r="AG2" s="0" t="s">
        <v>236</v>
      </c>
      <c r="AH2" s="0" t="s">
        <v>230</v>
      </c>
      <c r="AI2" s="0" t="s">
        <v>237</v>
      </c>
      <c r="AJ2" s="0" t="s">
        <v>238</v>
      </c>
      <c r="AK2" s="0" t="s">
        <v>239</v>
      </c>
      <c r="AL2" s="0" t="s">
        <v>240</v>
      </c>
      <c r="AM2" s="0" t="s">
        <v>94</v>
      </c>
      <c r="AN2" s="26" t="n">
        <f aca="false">IFERROR(E2*(1+IF(AM2="Apartment",Data_Summary!$C$3,0)),"")</f>
        <v>4.22297297297297</v>
      </c>
      <c r="AO2" s="4" t="n">
        <v>46195</v>
      </c>
    </row>
    <row r="3" customFormat="false" ht="15" hidden="false" customHeight="false" outlineLevel="0" collapsed="false">
      <c r="A3" s="0" t="n">
        <f aca="false">IF(AND(ISNUMBER(B3),B3&gt;0,ISNUMBER(AB3),AB3&gt;0,J3&gt;=Data_Summary!$C$1),1,0)</f>
        <v>1</v>
      </c>
      <c r="B3" s="30" t="n">
        <v>505</v>
      </c>
      <c r="C3" s="5" t="n">
        <f aca="false">IF(ISNUMBER(AB3),AB3,"")</f>
        <v>2300</v>
      </c>
      <c r="D3" s="0" t="n">
        <f aca="false">IF(ISNUMBER(C3),C3-U3*Data_Summary!$C$2,"")</f>
        <v>2300</v>
      </c>
      <c r="E3" s="31" t="n">
        <f aca="false">IFERROR(C3/B3,"")</f>
        <v>4.55445544554455</v>
      </c>
      <c r="F3" s="26" t="n">
        <f aca="false">IFERROR(D3/B3,"")</f>
        <v>4.55445544554455</v>
      </c>
      <c r="G3" s="0" t="str">
        <f aca="false">Q3</f>
        <v>1</v>
      </c>
      <c r="H3" s="0" t="str">
        <f aca="false">IFERROR(LEFT(G3,1),"")</f>
        <v>1</v>
      </c>
      <c r="I3" s="0" t="n">
        <f aca="false">IF(LEN(G3)&gt;1,1,0)</f>
        <v>0</v>
      </c>
      <c r="J3" s="4" t="n">
        <v>46190</v>
      </c>
      <c r="K3" s="0" t="s">
        <v>10</v>
      </c>
      <c r="L3" s="0" t="s">
        <v>91</v>
      </c>
      <c r="M3" s="0" t="s">
        <v>226</v>
      </c>
      <c r="N3" s="0" t="s">
        <v>93</v>
      </c>
      <c r="O3" s="0" t="s">
        <v>241</v>
      </c>
      <c r="Q3" s="0" t="s">
        <v>242</v>
      </c>
      <c r="R3" s="0" t="n">
        <v>1</v>
      </c>
      <c r="S3" s="5" t="n">
        <v>505</v>
      </c>
      <c r="T3" s="0" t="s">
        <v>243</v>
      </c>
      <c r="U3" s="0" t="n">
        <v>0</v>
      </c>
      <c r="V3" s="0" t="s">
        <v>230</v>
      </c>
      <c r="W3" s="0" t="s">
        <v>244</v>
      </c>
      <c r="X3" s="0" t="s">
        <v>232</v>
      </c>
      <c r="Y3" s="0" t="s">
        <v>245</v>
      </c>
      <c r="Z3" s="0" t="s">
        <v>234</v>
      </c>
      <c r="AA3" s="0" t="s">
        <v>235</v>
      </c>
      <c r="AB3" s="32" t="n">
        <v>2300</v>
      </c>
      <c r="AC3" s="32" t="n">
        <v>2300</v>
      </c>
      <c r="AD3" s="26" t="n">
        <f aca="false">IFERROR(AB3/B3,"")</f>
        <v>4.55445544554455</v>
      </c>
      <c r="AE3" s="26" t="n">
        <f aca="false">IFERROR(AC3/B3,"")</f>
        <v>4.55445544554455</v>
      </c>
      <c r="AF3" s="0" t="s">
        <v>236</v>
      </c>
      <c r="AG3" s="0" t="s">
        <v>236</v>
      </c>
      <c r="AH3" s="0" t="s">
        <v>230</v>
      </c>
      <c r="AI3" s="0" t="s">
        <v>246</v>
      </c>
      <c r="AJ3" s="0" t="s">
        <v>247</v>
      </c>
      <c r="AK3" s="0" t="s">
        <v>248</v>
      </c>
      <c r="AL3" s="0" t="s">
        <v>249</v>
      </c>
      <c r="AM3" s="0" t="s">
        <v>94</v>
      </c>
      <c r="AN3" s="26" t="n">
        <f aca="false">IFERROR(E3*(1+IF(AM3="Apartment",Data_Summary!$C$3,0)),"")</f>
        <v>4.55445544554455</v>
      </c>
      <c r="AO3" s="4" t="n">
        <v>46195</v>
      </c>
    </row>
    <row r="4" customFormat="false" ht="15" hidden="false" customHeight="false" outlineLevel="0" collapsed="false">
      <c r="A4" s="0" t="n">
        <f aca="false">IF(AND(ISNUMBER(B4),B4&gt;0,ISNUMBER(AB4),AB4&gt;0,J4&gt;=Data_Summary!$C$1),1,0)</f>
        <v>1</v>
      </c>
      <c r="B4" s="30" t="n">
        <v>722</v>
      </c>
      <c r="C4" s="5" t="n">
        <f aca="false">IF(ISNUMBER(AB4),AB4,"")</f>
        <v>3000</v>
      </c>
      <c r="D4" s="0" t="n">
        <f aca="false">IF(ISNUMBER(C4),C4-U4*Data_Summary!$C$2,"")</f>
        <v>3000</v>
      </c>
      <c r="E4" s="31" t="n">
        <f aca="false">IFERROR(C4/B4,"")</f>
        <v>4.15512465373961</v>
      </c>
      <c r="F4" s="26" t="n">
        <f aca="false">IFERROR(D4/B4,"")</f>
        <v>4.15512465373961</v>
      </c>
      <c r="G4" s="0" t="str">
        <f aca="false">Q4</f>
        <v>2</v>
      </c>
      <c r="H4" s="0" t="str">
        <f aca="false">IFERROR(LEFT(G4,1),"")</f>
        <v>2</v>
      </c>
      <c r="I4" s="0" t="n">
        <f aca="false">IF(LEN(G4)&gt;1,1,0)</f>
        <v>0</v>
      </c>
      <c r="J4" s="4" t="n">
        <v>46185</v>
      </c>
      <c r="K4" s="0" t="s">
        <v>10</v>
      </c>
      <c r="L4" s="0" t="s">
        <v>91</v>
      </c>
      <c r="M4" s="0" t="s">
        <v>226</v>
      </c>
      <c r="N4" s="0" t="s">
        <v>93</v>
      </c>
      <c r="O4" s="0" t="s">
        <v>250</v>
      </c>
      <c r="Q4" s="0" t="s">
        <v>251</v>
      </c>
      <c r="R4" s="0" t="n">
        <v>2</v>
      </c>
      <c r="S4" s="5" t="n">
        <v>722</v>
      </c>
      <c r="T4" s="0" t="s">
        <v>252</v>
      </c>
      <c r="U4" s="0" t="n">
        <v>0</v>
      </c>
      <c r="V4" s="0" t="s">
        <v>230</v>
      </c>
      <c r="W4" s="0" t="s">
        <v>244</v>
      </c>
      <c r="X4" s="0" t="s">
        <v>232</v>
      </c>
      <c r="Y4" s="0" t="s">
        <v>253</v>
      </c>
      <c r="Z4" s="0" t="s">
        <v>234</v>
      </c>
      <c r="AA4" s="0" t="s">
        <v>235</v>
      </c>
      <c r="AB4" s="32" t="n">
        <v>3000</v>
      </c>
      <c r="AC4" s="32" t="n">
        <v>3000</v>
      </c>
      <c r="AD4" s="26" t="n">
        <f aca="false">IFERROR(AB4/B4,"")</f>
        <v>4.15512465373961</v>
      </c>
      <c r="AE4" s="26" t="n">
        <f aca="false">IFERROR(AC4/B4,"")</f>
        <v>4.15512465373961</v>
      </c>
      <c r="AF4" s="0" t="s">
        <v>236</v>
      </c>
      <c r="AG4" s="0" t="s">
        <v>236</v>
      </c>
      <c r="AH4" s="0" t="s">
        <v>230</v>
      </c>
      <c r="AI4" s="0" t="s">
        <v>254</v>
      </c>
      <c r="AJ4" s="0" t="s">
        <v>255</v>
      </c>
      <c r="AK4" s="0" t="s">
        <v>256</v>
      </c>
      <c r="AL4" s="0" t="s">
        <v>257</v>
      </c>
      <c r="AM4" s="0" t="s">
        <v>94</v>
      </c>
      <c r="AN4" s="26" t="n">
        <f aca="false">IFERROR(E4*(1+IF(AM4="Apartment",Data_Summary!$C$3,0)),"")</f>
        <v>4.15512465373961</v>
      </c>
      <c r="AO4" s="4" t="n">
        <v>46195</v>
      </c>
    </row>
    <row r="5" customFormat="false" ht="15" hidden="false" customHeight="false" outlineLevel="0" collapsed="false">
      <c r="A5" s="0" t="n">
        <f aca="false">IF(AND(ISNUMBER(B5),B5&gt;0,ISNUMBER(AB5),AB5&gt;0,J5&gt;=Data_Summary!$C$1),1,0)</f>
        <v>1</v>
      </c>
      <c r="B5" s="30" t="n">
        <v>908</v>
      </c>
      <c r="C5" s="5" t="n">
        <f aca="false">IF(ISNUMBER(AB5),AB5,"")</f>
        <v>4300</v>
      </c>
      <c r="D5" s="0" t="n">
        <f aca="false">IF(ISNUMBER(C5),C5-U5*Data_Summary!$C$2,"")</f>
        <v>4150</v>
      </c>
      <c r="E5" s="31" t="n">
        <f aca="false">IFERROR(C5/B5,"")</f>
        <v>4.73568281938326</v>
      </c>
      <c r="F5" s="26" t="n">
        <f aca="false">IFERROR(D5/B5,"")</f>
        <v>4.5704845814978</v>
      </c>
      <c r="G5" s="0" t="str">
        <f aca="false">Q5</f>
        <v>3</v>
      </c>
      <c r="H5" s="0" t="str">
        <f aca="false">IFERROR(LEFT(G5,1),"")</f>
        <v>3</v>
      </c>
      <c r="I5" s="0" t="n">
        <f aca="false">IF(LEN(G5)&gt;1,1,0)</f>
        <v>0</v>
      </c>
      <c r="J5" s="4" t="n">
        <v>46185</v>
      </c>
      <c r="K5" s="0" t="s">
        <v>10</v>
      </c>
      <c r="L5" s="0" t="s">
        <v>91</v>
      </c>
      <c r="M5" s="0" t="s">
        <v>226</v>
      </c>
      <c r="N5" s="0" t="s">
        <v>93</v>
      </c>
      <c r="O5" s="0" t="s">
        <v>258</v>
      </c>
      <c r="Q5" s="0" t="s">
        <v>228</v>
      </c>
      <c r="R5" s="0" t="n">
        <v>2</v>
      </c>
      <c r="S5" s="5" t="n">
        <v>908</v>
      </c>
      <c r="T5" s="0" t="s">
        <v>259</v>
      </c>
      <c r="U5" s="0" t="n">
        <v>1</v>
      </c>
      <c r="V5" s="0" t="s">
        <v>230</v>
      </c>
      <c r="W5" s="0" t="s">
        <v>244</v>
      </c>
      <c r="X5" s="0" t="s">
        <v>232</v>
      </c>
      <c r="Y5" s="0" t="s">
        <v>260</v>
      </c>
      <c r="Z5" s="0" t="s">
        <v>234</v>
      </c>
      <c r="AA5" s="0" t="s">
        <v>235</v>
      </c>
      <c r="AB5" s="32" t="n">
        <v>4300</v>
      </c>
      <c r="AC5" s="32" t="n">
        <v>4300</v>
      </c>
      <c r="AD5" s="26" t="n">
        <f aca="false">IFERROR(AB5/B5,"")</f>
        <v>4.73568281938326</v>
      </c>
      <c r="AE5" s="26" t="n">
        <f aca="false">IFERROR(AC5/B5,"")</f>
        <v>4.73568281938326</v>
      </c>
      <c r="AF5" s="0" t="s">
        <v>236</v>
      </c>
      <c r="AG5" s="0" t="s">
        <v>236</v>
      </c>
      <c r="AH5" s="0" t="s">
        <v>230</v>
      </c>
      <c r="AI5" s="0" t="s">
        <v>254</v>
      </c>
      <c r="AJ5" s="0" t="s">
        <v>261</v>
      </c>
      <c r="AK5" s="0" t="s">
        <v>262</v>
      </c>
      <c r="AL5" s="0" t="s">
        <v>263</v>
      </c>
      <c r="AM5" s="0" t="s">
        <v>94</v>
      </c>
      <c r="AN5" s="26" t="n">
        <f aca="false">IFERROR(E5*(1+IF(AM5="Apartment",Data_Summary!$C$3,0)),"")</f>
        <v>4.73568281938326</v>
      </c>
      <c r="AO5" s="4" t="n">
        <v>46195</v>
      </c>
    </row>
    <row r="6" customFormat="false" ht="15" hidden="false" customHeight="false" outlineLevel="0" collapsed="false">
      <c r="A6" s="0" t="n">
        <f aca="false">IF(AND(ISNUMBER(B6),B6&gt;0,ISNUMBER(AB6),AB6&gt;0,J6&gt;=Data_Summary!$C$1),1,0)</f>
        <v>1</v>
      </c>
      <c r="B6" s="30" t="n">
        <v>1050</v>
      </c>
      <c r="C6" s="5" t="n">
        <f aca="false">IF(ISNUMBER(AB6),AB6,"")</f>
        <v>4500</v>
      </c>
      <c r="D6" s="0" t="n">
        <f aca="false">IF(ISNUMBER(C6),C6-U6*Data_Summary!$C$2,"")</f>
        <v>4350</v>
      </c>
      <c r="E6" s="31" t="n">
        <f aca="false">IFERROR(C6/B6,"")</f>
        <v>4.28571428571429</v>
      </c>
      <c r="F6" s="26" t="n">
        <f aca="false">IFERROR(D6/B6,"")</f>
        <v>4.14285714285714</v>
      </c>
      <c r="G6" s="0" t="str">
        <f aca="false">Q6</f>
        <v>2</v>
      </c>
      <c r="H6" s="0" t="str">
        <f aca="false">IFERROR(LEFT(G6,1),"")</f>
        <v>2</v>
      </c>
      <c r="I6" s="0" t="n">
        <f aca="false">IF(LEN(G6)&gt;1,1,0)</f>
        <v>0</v>
      </c>
      <c r="J6" s="4" t="n">
        <v>46185</v>
      </c>
      <c r="K6" s="0" t="s">
        <v>10</v>
      </c>
      <c r="L6" s="0" t="s">
        <v>91</v>
      </c>
      <c r="M6" s="0" t="s">
        <v>226</v>
      </c>
      <c r="N6" s="0" t="s">
        <v>93</v>
      </c>
      <c r="O6" s="0" t="s">
        <v>264</v>
      </c>
      <c r="Q6" s="0" t="s">
        <v>251</v>
      </c>
      <c r="R6" s="0" t="n">
        <v>3</v>
      </c>
      <c r="S6" s="5" t="n">
        <v>1050</v>
      </c>
      <c r="T6" s="0" t="s">
        <v>265</v>
      </c>
      <c r="U6" s="0" t="n">
        <v>1</v>
      </c>
      <c r="V6" s="0" t="s">
        <v>230</v>
      </c>
      <c r="W6" s="0" t="s">
        <v>244</v>
      </c>
      <c r="X6" s="0" t="s">
        <v>232</v>
      </c>
      <c r="Y6" s="0" t="s">
        <v>245</v>
      </c>
      <c r="Z6" s="0" t="s">
        <v>234</v>
      </c>
      <c r="AA6" s="0" t="s">
        <v>235</v>
      </c>
      <c r="AB6" s="32" t="n">
        <v>4500</v>
      </c>
      <c r="AC6" s="32" t="n">
        <v>4900</v>
      </c>
      <c r="AD6" s="26" t="n">
        <f aca="false">IFERROR(AB6/B6,"")</f>
        <v>4.28571428571429</v>
      </c>
      <c r="AE6" s="26" t="n">
        <f aca="false">IFERROR(AC6/B6,"")</f>
        <v>4.66666666666667</v>
      </c>
      <c r="AF6" s="0" t="s">
        <v>236</v>
      </c>
      <c r="AG6" s="0" t="s">
        <v>236</v>
      </c>
      <c r="AH6" s="0" t="s">
        <v>230</v>
      </c>
      <c r="AI6" s="0" t="s">
        <v>254</v>
      </c>
      <c r="AJ6" s="0" t="s">
        <v>266</v>
      </c>
      <c r="AK6" s="0" t="s">
        <v>267</v>
      </c>
      <c r="AL6" s="0" t="s">
        <v>268</v>
      </c>
      <c r="AM6" s="0" t="s">
        <v>94</v>
      </c>
      <c r="AN6" s="26" t="n">
        <f aca="false">IFERROR(E6*(1+IF(AM6="Apartment",Data_Summary!$C$3,0)),"")</f>
        <v>4.28571428571429</v>
      </c>
      <c r="AO6" s="4" t="n">
        <v>46195</v>
      </c>
    </row>
    <row r="7" customFormat="false" ht="15" hidden="false" customHeight="false" outlineLevel="0" collapsed="false">
      <c r="A7" s="0" t="n">
        <f aca="false">IF(AND(ISNUMBER(B7),B7&gt;0,ISNUMBER(AB7),AB7&gt;0,J7&gt;=Data_Summary!$C$1),1,0)</f>
        <v>1</v>
      </c>
      <c r="B7" s="30" t="n">
        <v>650</v>
      </c>
      <c r="C7" s="5" t="n">
        <f aca="false">IF(ISNUMBER(AB7),AB7,"")</f>
        <v>2750</v>
      </c>
      <c r="D7" s="0" t="n">
        <f aca="false">IF(ISNUMBER(C7),C7-U7*Data_Summary!$C$2,"")</f>
        <v>2750</v>
      </c>
      <c r="E7" s="31" t="n">
        <f aca="false">IFERROR(C7/B7,"")</f>
        <v>4.23076923076923</v>
      </c>
      <c r="F7" s="26" t="n">
        <f aca="false">IFERROR(D7/B7,"")</f>
        <v>4.23076923076923</v>
      </c>
      <c r="G7" s="0" t="str">
        <f aca="false">Q7</f>
        <v>1+1</v>
      </c>
      <c r="H7" s="0" t="str">
        <f aca="false">IFERROR(LEFT(G7,1),"")</f>
        <v>1</v>
      </c>
      <c r="I7" s="0" t="n">
        <f aca="false">IF(LEN(G7)&gt;1,1,0)</f>
        <v>1</v>
      </c>
      <c r="J7" s="4" t="n">
        <v>46183</v>
      </c>
      <c r="K7" s="0" t="s">
        <v>10</v>
      </c>
      <c r="L7" s="0" t="s">
        <v>91</v>
      </c>
      <c r="M7" s="0" t="s">
        <v>226</v>
      </c>
      <c r="N7" s="0" t="s">
        <v>93</v>
      </c>
      <c r="O7" s="0" t="s">
        <v>269</v>
      </c>
      <c r="Q7" s="0" t="s">
        <v>270</v>
      </c>
      <c r="R7" s="0" t="n">
        <v>2</v>
      </c>
      <c r="S7" s="5" t="n">
        <v>650</v>
      </c>
      <c r="T7" s="0" t="s">
        <v>271</v>
      </c>
      <c r="U7" s="0" t="n">
        <v>0</v>
      </c>
      <c r="V7" s="0" t="s">
        <v>230</v>
      </c>
      <c r="W7" s="0" t="s">
        <v>244</v>
      </c>
      <c r="X7" s="0" t="s">
        <v>232</v>
      </c>
      <c r="Y7" s="0" t="s">
        <v>272</v>
      </c>
      <c r="Z7" s="0" t="s">
        <v>234</v>
      </c>
      <c r="AA7" s="0" t="s">
        <v>235</v>
      </c>
      <c r="AB7" s="32" t="n">
        <v>2750</v>
      </c>
      <c r="AC7" s="32" t="n">
        <v>2850</v>
      </c>
      <c r="AD7" s="26" t="n">
        <f aca="false">IFERROR(AB7/B7,"")</f>
        <v>4.23076923076923</v>
      </c>
      <c r="AE7" s="26" t="n">
        <f aca="false">IFERROR(AC7/B7,"")</f>
        <v>4.38461538461539</v>
      </c>
      <c r="AF7" s="0" t="s">
        <v>236</v>
      </c>
      <c r="AG7" s="0" t="s">
        <v>236</v>
      </c>
      <c r="AH7" s="0" t="s">
        <v>236</v>
      </c>
      <c r="AI7" s="0" t="s">
        <v>273</v>
      </c>
      <c r="AJ7" s="0" t="s">
        <v>274</v>
      </c>
      <c r="AK7" s="0" t="s">
        <v>275</v>
      </c>
      <c r="AL7" s="0" t="s">
        <v>276</v>
      </c>
      <c r="AM7" s="0" t="s">
        <v>94</v>
      </c>
      <c r="AN7" s="26" t="n">
        <f aca="false">IFERROR(E7*(1+IF(AM7="Apartment",Data_Summary!$C$3,0)),"")</f>
        <v>4.23076923076923</v>
      </c>
      <c r="AO7" s="4" t="n">
        <v>46195</v>
      </c>
    </row>
    <row r="8" customFormat="false" ht="15" hidden="false" customHeight="false" outlineLevel="0" collapsed="false">
      <c r="A8" s="0" t="n">
        <f aca="false">IF(AND(ISNUMBER(B8),B8&gt;0,ISNUMBER(AB8),AB8&gt;0,J8&gt;=Data_Summary!$C$1),1,0)</f>
        <v>1</v>
      </c>
      <c r="B8" s="30" t="n">
        <v>736</v>
      </c>
      <c r="C8" s="5" t="n">
        <f aca="false">IF(ISNUMBER(AB8),AB8,"")</f>
        <v>3050</v>
      </c>
      <c r="D8" s="0" t="n">
        <f aca="false">IF(ISNUMBER(C8),C8-U8*Data_Summary!$C$2,"")</f>
        <v>3050</v>
      </c>
      <c r="E8" s="31" t="n">
        <f aca="false">IFERROR(C8/B8,"")</f>
        <v>4.14402173913044</v>
      </c>
      <c r="F8" s="26" t="n">
        <f aca="false">IFERROR(D8/B8,"")</f>
        <v>4.14402173913044</v>
      </c>
      <c r="G8" s="0" t="str">
        <f aca="false">Q8</f>
        <v>2</v>
      </c>
      <c r="H8" s="0" t="str">
        <f aca="false">IFERROR(LEFT(G8,1),"")</f>
        <v>2</v>
      </c>
      <c r="I8" s="0" t="n">
        <f aca="false">IF(LEN(G8)&gt;1,1,0)</f>
        <v>0</v>
      </c>
      <c r="J8" s="4" t="n">
        <v>46182</v>
      </c>
      <c r="K8" s="0" t="s">
        <v>10</v>
      </c>
      <c r="L8" s="0" t="s">
        <v>91</v>
      </c>
      <c r="M8" s="0" t="s">
        <v>226</v>
      </c>
      <c r="N8" s="0" t="s">
        <v>93</v>
      </c>
      <c r="O8" s="0" t="s">
        <v>277</v>
      </c>
      <c r="Q8" s="0" t="s">
        <v>251</v>
      </c>
      <c r="R8" s="0" t="n">
        <v>2</v>
      </c>
      <c r="S8" s="5" t="n">
        <v>736</v>
      </c>
      <c r="T8" s="0" t="s">
        <v>252</v>
      </c>
      <c r="U8" s="0" t="n">
        <v>0</v>
      </c>
      <c r="V8" s="0" t="s">
        <v>230</v>
      </c>
      <c r="W8" s="0" t="s">
        <v>244</v>
      </c>
      <c r="X8" s="0" t="s">
        <v>232</v>
      </c>
      <c r="Y8" s="0" t="s">
        <v>278</v>
      </c>
      <c r="Z8" s="0" t="s">
        <v>234</v>
      </c>
      <c r="AA8" s="0" t="s">
        <v>235</v>
      </c>
      <c r="AB8" s="32" t="n">
        <v>3050</v>
      </c>
      <c r="AC8" s="32" t="n">
        <v>3150</v>
      </c>
      <c r="AD8" s="26" t="n">
        <f aca="false">IFERROR(AB8/B8,"")</f>
        <v>4.14402173913044</v>
      </c>
      <c r="AE8" s="26" t="n">
        <f aca="false">IFERROR(AC8/B8,"")</f>
        <v>4.27989130434783</v>
      </c>
      <c r="AF8" s="0" t="s">
        <v>236</v>
      </c>
      <c r="AG8" s="0" t="s">
        <v>236</v>
      </c>
      <c r="AH8" s="0" t="s">
        <v>230</v>
      </c>
      <c r="AI8" s="0" t="s">
        <v>279</v>
      </c>
      <c r="AJ8" s="0" t="s">
        <v>280</v>
      </c>
      <c r="AK8" s="0" t="s">
        <v>281</v>
      </c>
      <c r="AL8" s="0" t="s">
        <v>282</v>
      </c>
      <c r="AM8" s="0" t="s">
        <v>94</v>
      </c>
      <c r="AN8" s="26" t="n">
        <f aca="false">IFERROR(E8*(1+IF(AM8="Apartment",Data_Summary!$C$3,0)),"")</f>
        <v>4.14402173913044</v>
      </c>
      <c r="AO8" s="4" t="n">
        <v>46195</v>
      </c>
    </row>
    <row r="9" customFormat="false" ht="15" hidden="false" customHeight="false" outlineLevel="0" collapsed="false">
      <c r="A9" s="0" t="n">
        <f aca="false">IF(AND(ISNUMBER(B9),B9&gt;0,ISNUMBER(AB9),AB9&gt;0,J9&gt;=Data_Summary!$C$1),1,0)</f>
        <v>1</v>
      </c>
      <c r="B9" s="33" t="n">
        <v>540</v>
      </c>
      <c r="C9" s="5" t="n">
        <f aca="false">IF(ISNUMBER(AB9),AB9,"")</f>
        <v>4000</v>
      </c>
      <c r="D9" s="0" t="n">
        <f aca="false">IF(ISNUMBER(C9),C9-U9*Data_Summary!$C$2,"")</f>
        <v>4000</v>
      </c>
      <c r="E9" s="34" t="n">
        <f aca="false">IFERROR(C9/B9,"")</f>
        <v>7.40740740740741</v>
      </c>
      <c r="F9" s="26" t="n">
        <f aca="false">IFERROR(D9/B9,"")</f>
        <v>7.40740740740741</v>
      </c>
      <c r="G9" s="0" t="str">
        <f aca="false">Q9</f>
        <v>1</v>
      </c>
      <c r="H9" s="0" t="str">
        <f aca="false">IFERROR(LEFT(G9,1),"")</f>
        <v>1</v>
      </c>
      <c r="I9" s="0" t="n">
        <f aca="false">IF(LEN(G9)&gt;1,1,0)</f>
        <v>0</v>
      </c>
      <c r="J9" s="4" t="n">
        <v>46182</v>
      </c>
      <c r="K9" s="0" t="s">
        <v>10</v>
      </c>
      <c r="L9" s="0" t="s">
        <v>91</v>
      </c>
      <c r="M9" s="0" t="s">
        <v>226</v>
      </c>
      <c r="N9" s="0" t="s">
        <v>93</v>
      </c>
      <c r="O9" s="0" t="s">
        <v>283</v>
      </c>
      <c r="Q9" s="0" t="s">
        <v>242</v>
      </c>
      <c r="R9" s="0" t="n">
        <v>1</v>
      </c>
      <c r="S9" s="5" t="n">
        <v>540</v>
      </c>
      <c r="T9" s="0" t="s">
        <v>243</v>
      </c>
      <c r="U9" s="0" t="n">
        <v>0</v>
      </c>
      <c r="V9" s="0" t="s">
        <v>230</v>
      </c>
      <c r="W9" s="0" t="s">
        <v>244</v>
      </c>
      <c r="X9" s="0" t="s">
        <v>232</v>
      </c>
      <c r="Y9" s="0" t="s">
        <v>278</v>
      </c>
      <c r="Z9" s="0" t="s">
        <v>234</v>
      </c>
      <c r="AA9" s="0" t="s">
        <v>235</v>
      </c>
      <c r="AB9" s="32" t="n">
        <v>4000</v>
      </c>
      <c r="AC9" s="32" t="n">
        <v>3800</v>
      </c>
      <c r="AD9" s="26" t="n">
        <f aca="false">IFERROR(AB9/B9,"")</f>
        <v>7.40740740740741</v>
      </c>
      <c r="AE9" s="26" t="n">
        <f aca="false">IFERROR(AC9/B9,"")</f>
        <v>7.03703703703704</v>
      </c>
      <c r="AF9" s="0" t="s">
        <v>230</v>
      </c>
      <c r="AG9" s="0" t="s">
        <v>236</v>
      </c>
      <c r="AH9" s="0" t="s">
        <v>230</v>
      </c>
      <c r="AI9" s="0" t="s">
        <v>279</v>
      </c>
      <c r="AJ9" s="0" t="s">
        <v>284</v>
      </c>
      <c r="AK9" s="0" t="s">
        <v>285</v>
      </c>
      <c r="AL9" s="0" t="s">
        <v>286</v>
      </c>
      <c r="AM9" s="0" t="s">
        <v>94</v>
      </c>
      <c r="AN9" s="26" t="n">
        <f aca="false">IFERROR(E9*(1+IF(AM9="Apartment",Data_Summary!$C$3,0)),"")</f>
        <v>7.40740740740741</v>
      </c>
      <c r="AO9" s="4" t="n">
        <v>46195</v>
      </c>
    </row>
    <row r="10" customFormat="false" ht="15" hidden="false" customHeight="false" outlineLevel="0" collapsed="false">
      <c r="A10" s="0" t="n">
        <f aca="false">IF(AND(ISNUMBER(B10),B10&gt;0,ISNUMBER(AB10),AB10&gt;0,J10&gt;=Data_Summary!$C$1),1,0)</f>
        <v>1</v>
      </c>
      <c r="B10" s="33" t="n">
        <v>600</v>
      </c>
      <c r="C10" s="5" t="n">
        <f aca="false">IF(ISNUMBER(AB10),AB10,"")</f>
        <v>2800</v>
      </c>
      <c r="D10" s="0" t="n">
        <f aca="false">IF(ISNUMBER(C10),C10-U10*Data_Summary!$C$2,"")</f>
        <v>2800</v>
      </c>
      <c r="E10" s="34" t="n">
        <f aca="false">IFERROR(C10/B10,"")</f>
        <v>4.66666666666667</v>
      </c>
      <c r="F10" s="26" t="n">
        <f aca="false">IFERROR(D10/B10,"")</f>
        <v>4.66666666666667</v>
      </c>
      <c r="G10" s="0" t="str">
        <f aca="false">Q10</f>
        <v>1+1</v>
      </c>
      <c r="H10" s="0" t="str">
        <f aca="false">IFERROR(LEFT(G10,1),"")</f>
        <v>1</v>
      </c>
      <c r="I10" s="0" t="n">
        <f aca="false">IF(LEN(G10)&gt;1,1,0)</f>
        <v>1</v>
      </c>
      <c r="J10" s="4" t="n">
        <v>46182</v>
      </c>
      <c r="K10" s="0" t="s">
        <v>10</v>
      </c>
      <c r="L10" s="0" t="s">
        <v>91</v>
      </c>
      <c r="M10" s="0" t="s">
        <v>226</v>
      </c>
      <c r="N10" s="0" t="s">
        <v>93</v>
      </c>
      <c r="O10" s="0" t="s">
        <v>287</v>
      </c>
      <c r="Q10" s="0" t="s">
        <v>270</v>
      </c>
      <c r="R10" s="0" t="n">
        <v>1</v>
      </c>
      <c r="S10" s="5" t="n">
        <v>600</v>
      </c>
      <c r="T10" s="0" t="s">
        <v>271</v>
      </c>
      <c r="U10" s="0" t="n">
        <v>0</v>
      </c>
      <c r="V10" s="0" t="s">
        <v>230</v>
      </c>
      <c r="W10" s="0" t="s">
        <v>244</v>
      </c>
      <c r="X10" s="0" t="s">
        <v>232</v>
      </c>
      <c r="Y10" s="0" t="s">
        <v>272</v>
      </c>
      <c r="Z10" s="0" t="s">
        <v>234</v>
      </c>
      <c r="AA10" s="0" t="s">
        <v>235</v>
      </c>
      <c r="AB10" s="32" t="n">
        <v>2800</v>
      </c>
      <c r="AC10" s="32" t="n">
        <v>2850</v>
      </c>
      <c r="AD10" s="26" t="n">
        <f aca="false">IFERROR(AB10/B10,"")</f>
        <v>4.66666666666667</v>
      </c>
      <c r="AE10" s="26" t="n">
        <f aca="false">IFERROR(AC10/B10,"")</f>
        <v>4.75</v>
      </c>
      <c r="AF10" s="0" t="s">
        <v>230</v>
      </c>
      <c r="AG10" s="0" t="s">
        <v>236</v>
      </c>
      <c r="AH10" s="0" t="s">
        <v>230</v>
      </c>
      <c r="AI10" s="0" t="s">
        <v>279</v>
      </c>
      <c r="AJ10" s="0" t="s">
        <v>288</v>
      </c>
      <c r="AK10" s="0" t="s">
        <v>289</v>
      </c>
      <c r="AL10" s="0" t="s">
        <v>290</v>
      </c>
      <c r="AM10" s="0" t="s">
        <v>94</v>
      </c>
      <c r="AN10" s="26" t="n">
        <f aca="false">IFERROR(E10*(1+IF(AM10="Apartment",Data_Summary!$C$3,0)),"")</f>
        <v>4.66666666666667</v>
      </c>
      <c r="AO10" s="4" t="n">
        <v>46195</v>
      </c>
    </row>
    <row r="11" customFormat="false" ht="15" hidden="false" customHeight="false" outlineLevel="0" collapsed="false">
      <c r="A11" s="0" t="n">
        <f aca="false">IF(AND(ISNUMBER(B11),B11&gt;0,ISNUMBER(AB11),AB11&gt;0,J11&gt;=Data_Summary!$C$1),1,0)</f>
        <v>1</v>
      </c>
      <c r="B11" s="30" t="n">
        <v>718</v>
      </c>
      <c r="C11" s="5" t="n">
        <f aca="false">IF(ISNUMBER(AB11),AB11,"")</f>
        <v>3500</v>
      </c>
      <c r="D11" s="0" t="n">
        <f aca="false">IF(ISNUMBER(C11),C11-U11*Data_Summary!$C$2,"")</f>
        <v>3350</v>
      </c>
      <c r="E11" s="31" t="n">
        <f aca="false">IFERROR(C11/B11,"")</f>
        <v>4.87465181058496</v>
      </c>
      <c r="F11" s="26" t="n">
        <f aca="false">IFERROR(D11/B11,"")</f>
        <v>4.66573816155989</v>
      </c>
      <c r="G11" s="0" t="str">
        <f aca="false">Q11</f>
        <v>2</v>
      </c>
      <c r="H11" s="0" t="str">
        <f aca="false">IFERROR(LEFT(G11,1),"")</f>
        <v>2</v>
      </c>
      <c r="I11" s="0" t="n">
        <f aca="false">IF(LEN(G11)&gt;1,1,0)</f>
        <v>0</v>
      </c>
      <c r="J11" s="4" t="n">
        <v>46181</v>
      </c>
      <c r="K11" s="0" t="s">
        <v>10</v>
      </c>
      <c r="L11" s="0" t="s">
        <v>91</v>
      </c>
      <c r="M11" s="0" t="s">
        <v>226</v>
      </c>
      <c r="N11" s="0" t="s">
        <v>93</v>
      </c>
      <c r="O11" s="0" t="s">
        <v>291</v>
      </c>
      <c r="Q11" s="0" t="s">
        <v>251</v>
      </c>
      <c r="R11" s="0" t="n">
        <v>2</v>
      </c>
      <c r="S11" s="5" t="n">
        <v>718</v>
      </c>
      <c r="T11" s="0" t="s">
        <v>252</v>
      </c>
      <c r="U11" s="0" t="n">
        <v>1</v>
      </c>
      <c r="V11" s="0" t="s">
        <v>230</v>
      </c>
      <c r="W11" s="0" t="s">
        <v>231</v>
      </c>
      <c r="X11" s="0" t="s">
        <v>232</v>
      </c>
      <c r="Y11" s="0" t="s">
        <v>233</v>
      </c>
      <c r="Z11" s="0" t="s">
        <v>234</v>
      </c>
      <c r="AA11" s="0" t="s">
        <v>235</v>
      </c>
      <c r="AB11" s="32" t="n">
        <v>3500</v>
      </c>
      <c r="AC11" s="32" t="n">
        <v>3400</v>
      </c>
      <c r="AD11" s="26" t="n">
        <f aca="false">IFERROR(AB11/B11,"")</f>
        <v>4.87465181058496</v>
      </c>
      <c r="AE11" s="26" t="n">
        <f aca="false">IFERROR(AC11/B11,"")</f>
        <v>4.73537604456825</v>
      </c>
      <c r="AF11" s="0" t="s">
        <v>236</v>
      </c>
      <c r="AG11" s="0" t="s">
        <v>236</v>
      </c>
      <c r="AH11" s="0" t="s">
        <v>230</v>
      </c>
      <c r="AI11" s="0" t="s">
        <v>292</v>
      </c>
      <c r="AJ11" s="0" t="s">
        <v>293</v>
      </c>
      <c r="AK11" s="0" t="s">
        <v>294</v>
      </c>
      <c r="AL11" s="0" t="s">
        <v>295</v>
      </c>
      <c r="AM11" s="0" t="s">
        <v>94</v>
      </c>
      <c r="AN11" s="26" t="n">
        <f aca="false">IFERROR(E11*(1+IF(AM11="Apartment",Data_Summary!$C$3,0)),"")</f>
        <v>4.87465181058496</v>
      </c>
      <c r="AO11" s="4" t="n">
        <v>46195</v>
      </c>
    </row>
    <row r="12" customFormat="false" ht="15" hidden="false" customHeight="false" outlineLevel="0" collapsed="false">
      <c r="A12" s="0" t="n">
        <f aca="false">IF(AND(ISNUMBER(B12),B12&gt;0,ISNUMBER(AB12),AB12&gt;0,J12&gt;=Data_Summary!$C$1),1,0)</f>
        <v>1</v>
      </c>
      <c r="B12" s="33" t="n">
        <v>578</v>
      </c>
      <c r="C12" s="5" t="n">
        <f aca="false">IF(ISNUMBER(AB12),AB12,"")</f>
        <v>2500</v>
      </c>
      <c r="D12" s="0" t="n">
        <f aca="false">IF(ISNUMBER(C12),C12-U12*Data_Summary!$C$2,"")</f>
        <v>2500</v>
      </c>
      <c r="E12" s="34" t="n">
        <f aca="false">IFERROR(C12/B12,"")</f>
        <v>4.32525951557093</v>
      </c>
      <c r="F12" s="26" t="n">
        <f aca="false">IFERROR(D12/B12,"")</f>
        <v>4.32525951557093</v>
      </c>
      <c r="G12" s="0" t="str">
        <f aca="false">Q12</f>
        <v>1</v>
      </c>
      <c r="H12" s="0" t="str">
        <f aca="false">IFERROR(LEFT(G12,1),"")</f>
        <v>1</v>
      </c>
      <c r="I12" s="0" t="n">
        <f aca="false">IF(LEN(G12)&gt;1,1,0)</f>
        <v>0</v>
      </c>
      <c r="J12" s="4" t="n">
        <v>46178</v>
      </c>
      <c r="K12" s="0" t="s">
        <v>10</v>
      </c>
      <c r="L12" s="0" t="s">
        <v>91</v>
      </c>
      <c r="M12" s="0" t="s">
        <v>226</v>
      </c>
      <c r="N12" s="0" t="s">
        <v>93</v>
      </c>
      <c r="O12" s="0" t="s">
        <v>296</v>
      </c>
      <c r="Q12" s="0" t="s">
        <v>242</v>
      </c>
      <c r="R12" s="0" t="n">
        <v>1</v>
      </c>
      <c r="S12" s="5" t="n">
        <v>578</v>
      </c>
      <c r="T12" s="0" t="s">
        <v>252</v>
      </c>
      <c r="U12" s="0" t="n">
        <v>0</v>
      </c>
      <c r="V12" s="0" t="s">
        <v>230</v>
      </c>
      <c r="W12" s="0" t="s">
        <v>244</v>
      </c>
      <c r="X12" s="0" t="s">
        <v>232</v>
      </c>
      <c r="Y12" s="0" t="s">
        <v>297</v>
      </c>
      <c r="Z12" s="0" t="s">
        <v>234</v>
      </c>
      <c r="AA12" s="0" t="s">
        <v>235</v>
      </c>
      <c r="AB12" s="32" t="n">
        <v>2500</v>
      </c>
      <c r="AC12" s="32" t="n">
        <v>2500</v>
      </c>
      <c r="AD12" s="26" t="n">
        <f aca="false">IFERROR(AB12/B12,"")</f>
        <v>4.32525951557093</v>
      </c>
      <c r="AE12" s="26" t="n">
        <f aca="false">IFERROR(AC12/B12,"")</f>
        <v>4.32525951557093</v>
      </c>
      <c r="AF12" s="0" t="s">
        <v>236</v>
      </c>
      <c r="AG12" s="0" t="s">
        <v>236</v>
      </c>
      <c r="AH12" s="0" t="s">
        <v>236</v>
      </c>
      <c r="AI12" s="0" t="s">
        <v>298</v>
      </c>
      <c r="AJ12" s="0" t="s">
        <v>299</v>
      </c>
      <c r="AK12" s="0" t="s">
        <v>300</v>
      </c>
      <c r="AL12" s="0" t="s">
        <v>301</v>
      </c>
      <c r="AM12" s="0" t="s">
        <v>94</v>
      </c>
      <c r="AN12" s="26" t="n">
        <f aca="false">IFERROR(E12*(1+IF(AM12="Apartment",Data_Summary!$C$3,0)),"")</f>
        <v>4.32525951557093</v>
      </c>
      <c r="AO12" s="4" t="n">
        <v>46195</v>
      </c>
    </row>
    <row r="13" customFormat="false" ht="15" hidden="false" customHeight="false" outlineLevel="0" collapsed="false">
      <c r="A13" s="0" t="n">
        <f aca="false">IF(AND(ISNUMBER(B13),B13&gt;0,ISNUMBER(AB13),AB13&gt;0,J13&gt;=Data_Summary!$C$1),1,0)</f>
        <v>1</v>
      </c>
      <c r="B13" s="30" t="n">
        <v>485</v>
      </c>
      <c r="C13" s="5" t="n">
        <f aca="false">IF(ISNUMBER(AB13),AB13,"")</f>
        <v>2300</v>
      </c>
      <c r="D13" s="0" t="n">
        <f aca="false">IF(ISNUMBER(C13),C13-U13*Data_Summary!$C$2,"")</f>
        <v>2300</v>
      </c>
      <c r="E13" s="31" t="n">
        <f aca="false">IFERROR(C13/B13,"")</f>
        <v>4.74226804123711</v>
      </c>
      <c r="F13" s="26" t="n">
        <f aca="false">IFERROR(D13/B13,"")</f>
        <v>4.74226804123711</v>
      </c>
      <c r="G13" s="0" t="str">
        <f aca="false">Q13</f>
        <v>1</v>
      </c>
      <c r="H13" s="0" t="str">
        <f aca="false">IFERROR(LEFT(G13,1),"")</f>
        <v>1</v>
      </c>
      <c r="I13" s="0" t="n">
        <f aca="false">IF(LEN(G13)&gt;1,1,0)</f>
        <v>0</v>
      </c>
      <c r="J13" s="4" t="n">
        <v>46178</v>
      </c>
      <c r="K13" s="0" t="s">
        <v>10</v>
      </c>
      <c r="L13" s="0" t="s">
        <v>91</v>
      </c>
      <c r="M13" s="0" t="s">
        <v>226</v>
      </c>
      <c r="N13" s="0" t="s">
        <v>93</v>
      </c>
      <c r="O13" s="0" t="s">
        <v>302</v>
      </c>
      <c r="Q13" s="0" t="s">
        <v>242</v>
      </c>
      <c r="R13" s="0" t="n">
        <v>1</v>
      </c>
      <c r="S13" s="5" t="n">
        <v>485</v>
      </c>
      <c r="T13" s="0" t="s">
        <v>303</v>
      </c>
      <c r="U13" s="0" t="n">
        <v>0</v>
      </c>
      <c r="V13" s="0" t="s">
        <v>230</v>
      </c>
      <c r="W13" s="0" t="s">
        <v>231</v>
      </c>
      <c r="X13" s="0" t="s">
        <v>232</v>
      </c>
      <c r="Y13" s="0" t="s">
        <v>253</v>
      </c>
      <c r="Z13" s="0" t="s">
        <v>234</v>
      </c>
      <c r="AA13" s="0" t="s">
        <v>235</v>
      </c>
      <c r="AB13" s="32" t="n">
        <v>2300</v>
      </c>
      <c r="AC13" s="32" t="n">
        <v>2250</v>
      </c>
      <c r="AD13" s="26" t="n">
        <f aca="false">IFERROR(AB13/B13,"")</f>
        <v>4.74226804123711</v>
      </c>
      <c r="AE13" s="26" t="n">
        <f aca="false">IFERROR(AC13/B13,"")</f>
        <v>4.63917525773196</v>
      </c>
      <c r="AF13" s="0" t="s">
        <v>236</v>
      </c>
      <c r="AG13" s="0" t="s">
        <v>236</v>
      </c>
      <c r="AH13" s="0" t="s">
        <v>236</v>
      </c>
      <c r="AI13" s="0" t="s">
        <v>298</v>
      </c>
      <c r="AJ13" s="0" t="s">
        <v>304</v>
      </c>
      <c r="AK13" s="0" t="s">
        <v>305</v>
      </c>
      <c r="AL13" s="0" t="s">
        <v>306</v>
      </c>
      <c r="AM13" s="0" t="s">
        <v>94</v>
      </c>
      <c r="AN13" s="26" t="n">
        <f aca="false">IFERROR(E13*(1+IF(AM13="Apartment",Data_Summary!$C$3,0)),"")</f>
        <v>4.74226804123711</v>
      </c>
      <c r="AO13" s="4" t="n">
        <v>46195</v>
      </c>
    </row>
    <row r="14" customFormat="false" ht="15" hidden="false" customHeight="false" outlineLevel="0" collapsed="false">
      <c r="A14" s="0" t="n">
        <f aca="false">IF(AND(ISNUMBER(B14),B14&gt;0,ISNUMBER(AB14),AB14&gt;0,J14&gt;=Data_Summary!$C$1),1,0)</f>
        <v>1</v>
      </c>
      <c r="B14" s="30" t="n">
        <v>692</v>
      </c>
      <c r="C14" s="5" t="n">
        <f aca="false">IF(ISNUMBER(AB14),AB14,"")</f>
        <v>3300</v>
      </c>
      <c r="D14" s="0" t="n">
        <f aca="false">IF(ISNUMBER(C14),C14-U14*Data_Summary!$C$2,"")</f>
        <v>3150</v>
      </c>
      <c r="E14" s="31" t="n">
        <f aca="false">IFERROR(C14/B14,"")</f>
        <v>4.76878612716763</v>
      </c>
      <c r="F14" s="26" t="n">
        <f aca="false">IFERROR(D14/B14,"")</f>
        <v>4.55202312138728</v>
      </c>
      <c r="G14" s="0" t="str">
        <f aca="false">Q14</f>
        <v>2</v>
      </c>
      <c r="H14" s="0" t="str">
        <f aca="false">IFERROR(LEFT(G14,1),"")</f>
        <v>2</v>
      </c>
      <c r="I14" s="0" t="n">
        <f aca="false">IF(LEN(G14)&gt;1,1,0)</f>
        <v>0</v>
      </c>
      <c r="J14" s="4" t="n">
        <v>46178</v>
      </c>
      <c r="K14" s="0" t="s">
        <v>10</v>
      </c>
      <c r="L14" s="0" t="s">
        <v>91</v>
      </c>
      <c r="M14" s="0" t="s">
        <v>226</v>
      </c>
      <c r="N14" s="0" t="s">
        <v>93</v>
      </c>
      <c r="O14" s="0" t="s">
        <v>307</v>
      </c>
      <c r="Q14" s="0" t="s">
        <v>251</v>
      </c>
      <c r="R14" s="0" t="n">
        <v>2</v>
      </c>
      <c r="S14" s="5" t="n">
        <v>692</v>
      </c>
      <c r="T14" s="0" t="s">
        <v>271</v>
      </c>
      <c r="U14" s="0" t="n">
        <v>1</v>
      </c>
      <c r="V14" s="0" t="s">
        <v>230</v>
      </c>
      <c r="W14" s="0" t="s">
        <v>231</v>
      </c>
      <c r="X14" s="0" t="s">
        <v>232</v>
      </c>
      <c r="Y14" s="0" t="s">
        <v>308</v>
      </c>
      <c r="Z14" s="0" t="s">
        <v>234</v>
      </c>
      <c r="AA14" s="0" t="s">
        <v>235</v>
      </c>
      <c r="AB14" s="32" t="n">
        <v>3300</v>
      </c>
      <c r="AC14" s="32" t="n">
        <v>3400</v>
      </c>
      <c r="AD14" s="26" t="n">
        <f aca="false">IFERROR(AB14/B14,"")</f>
        <v>4.76878612716763</v>
      </c>
      <c r="AE14" s="26" t="n">
        <f aca="false">IFERROR(AC14/B14,"")</f>
        <v>4.91329479768786</v>
      </c>
      <c r="AF14" s="0" t="s">
        <v>236</v>
      </c>
      <c r="AG14" s="0" t="s">
        <v>236</v>
      </c>
      <c r="AH14" s="0" t="s">
        <v>230</v>
      </c>
      <c r="AI14" s="0" t="s">
        <v>298</v>
      </c>
      <c r="AJ14" s="0" t="s">
        <v>309</v>
      </c>
      <c r="AK14" s="0" t="s">
        <v>310</v>
      </c>
      <c r="AL14" s="0" t="s">
        <v>311</v>
      </c>
      <c r="AM14" s="0" t="s">
        <v>94</v>
      </c>
      <c r="AN14" s="26" t="n">
        <f aca="false">IFERROR(E14*(1+IF(AM14="Apartment",Data_Summary!$C$3,0)),"")</f>
        <v>4.76878612716763</v>
      </c>
      <c r="AO14" s="4" t="n">
        <v>46195</v>
      </c>
    </row>
    <row r="15" customFormat="false" ht="15" hidden="false" customHeight="false" outlineLevel="0" collapsed="false">
      <c r="A15" s="0" t="n">
        <f aca="false">IF(AND(ISNUMBER(B15),B15&gt;0,ISNUMBER(AB15),AB15&gt;0,J15&gt;=Data_Summary!$C$1),1,0)</f>
        <v>1</v>
      </c>
      <c r="B15" s="30" t="n">
        <v>505</v>
      </c>
      <c r="C15" s="5" t="n">
        <f aca="false">IF(ISNUMBER(AB15),AB15,"")</f>
        <v>2300</v>
      </c>
      <c r="D15" s="0" t="n">
        <f aca="false">IF(ISNUMBER(C15),C15-U15*Data_Summary!$C$2,"")</f>
        <v>2300</v>
      </c>
      <c r="E15" s="31" t="n">
        <f aca="false">IFERROR(C15/B15,"")</f>
        <v>4.55445544554455</v>
      </c>
      <c r="F15" s="26" t="n">
        <f aca="false">IFERROR(D15/B15,"")</f>
        <v>4.55445544554455</v>
      </c>
      <c r="G15" s="0" t="str">
        <f aca="false">Q15</f>
        <v>1</v>
      </c>
      <c r="H15" s="0" t="str">
        <f aca="false">IFERROR(LEFT(G15,1),"")</f>
        <v>1</v>
      </c>
      <c r="I15" s="0" t="n">
        <f aca="false">IF(LEN(G15)&gt;1,1,0)</f>
        <v>0</v>
      </c>
      <c r="J15" s="4" t="n">
        <v>46177</v>
      </c>
      <c r="K15" s="0" t="s">
        <v>10</v>
      </c>
      <c r="L15" s="0" t="s">
        <v>91</v>
      </c>
      <c r="M15" s="0" t="s">
        <v>226</v>
      </c>
      <c r="N15" s="0" t="s">
        <v>93</v>
      </c>
      <c r="O15" s="0" t="s">
        <v>312</v>
      </c>
      <c r="Q15" s="0" t="s">
        <v>242</v>
      </c>
      <c r="R15" s="0" t="n">
        <v>1</v>
      </c>
      <c r="S15" s="5" t="n">
        <v>505</v>
      </c>
      <c r="T15" s="0" t="s">
        <v>243</v>
      </c>
      <c r="U15" s="0" t="n">
        <v>0</v>
      </c>
      <c r="V15" s="0" t="s">
        <v>230</v>
      </c>
      <c r="W15" s="0" t="s">
        <v>244</v>
      </c>
      <c r="X15" s="0" t="s">
        <v>232</v>
      </c>
      <c r="Y15" s="0" t="s">
        <v>245</v>
      </c>
      <c r="Z15" s="0" t="s">
        <v>234</v>
      </c>
      <c r="AA15" s="0" t="s">
        <v>235</v>
      </c>
      <c r="AB15" s="32" t="n">
        <v>2300</v>
      </c>
      <c r="AC15" s="32" t="n">
        <v>2300</v>
      </c>
      <c r="AD15" s="26" t="n">
        <f aca="false">IFERROR(AB15/B15,"")</f>
        <v>4.55445544554455</v>
      </c>
      <c r="AE15" s="26" t="n">
        <f aca="false">IFERROR(AC15/B15,"")</f>
        <v>4.55445544554455</v>
      </c>
      <c r="AF15" s="0" t="s">
        <v>236</v>
      </c>
      <c r="AG15" s="0" t="s">
        <v>236</v>
      </c>
      <c r="AH15" s="0" t="s">
        <v>236</v>
      </c>
      <c r="AI15" s="0" t="s">
        <v>313</v>
      </c>
      <c r="AJ15" s="0" t="s">
        <v>314</v>
      </c>
      <c r="AK15" s="0" t="s">
        <v>315</v>
      </c>
      <c r="AL15" s="0" t="s">
        <v>316</v>
      </c>
      <c r="AM15" s="0" t="s">
        <v>94</v>
      </c>
      <c r="AN15" s="26" t="n">
        <f aca="false">IFERROR(E15*(1+IF(AM15="Apartment",Data_Summary!$C$3,0)),"")</f>
        <v>4.55445544554455</v>
      </c>
      <c r="AO15" s="4" t="n">
        <v>46195</v>
      </c>
    </row>
    <row r="16" customFormat="false" ht="15" hidden="false" customHeight="false" outlineLevel="0" collapsed="false">
      <c r="A16" s="0" t="n">
        <f aca="false">IF(AND(ISNUMBER(B16),B16&gt;0,ISNUMBER(AB16),AB16&gt;0,J16&gt;=Data_Summary!$C$1),1,0)</f>
        <v>1</v>
      </c>
      <c r="B16" s="30" t="n">
        <v>505</v>
      </c>
      <c r="C16" s="5" t="n">
        <f aca="false">IF(ISNUMBER(AB16),AB16,"")</f>
        <v>2250</v>
      </c>
      <c r="D16" s="0" t="n">
        <f aca="false">IF(ISNUMBER(C16),C16-U16*Data_Summary!$C$2,"")</f>
        <v>2250</v>
      </c>
      <c r="E16" s="31" t="n">
        <f aca="false">IFERROR(C16/B16,"")</f>
        <v>4.45544554455446</v>
      </c>
      <c r="F16" s="26" t="n">
        <f aca="false">IFERROR(D16/B16,"")</f>
        <v>4.45544554455446</v>
      </c>
      <c r="G16" s="0" t="str">
        <f aca="false">Q16</f>
        <v>1</v>
      </c>
      <c r="H16" s="0" t="str">
        <f aca="false">IFERROR(LEFT(G16,1),"")</f>
        <v>1</v>
      </c>
      <c r="I16" s="0" t="n">
        <f aca="false">IF(LEN(G16)&gt;1,1,0)</f>
        <v>0</v>
      </c>
      <c r="J16" s="4" t="n">
        <v>46174</v>
      </c>
      <c r="K16" s="0" t="s">
        <v>10</v>
      </c>
      <c r="L16" s="0" t="s">
        <v>91</v>
      </c>
      <c r="M16" s="0" t="s">
        <v>226</v>
      </c>
      <c r="N16" s="0" t="s">
        <v>93</v>
      </c>
      <c r="O16" s="0" t="s">
        <v>317</v>
      </c>
      <c r="Q16" s="0" t="s">
        <v>242</v>
      </c>
      <c r="R16" s="0" t="n">
        <v>1</v>
      </c>
      <c r="S16" s="5" t="n">
        <v>505</v>
      </c>
      <c r="T16" s="0" t="s">
        <v>243</v>
      </c>
      <c r="U16" s="0" t="n">
        <v>0</v>
      </c>
      <c r="V16" s="0" t="s">
        <v>230</v>
      </c>
      <c r="W16" s="0" t="s">
        <v>244</v>
      </c>
      <c r="X16" s="0" t="s">
        <v>232</v>
      </c>
      <c r="Y16" s="0" t="s">
        <v>245</v>
      </c>
      <c r="Z16" s="0" t="s">
        <v>234</v>
      </c>
      <c r="AA16" s="0" t="s">
        <v>235</v>
      </c>
      <c r="AB16" s="32" t="n">
        <v>2250</v>
      </c>
      <c r="AC16" s="32" t="n">
        <v>2250</v>
      </c>
      <c r="AD16" s="26" t="n">
        <f aca="false">IFERROR(AB16/B16,"")</f>
        <v>4.45544554455446</v>
      </c>
      <c r="AE16" s="26" t="n">
        <f aca="false">IFERROR(AC16/B16,"")</f>
        <v>4.45544554455446</v>
      </c>
      <c r="AF16" s="0" t="s">
        <v>236</v>
      </c>
      <c r="AG16" s="0" t="s">
        <v>236</v>
      </c>
      <c r="AH16" s="0" t="s">
        <v>230</v>
      </c>
      <c r="AI16" s="0" t="s">
        <v>318</v>
      </c>
      <c r="AJ16" s="0" t="s">
        <v>319</v>
      </c>
      <c r="AK16" s="0" t="s">
        <v>320</v>
      </c>
      <c r="AL16" s="0" t="s">
        <v>321</v>
      </c>
      <c r="AM16" s="0" t="s">
        <v>94</v>
      </c>
      <c r="AN16" s="26" t="n">
        <f aca="false">IFERROR(E16*(1+IF(AM16="Apartment",Data_Summary!$C$3,0)),"")</f>
        <v>4.45544554455446</v>
      </c>
      <c r="AO16" s="4" t="n">
        <v>46195</v>
      </c>
    </row>
    <row r="17" customFormat="false" ht="15" hidden="false" customHeight="false" outlineLevel="0" collapsed="false">
      <c r="A17" s="0" t="n">
        <f aca="false">IF(AND(ISNUMBER(B17),B17&gt;0,ISNUMBER(AB17),AB17&gt;0,J17&gt;=Data_Summary!$C$1),1,0)</f>
        <v>1</v>
      </c>
      <c r="B17" s="30" t="n">
        <v>485</v>
      </c>
      <c r="C17" s="5" t="n">
        <f aca="false">IF(ISNUMBER(AB17),AB17,"")</f>
        <v>2200</v>
      </c>
      <c r="D17" s="0" t="n">
        <f aca="false">IF(ISNUMBER(C17),C17-U17*Data_Summary!$C$2,"")</f>
        <v>2200</v>
      </c>
      <c r="E17" s="31" t="n">
        <f aca="false">IFERROR(C17/B17,"")</f>
        <v>4.5360824742268</v>
      </c>
      <c r="F17" s="26" t="n">
        <f aca="false">IFERROR(D17/B17,"")</f>
        <v>4.5360824742268</v>
      </c>
      <c r="G17" s="0" t="str">
        <f aca="false">Q17</f>
        <v>1</v>
      </c>
      <c r="H17" s="0" t="str">
        <f aca="false">IFERROR(LEFT(G17,1),"")</f>
        <v>1</v>
      </c>
      <c r="I17" s="0" t="n">
        <f aca="false">IF(LEN(G17)&gt;1,1,0)</f>
        <v>0</v>
      </c>
      <c r="J17" s="4" t="n">
        <v>46174</v>
      </c>
      <c r="K17" s="0" t="s">
        <v>10</v>
      </c>
      <c r="L17" s="0" t="s">
        <v>91</v>
      </c>
      <c r="M17" s="0" t="s">
        <v>226</v>
      </c>
      <c r="N17" s="0" t="s">
        <v>93</v>
      </c>
      <c r="O17" s="0" t="s">
        <v>322</v>
      </c>
      <c r="Q17" s="0" t="s">
        <v>242</v>
      </c>
      <c r="R17" s="0" t="n">
        <v>1</v>
      </c>
      <c r="S17" s="5" t="n">
        <v>485</v>
      </c>
      <c r="T17" s="0" t="s">
        <v>303</v>
      </c>
      <c r="U17" s="0" t="n">
        <v>0</v>
      </c>
      <c r="V17" s="0" t="s">
        <v>230</v>
      </c>
      <c r="W17" s="0" t="s">
        <v>244</v>
      </c>
      <c r="X17" s="0" t="s">
        <v>232</v>
      </c>
      <c r="Y17" s="0" t="s">
        <v>253</v>
      </c>
      <c r="Z17" s="0" t="s">
        <v>234</v>
      </c>
      <c r="AA17" s="0" t="s">
        <v>235</v>
      </c>
      <c r="AB17" s="32" t="n">
        <v>2200</v>
      </c>
      <c r="AC17" s="32" t="n">
        <v>2200</v>
      </c>
      <c r="AD17" s="26" t="n">
        <f aca="false">IFERROR(AB17/B17,"")</f>
        <v>4.5360824742268</v>
      </c>
      <c r="AE17" s="26" t="n">
        <f aca="false">IFERROR(AC17/B17,"")</f>
        <v>4.5360824742268</v>
      </c>
      <c r="AF17" s="0" t="s">
        <v>236</v>
      </c>
      <c r="AG17" s="0" t="s">
        <v>236</v>
      </c>
      <c r="AH17" s="0" t="s">
        <v>230</v>
      </c>
      <c r="AI17" s="0" t="s">
        <v>318</v>
      </c>
      <c r="AJ17" s="0" t="s">
        <v>323</v>
      </c>
      <c r="AK17" s="0" t="s">
        <v>324</v>
      </c>
      <c r="AL17" s="0" t="s">
        <v>325</v>
      </c>
      <c r="AM17" s="0" t="s">
        <v>94</v>
      </c>
      <c r="AN17" s="26" t="n">
        <f aca="false">IFERROR(E17*(1+IF(AM17="Apartment",Data_Summary!$C$3,0)),"")</f>
        <v>4.5360824742268</v>
      </c>
      <c r="AO17" s="4" t="n">
        <v>46195</v>
      </c>
    </row>
    <row r="18" customFormat="false" ht="15" hidden="false" customHeight="false" outlineLevel="0" collapsed="false">
      <c r="A18" s="0" t="n">
        <f aca="false">IF(AND(ISNUMBER(B18),B18&gt;0,ISNUMBER(AB18),AB18&gt;0,J18&gt;=Data_Summary!$C$1),1,0)</f>
        <v>1</v>
      </c>
      <c r="B18" s="30" t="n">
        <v>718</v>
      </c>
      <c r="C18" s="5" t="n">
        <f aca="false">IF(ISNUMBER(AB18),AB18,"")</f>
        <v>3600</v>
      </c>
      <c r="D18" s="0" t="n">
        <f aca="false">IF(ISNUMBER(C18),C18-U18*Data_Summary!$C$2,"")</f>
        <v>3450</v>
      </c>
      <c r="E18" s="31" t="n">
        <f aca="false">IFERROR(C18/B18,"")</f>
        <v>5.01392757660167</v>
      </c>
      <c r="F18" s="26" t="n">
        <f aca="false">IFERROR(D18/B18,"")</f>
        <v>4.8050139275766</v>
      </c>
      <c r="G18" s="0" t="str">
        <f aca="false">Q18</f>
        <v>2</v>
      </c>
      <c r="H18" s="0" t="str">
        <f aca="false">IFERROR(LEFT(G18,1),"")</f>
        <v>2</v>
      </c>
      <c r="I18" s="0" t="n">
        <f aca="false">IF(LEN(G18)&gt;1,1,0)</f>
        <v>0</v>
      </c>
      <c r="J18" s="4" t="n">
        <v>46172</v>
      </c>
      <c r="K18" s="0" t="s">
        <v>10</v>
      </c>
      <c r="L18" s="0" t="s">
        <v>91</v>
      </c>
      <c r="M18" s="0" t="s">
        <v>226</v>
      </c>
      <c r="N18" s="0" t="s">
        <v>93</v>
      </c>
      <c r="O18" s="0" t="s">
        <v>326</v>
      </c>
      <c r="Q18" s="0" t="s">
        <v>251</v>
      </c>
      <c r="R18" s="0" t="n">
        <v>2</v>
      </c>
      <c r="S18" s="5" t="n">
        <v>718</v>
      </c>
      <c r="T18" s="0" t="s">
        <v>252</v>
      </c>
      <c r="U18" s="0" t="n">
        <v>1</v>
      </c>
      <c r="V18" s="0" t="s">
        <v>230</v>
      </c>
      <c r="W18" s="0" t="s">
        <v>244</v>
      </c>
      <c r="X18" s="0" t="s">
        <v>232</v>
      </c>
      <c r="Y18" s="0" t="s">
        <v>233</v>
      </c>
      <c r="Z18" s="0" t="s">
        <v>234</v>
      </c>
      <c r="AA18" s="0" t="s">
        <v>235</v>
      </c>
      <c r="AB18" s="32" t="n">
        <v>3600</v>
      </c>
      <c r="AC18" s="32" t="n">
        <v>3600</v>
      </c>
      <c r="AD18" s="26" t="n">
        <f aca="false">IFERROR(AB18/B18,"")</f>
        <v>5.01392757660167</v>
      </c>
      <c r="AE18" s="26" t="n">
        <f aca="false">IFERROR(AC18/B18,"")</f>
        <v>5.01392757660167</v>
      </c>
      <c r="AF18" s="0" t="s">
        <v>236</v>
      </c>
      <c r="AG18" s="0" t="s">
        <v>236</v>
      </c>
      <c r="AH18" s="0" t="s">
        <v>236</v>
      </c>
      <c r="AI18" s="0" t="s">
        <v>327</v>
      </c>
      <c r="AJ18" s="0" t="s">
        <v>328</v>
      </c>
      <c r="AK18" s="0" t="s">
        <v>329</v>
      </c>
      <c r="AL18" s="0" t="s">
        <v>330</v>
      </c>
      <c r="AM18" s="0" t="s">
        <v>94</v>
      </c>
      <c r="AN18" s="26" t="n">
        <f aca="false">IFERROR(E18*(1+IF(AM18="Apartment",Data_Summary!$C$3,0)),"")</f>
        <v>5.01392757660167</v>
      </c>
      <c r="AO18" s="4" t="n">
        <v>46195</v>
      </c>
    </row>
    <row r="19" customFormat="false" ht="15" hidden="false" customHeight="false" outlineLevel="0" collapsed="false">
      <c r="A19" s="0" t="n">
        <f aca="false">IF(AND(ISNUMBER(B19),B19&gt;0,ISNUMBER(AB19),AB19&gt;0,J19&gt;=Data_Summary!$C$1),1,0)</f>
        <v>1</v>
      </c>
      <c r="B19" s="30" t="n">
        <v>540</v>
      </c>
      <c r="C19" s="5" t="n">
        <f aca="false">IF(ISNUMBER(AB19),AB19,"")</f>
        <v>2400</v>
      </c>
      <c r="D19" s="0" t="n">
        <f aca="false">IF(ISNUMBER(C19),C19-U19*Data_Summary!$C$2,"")</f>
        <v>2400</v>
      </c>
      <c r="E19" s="31" t="n">
        <f aca="false">IFERROR(C19/B19,"")</f>
        <v>4.44444444444445</v>
      </c>
      <c r="F19" s="26" t="n">
        <f aca="false">IFERROR(D19/B19,"")</f>
        <v>4.44444444444445</v>
      </c>
      <c r="G19" s="0" t="str">
        <f aca="false">Q19</f>
        <v>1</v>
      </c>
      <c r="H19" s="0" t="str">
        <f aca="false">IFERROR(LEFT(G19,1),"")</f>
        <v>1</v>
      </c>
      <c r="I19" s="0" t="n">
        <f aca="false">IF(LEN(G19)&gt;1,1,0)</f>
        <v>0</v>
      </c>
      <c r="J19" s="4" t="n">
        <v>46172</v>
      </c>
      <c r="K19" s="0" t="s">
        <v>10</v>
      </c>
      <c r="L19" s="0" t="s">
        <v>91</v>
      </c>
      <c r="M19" s="0" t="s">
        <v>226</v>
      </c>
      <c r="N19" s="0" t="s">
        <v>93</v>
      </c>
      <c r="O19" s="0" t="s">
        <v>331</v>
      </c>
      <c r="Q19" s="0" t="s">
        <v>242</v>
      </c>
      <c r="R19" s="0" t="n">
        <v>1</v>
      </c>
      <c r="S19" s="5" t="n">
        <v>540</v>
      </c>
      <c r="T19" s="0" t="s">
        <v>243</v>
      </c>
      <c r="U19" s="0" t="n">
        <v>0</v>
      </c>
      <c r="V19" s="0" t="s">
        <v>230</v>
      </c>
      <c r="W19" s="0" t="s">
        <v>244</v>
      </c>
      <c r="X19" s="0" t="s">
        <v>232</v>
      </c>
      <c r="Y19" s="0" t="s">
        <v>278</v>
      </c>
      <c r="Z19" s="0" t="s">
        <v>234</v>
      </c>
      <c r="AA19" s="0" t="s">
        <v>235</v>
      </c>
      <c r="AB19" s="32" t="n">
        <v>2400</v>
      </c>
      <c r="AC19" s="32" t="n">
        <v>2380</v>
      </c>
      <c r="AD19" s="26" t="n">
        <f aca="false">IFERROR(AB19/B19,"")</f>
        <v>4.44444444444445</v>
      </c>
      <c r="AE19" s="26" t="n">
        <f aca="false">IFERROR(AC19/B19,"")</f>
        <v>4.40740740740741</v>
      </c>
      <c r="AF19" s="0" t="s">
        <v>236</v>
      </c>
      <c r="AG19" s="0" t="s">
        <v>236</v>
      </c>
      <c r="AH19" s="0" t="s">
        <v>230</v>
      </c>
      <c r="AI19" s="0" t="s">
        <v>327</v>
      </c>
      <c r="AJ19" s="0" t="s">
        <v>332</v>
      </c>
      <c r="AK19" s="0" t="s">
        <v>333</v>
      </c>
      <c r="AL19" s="0" t="s">
        <v>334</v>
      </c>
      <c r="AM19" s="0" t="s">
        <v>94</v>
      </c>
      <c r="AN19" s="26" t="n">
        <f aca="false">IFERROR(E19*(1+IF(AM19="Apartment",Data_Summary!$C$3,0)),"")</f>
        <v>4.44444444444445</v>
      </c>
      <c r="AO19" s="4" t="n">
        <v>46195</v>
      </c>
    </row>
    <row r="20" customFormat="false" ht="15" hidden="false" customHeight="false" outlineLevel="0" collapsed="false">
      <c r="A20" s="0" t="n">
        <f aca="false">IF(AND(ISNUMBER(B20),B20&gt;0,ISNUMBER(AB20),AB20&gt;0,J20&gt;=Data_Summary!$C$1),1,0)</f>
        <v>1</v>
      </c>
      <c r="B20" s="30" t="n">
        <v>502</v>
      </c>
      <c r="C20" s="5" t="n">
        <f aca="false">IF(ISNUMBER(AB20),AB20,"")</f>
        <v>2300</v>
      </c>
      <c r="D20" s="0" t="n">
        <f aca="false">IF(ISNUMBER(C20),C20-U20*Data_Summary!$C$2,"")</f>
        <v>2300</v>
      </c>
      <c r="E20" s="31" t="n">
        <f aca="false">IFERROR(C20/B20,"")</f>
        <v>4.58167330677291</v>
      </c>
      <c r="F20" s="26" t="n">
        <f aca="false">IFERROR(D20/B20,"")</f>
        <v>4.58167330677291</v>
      </c>
      <c r="G20" s="0" t="str">
        <f aca="false">Q20</f>
        <v>1</v>
      </c>
      <c r="H20" s="0" t="str">
        <f aca="false">IFERROR(LEFT(G20,1),"")</f>
        <v>1</v>
      </c>
      <c r="I20" s="0" t="n">
        <f aca="false">IF(LEN(G20)&gt;1,1,0)</f>
        <v>0</v>
      </c>
      <c r="J20" s="4" t="n">
        <v>46172</v>
      </c>
      <c r="K20" s="0" t="s">
        <v>10</v>
      </c>
      <c r="L20" s="0" t="s">
        <v>91</v>
      </c>
      <c r="M20" s="0" t="s">
        <v>226</v>
      </c>
      <c r="N20" s="0" t="s">
        <v>93</v>
      </c>
      <c r="O20" s="0" t="s">
        <v>335</v>
      </c>
      <c r="Q20" s="0" t="s">
        <v>242</v>
      </c>
      <c r="R20" s="0" t="n">
        <v>1</v>
      </c>
      <c r="S20" s="5" t="n">
        <v>502</v>
      </c>
      <c r="T20" s="0" t="s">
        <v>243</v>
      </c>
      <c r="U20" s="0" t="n">
        <v>0</v>
      </c>
      <c r="V20" s="0" t="s">
        <v>230</v>
      </c>
      <c r="W20" s="0" t="s">
        <v>244</v>
      </c>
      <c r="X20" s="0" t="s">
        <v>232</v>
      </c>
      <c r="Y20" s="0" t="s">
        <v>253</v>
      </c>
      <c r="Z20" s="0" t="s">
        <v>234</v>
      </c>
      <c r="AA20" s="0" t="s">
        <v>235</v>
      </c>
      <c r="AB20" s="32" t="n">
        <v>2300</v>
      </c>
      <c r="AC20" s="32" t="n">
        <v>2500</v>
      </c>
      <c r="AD20" s="26" t="n">
        <f aca="false">IFERROR(AB20/B20,"")</f>
        <v>4.58167330677291</v>
      </c>
      <c r="AE20" s="26" t="n">
        <f aca="false">IFERROR(AC20/B20,"")</f>
        <v>4.9800796812749</v>
      </c>
      <c r="AF20" s="0" t="s">
        <v>236</v>
      </c>
      <c r="AG20" s="0" t="s">
        <v>236</v>
      </c>
      <c r="AH20" s="0" t="s">
        <v>230</v>
      </c>
      <c r="AI20" s="0" t="s">
        <v>327</v>
      </c>
      <c r="AJ20" s="0" t="s">
        <v>336</v>
      </c>
      <c r="AK20" s="0" t="s">
        <v>337</v>
      </c>
      <c r="AL20" s="0" t="s">
        <v>338</v>
      </c>
      <c r="AM20" s="0" t="s">
        <v>94</v>
      </c>
      <c r="AN20" s="26" t="n">
        <f aca="false">IFERROR(E20*(1+IF(AM20="Apartment",Data_Summary!$C$3,0)),"")</f>
        <v>4.58167330677291</v>
      </c>
      <c r="AO20" s="4" t="n">
        <v>46195</v>
      </c>
    </row>
    <row r="21" customFormat="false" ht="15" hidden="false" customHeight="false" outlineLevel="0" collapsed="false">
      <c r="A21" s="0" t="n">
        <f aca="false">IF(AND(ISNUMBER(B21),B21&gt;0,ISNUMBER(AB21),AB21&gt;0,J21&gt;=Data_Summary!$C$1),1,0)</f>
        <v>1</v>
      </c>
      <c r="B21" s="30" t="n">
        <v>485</v>
      </c>
      <c r="C21" s="5" t="n">
        <f aca="false">IF(ISNUMBER(AB21),AB21,"")</f>
        <v>2300</v>
      </c>
      <c r="D21" s="0" t="n">
        <f aca="false">IF(ISNUMBER(C21),C21-U21*Data_Summary!$C$2,"")</f>
        <v>2300</v>
      </c>
      <c r="E21" s="31" t="n">
        <f aca="false">IFERROR(C21/B21,"")</f>
        <v>4.74226804123711</v>
      </c>
      <c r="F21" s="26" t="n">
        <f aca="false">IFERROR(D21/B21,"")</f>
        <v>4.74226804123711</v>
      </c>
      <c r="G21" s="0" t="str">
        <f aca="false">Q21</f>
        <v>1</v>
      </c>
      <c r="H21" s="0" t="str">
        <f aca="false">IFERROR(LEFT(G21,1),"")</f>
        <v>1</v>
      </c>
      <c r="I21" s="0" t="n">
        <f aca="false">IF(LEN(G21)&gt;1,1,0)</f>
        <v>0</v>
      </c>
      <c r="J21" s="4" t="n">
        <v>46172</v>
      </c>
      <c r="K21" s="0" t="s">
        <v>10</v>
      </c>
      <c r="L21" s="0" t="s">
        <v>91</v>
      </c>
      <c r="M21" s="0" t="s">
        <v>226</v>
      </c>
      <c r="N21" s="0" t="s">
        <v>93</v>
      </c>
      <c r="O21" s="0" t="s">
        <v>339</v>
      </c>
      <c r="Q21" s="0" t="s">
        <v>242</v>
      </c>
      <c r="R21" s="0" t="n">
        <v>1</v>
      </c>
      <c r="S21" s="5" t="n">
        <v>485</v>
      </c>
      <c r="T21" s="0" t="s">
        <v>303</v>
      </c>
      <c r="U21" s="0" t="n">
        <v>0</v>
      </c>
      <c r="V21" s="0" t="s">
        <v>230</v>
      </c>
      <c r="W21" s="0" t="s">
        <v>231</v>
      </c>
      <c r="X21" s="0" t="s">
        <v>232</v>
      </c>
      <c r="Y21" s="0" t="s">
        <v>253</v>
      </c>
      <c r="Z21" s="0" t="s">
        <v>234</v>
      </c>
      <c r="AA21" s="0" t="s">
        <v>235</v>
      </c>
      <c r="AB21" s="32" t="n">
        <v>2300</v>
      </c>
      <c r="AC21" s="32" t="n">
        <v>2300</v>
      </c>
      <c r="AD21" s="26" t="n">
        <f aca="false">IFERROR(AB21/B21,"")</f>
        <v>4.74226804123711</v>
      </c>
      <c r="AE21" s="26" t="n">
        <f aca="false">IFERROR(AC21/B21,"")</f>
        <v>4.74226804123711</v>
      </c>
      <c r="AF21" s="0" t="s">
        <v>236</v>
      </c>
      <c r="AG21" s="0" t="s">
        <v>236</v>
      </c>
      <c r="AH21" s="0" t="s">
        <v>236</v>
      </c>
      <c r="AI21" s="0" t="s">
        <v>327</v>
      </c>
      <c r="AJ21" s="0" t="s">
        <v>340</v>
      </c>
      <c r="AK21" s="0" t="s">
        <v>341</v>
      </c>
      <c r="AL21" s="0" t="s">
        <v>342</v>
      </c>
      <c r="AM21" s="0" t="s">
        <v>94</v>
      </c>
      <c r="AN21" s="26" t="n">
        <f aca="false">IFERROR(E21*(1+IF(AM21="Apartment",Data_Summary!$C$3,0)),"")</f>
        <v>4.74226804123711</v>
      </c>
      <c r="AO21" s="4" t="n">
        <v>46195</v>
      </c>
    </row>
    <row r="22" customFormat="false" ht="15" hidden="false" customHeight="false" outlineLevel="0" collapsed="false">
      <c r="A22" s="0" t="n">
        <f aca="false">IF(AND(ISNUMBER(B22),B22&gt;0,ISNUMBER(AB22),AB22&gt;0,J22&gt;=Data_Summary!$C$1),1,0)</f>
        <v>1</v>
      </c>
      <c r="B22" s="30" t="n">
        <v>1038</v>
      </c>
      <c r="C22" s="5" t="n">
        <f aca="false">IF(ISNUMBER(AB22),AB22,"")</f>
        <v>4500</v>
      </c>
      <c r="D22" s="0" t="n">
        <f aca="false">IF(ISNUMBER(C22),C22-U22*Data_Summary!$C$2,"")</f>
        <v>4350</v>
      </c>
      <c r="E22" s="31" t="n">
        <f aca="false">IFERROR(C22/B22,"")</f>
        <v>4.33526011560694</v>
      </c>
      <c r="F22" s="26" t="n">
        <f aca="false">IFERROR(D22/B22,"")</f>
        <v>4.19075144508671</v>
      </c>
      <c r="G22" s="0" t="str">
        <f aca="false">Q22</f>
        <v>3</v>
      </c>
      <c r="H22" s="0" t="str">
        <f aca="false">IFERROR(LEFT(G22,1),"")</f>
        <v>3</v>
      </c>
      <c r="I22" s="0" t="n">
        <f aca="false">IF(LEN(G22)&gt;1,1,0)</f>
        <v>0</v>
      </c>
      <c r="J22" s="4" t="n">
        <v>46171</v>
      </c>
      <c r="K22" s="0" t="s">
        <v>10</v>
      </c>
      <c r="L22" s="0" t="s">
        <v>91</v>
      </c>
      <c r="M22" s="0" t="s">
        <v>226</v>
      </c>
      <c r="N22" s="0" t="s">
        <v>93</v>
      </c>
      <c r="O22" s="0" t="s">
        <v>343</v>
      </c>
      <c r="Q22" s="0" t="s">
        <v>228</v>
      </c>
      <c r="R22" s="0" t="n">
        <v>2</v>
      </c>
      <c r="S22" s="5" t="n">
        <v>1038</v>
      </c>
      <c r="T22" s="0" t="s">
        <v>265</v>
      </c>
      <c r="U22" s="0" t="n">
        <v>1</v>
      </c>
      <c r="V22" s="0" t="s">
        <v>230</v>
      </c>
      <c r="W22" s="0" t="s">
        <v>231</v>
      </c>
      <c r="X22" s="0" t="s">
        <v>232</v>
      </c>
      <c r="Y22" s="0" t="s">
        <v>253</v>
      </c>
      <c r="Z22" s="0" t="s">
        <v>234</v>
      </c>
      <c r="AA22" s="0" t="s">
        <v>235</v>
      </c>
      <c r="AB22" s="32" t="n">
        <v>4500</v>
      </c>
      <c r="AC22" s="32" t="n">
        <v>4500</v>
      </c>
      <c r="AD22" s="26" t="n">
        <f aca="false">IFERROR(AB22/B22,"")</f>
        <v>4.33526011560694</v>
      </c>
      <c r="AE22" s="26" t="n">
        <f aca="false">IFERROR(AC22/B22,"")</f>
        <v>4.33526011560694</v>
      </c>
      <c r="AF22" s="0" t="s">
        <v>236</v>
      </c>
      <c r="AG22" s="0" t="s">
        <v>236</v>
      </c>
      <c r="AH22" s="0" t="s">
        <v>230</v>
      </c>
      <c r="AI22" s="0" t="s">
        <v>344</v>
      </c>
      <c r="AJ22" s="0" t="s">
        <v>345</v>
      </c>
      <c r="AK22" s="0" t="s">
        <v>346</v>
      </c>
      <c r="AL22" s="0" t="s">
        <v>347</v>
      </c>
      <c r="AM22" s="0" t="s">
        <v>94</v>
      </c>
      <c r="AN22" s="26" t="n">
        <f aca="false">IFERROR(E22*(1+IF(AM22="Apartment",Data_Summary!$C$3,0)),"")</f>
        <v>4.33526011560694</v>
      </c>
      <c r="AO22" s="4" t="n">
        <v>46195</v>
      </c>
    </row>
    <row r="23" customFormat="false" ht="15" hidden="false" customHeight="false" outlineLevel="0" collapsed="false">
      <c r="A23" s="0" t="n">
        <f aca="false">IF(AND(ISNUMBER(B23),B23&gt;0,ISNUMBER(AB23),AB23&gt;0,J23&gt;=Data_Summary!$C$1),1,0)</f>
        <v>1</v>
      </c>
      <c r="B23" s="30" t="n">
        <v>740</v>
      </c>
      <c r="C23" s="5" t="n">
        <f aca="false">IF(ISNUMBER(AB23),AB23,"")</f>
        <v>3400</v>
      </c>
      <c r="D23" s="0" t="n">
        <f aca="false">IF(ISNUMBER(C23),C23-U23*Data_Summary!$C$2,"")</f>
        <v>3250</v>
      </c>
      <c r="E23" s="31" t="n">
        <f aca="false">IFERROR(C23/B23,"")</f>
        <v>4.5945945945946</v>
      </c>
      <c r="F23" s="26" t="n">
        <f aca="false">IFERROR(D23/B23,"")</f>
        <v>4.39189189189189</v>
      </c>
      <c r="G23" s="0" t="str">
        <f aca="false">Q23</f>
        <v>2</v>
      </c>
      <c r="H23" s="0" t="str">
        <f aca="false">IFERROR(LEFT(G23,1),"")</f>
        <v>2</v>
      </c>
      <c r="I23" s="0" t="n">
        <f aca="false">IF(LEN(G23)&gt;1,1,0)</f>
        <v>0</v>
      </c>
      <c r="J23" s="4" t="n">
        <v>46169</v>
      </c>
      <c r="K23" s="0" t="s">
        <v>10</v>
      </c>
      <c r="L23" s="0" t="s">
        <v>91</v>
      </c>
      <c r="M23" s="0" t="s">
        <v>226</v>
      </c>
      <c r="N23" s="0" t="s">
        <v>93</v>
      </c>
      <c r="O23" s="0" t="s">
        <v>348</v>
      </c>
      <c r="Q23" s="0" t="s">
        <v>251</v>
      </c>
      <c r="R23" s="0" t="n">
        <v>2</v>
      </c>
      <c r="S23" s="5" t="n">
        <v>740</v>
      </c>
      <c r="T23" s="0" t="s">
        <v>252</v>
      </c>
      <c r="U23" s="0" t="n">
        <v>1</v>
      </c>
      <c r="V23" s="0" t="s">
        <v>230</v>
      </c>
      <c r="W23" s="0" t="s">
        <v>231</v>
      </c>
      <c r="X23" s="0" t="s">
        <v>232</v>
      </c>
      <c r="Y23" s="0" t="s">
        <v>253</v>
      </c>
      <c r="Z23" s="0" t="s">
        <v>234</v>
      </c>
      <c r="AA23" s="0" t="s">
        <v>235</v>
      </c>
      <c r="AB23" s="32" t="n">
        <v>3400</v>
      </c>
      <c r="AC23" s="32" t="n">
        <v>3400</v>
      </c>
      <c r="AD23" s="26" t="n">
        <f aca="false">IFERROR(AB23/B23,"")</f>
        <v>4.5945945945946</v>
      </c>
      <c r="AE23" s="26" t="n">
        <f aca="false">IFERROR(AC23/B23,"")</f>
        <v>4.5945945945946</v>
      </c>
      <c r="AF23" s="0" t="s">
        <v>236</v>
      </c>
      <c r="AG23" s="0" t="s">
        <v>236</v>
      </c>
      <c r="AH23" s="0" t="s">
        <v>230</v>
      </c>
      <c r="AI23" s="0" t="s">
        <v>349</v>
      </c>
      <c r="AJ23" s="0" t="s">
        <v>350</v>
      </c>
      <c r="AK23" s="0" t="s">
        <v>351</v>
      </c>
      <c r="AL23" s="0" t="s">
        <v>352</v>
      </c>
      <c r="AM23" s="0" t="s">
        <v>94</v>
      </c>
      <c r="AN23" s="26" t="n">
        <f aca="false">IFERROR(E23*(1+IF(AM23="Apartment",Data_Summary!$C$3,0)),"")</f>
        <v>4.5945945945946</v>
      </c>
      <c r="AO23" s="4" t="n">
        <v>46195</v>
      </c>
    </row>
    <row r="24" customFormat="false" ht="15" hidden="false" customHeight="false" outlineLevel="0" collapsed="false">
      <c r="A24" s="0" t="n">
        <f aca="false">IF(AND(ISNUMBER(B24),B24&gt;0,ISNUMBER(AB24),AB24&gt;0,J24&gt;=Data_Summary!$C$1),1,0)</f>
        <v>1</v>
      </c>
      <c r="B24" s="30" t="n">
        <v>1073</v>
      </c>
      <c r="C24" s="5" t="n">
        <f aca="false">IF(ISNUMBER(AB24),AB24,"")</f>
        <v>5500</v>
      </c>
      <c r="D24" s="0" t="n">
        <f aca="false">IF(ISNUMBER(C24),C24-U24*Data_Summary!$C$2,"")</f>
        <v>5200</v>
      </c>
      <c r="E24" s="31" t="n">
        <f aca="false">IFERROR(C24/B24,"")</f>
        <v>5.12581547064306</v>
      </c>
      <c r="F24" s="26" t="n">
        <f aca="false">IFERROR(D24/B24,"")</f>
        <v>4.84622553588071</v>
      </c>
      <c r="G24" s="0" t="str">
        <f aca="false">Q24</f>
        <v>2</v>
      </c>
      <c r="H24" s="0" t="str">
        <f aca="false">IFERROR(LEFT(G24,1),"")</f>
        <v>2</v>
      </c>
      <c r="I24" s="0" t="n">
        <f aca="false">IF(LEN(G24)&gt;1,1,0)</f>
        <v>0</v>
      </c>
      <c r="J24" s="4" t="n">
        <v>46169</v>
      </c>
      <c r="K24" s="0" t="s">
        <v>10</v>
      </c>
      <c r="L24" s="0" t="s">
        <v>91</v>
      </c>
      <c r="M24" s="0" t="s">
        <v>226</v>
      </c>
      <c r="N24" s="0" t="s">
        <v>93</v>
      </c>
      <c r="O24" s="0" t="s">
        <v>353</v>
      </c>
      <c r="Q24" s="0" t="s">
        <v>251</v>
      </c>
      <c r="R24" s="0" t="n">
        <v>2</v>
      </c>
      <c r="S24" s="5" t="n">
        <v>1073</v>
      </c>
      <c r="T24" s="0" t="s">
        <v>265</v>
      </c>
      <c r="U24" s="0" t="n">
        <v>2</v>
      </c>
      <c r="V24" s="0" t="s">
        <v>230</v>
      </c>
      <c r="W24" s="0" t="s">
        <v>231</v>
      </c>
      <c r="X24" s="0" t="s">
        <v>232</v>
      </c>
      <c r="Y24" s="0" t="s">
        <v>308</v>
      </c>
      <c r="Z24" s="0" t="s">
        <v>234</v>
      </c>
      <c r="AA24" s="0" t="s">
        <v>235</v>
      </c>
      <c r="AB24" s="32" t="n">
        <v>5500</v>
      </c>
      <c r="AC24" s="32" t="n">
        <v>5700</v>
      </c>
      <c r="AD24" s="26" t="n">
        <f aca="false">IFERROR(AB24/B24,"")</f>
        <v>5.12581547064306</v>
      </c>
      <c r="AE24" s="26" t="n">
        <f aca="false">IFERROR(AC24/B24,"")</f>
        <v>5.31220876048462</v>
      </c>
      <c r="AF24" s="0" t="s">
        <v>236</v>
      </c>
      <c r="AG24" s="0" t="s">
        <v>236</v>
      </c>
      <c r="AH24" s="0" t="s">
        <v>236</v>
      </c>
      <c r="AI24" s="0" t="s">
        <v>349</v>
      </c>
      <c r="AJ24" s="0" t="s">
        <v>354</v>
      </c>
      <c r="AK24" s="0" t="s">
        <v>355</v>
      </c>
      <c r="AL24" s="0" t="s">
        <v>356</v>
      </c>
      <c r="AM24" s="0" t="s">
        <v>94</v>
      </c>
      <c r="AN24" s="26" t="n">
        <f aca="false">IFERROR(E24*(1+IF(AM24="Apartment",Data_Summary!$C$3,0)),"")</f>
        <v>5.12581547064306</v>
      </c>
      <c r="AO24" s="4" t="n">
        <v>46195</v>
      </c>
    </row>
    <row r="25" customFormat="false" ht="15" hidden="false" customHeight="false" outlineLevel="0" collapsed="false">
      <c r="A25" s="0" t="n">
        <f aca="false">IF(AND(ISNUMBER(B25),B25&gt;0,ISNUMBER(AB25),AB25&gt;0,J25&gt;=Data_Summary!$C$1),1,0)</f>
        <v>1</v>
      </c>
      <c r="B25" s="30" t="n">
        <v>600</v>
      </c>
      <c r="C25" s="5" t="n">
        <f aca="false">IF(ISNUMBER(AB25),AB25,"")</f>
        <v>2500</v>
      </c>
      <c r="D25" s="0" t="n">
        <f aca="false">IF(ISNUMBER(C25),C25-U25*Data_Summary!$C$2,"")</f>
        <v>2500</v>
      </c>
      <c r="E25" s="31" t="n">
        <f aca="false">IFERROR(C25/B25,"")</f>
        <v>4.16666666666667</v>
      </c>
      <c r="F25" s="26" t="n">
        <f aca="false">IFERROR(D25/B25,"")</f>
        <v>4.16666666666667</v>
      </c>
      <c r="G25" s="0" t="str">
        <f aca="false">Q25</f>
        <v>1</v>
      </c>
      <c r="H25" s="0" t="str">
        <f aca="false">IFERROR(LEFT(G25,1),"")</f>
        <v>1</v>
      </c>
      <c r="I25" s="0" t="n">
        <f aca="false">IF(LEN(G25)&gt;1,1,0)</f>
        <v>0</v>
      </c>
      <c r="J25" s="4" t="n">
        <v>46168</v>
      </c>
      <c r="K25" s="0" t="s">
        <v>10</v>
      </c>
      <c r="L25" s="0" t="s">
        <v>91</v>
      </c>
      <c r="M25" s="0" t="s">
        <v>226</v>
      </c>
      <c r="N25" s="0" t="s">
        <v>93</v>
      </c>
      <c r="O25" s="0" t="s">
        <v>357</v>
      </c>
      <c r="Q25" s="0" t="s">
        <v>242</v>
      </c>
      <c r="R25" s="0" t="n">
        <v>1</v>
      </c>
      <c r="S25" s="5" t="n">
        <v>600</v>
      </c>
      <c r="T25" s="0" t="s">
        <v>271</v>
      </c>
      <c r="U25" s="0" t="n">
        <v>0</v>
      </c>
      <c r="V25" s="0" t="s">
        <v>230</v>
      </c>
      <c r="W25" s="0" t="s">
        <v>244</v>
      </c>
      <c r="X25" s="0" t="s">
        <v>232</v>
      </c>
      <c r="Y25" s="0" t="s">
        <v>272</v>
      </c>
      <c r="Z25" s="0" t="s">
        <v>234</v>
      </c>
      <c r="AA25" s="0" t="s">
        <v>235</v>
      </c>
      <c r="AB25" s="32" t="n">
        <v>2500</v>
      </c>
      <c r="AC25" s="32" t="n">
        <v>2500</v>
      </c>
      <c r="AD25" s="26" t="n">
        <f aca="false">IFERROR(AB25/B25,"")</f>
        <v>4.16666666666667</v>
      </c>
      <c r="AE25" s="26" t="n">
        <f aca="false">IFERROR(AC25/B25,"")</f>
        <v>4.16666666666667</v>
      </c>
      <c r="AF25" s="0" t="s">
        <v>236</v>
      </c>
      <c r="AG25" s="0" t="s">
        <v>236</v>
      </c>
      <c r="AH25" s="0" t="s">
        <v>230</v>
      </c>
      <c r="AI25" s="0" t="s">
        <v>358</v>
      </c>
      <c r="AJ25" s="0" t="s">
        <v>359</v>
      </c>
      <c r="AK25" s="0" t="s">
        <v>360</v>
      </c>
      <c r="AL25" s="0" t="s">
        <v>361</v>
      </c>
      <c r="AM25" s="0" t="s">
        <v>94</v>
      </c>
      <c r="AN25" s="26" t="n">
        <f aca="false">IFERROR(E25*(1+IF(AM25="Apartment",Data_Summary!$C$3,0)),"")</f>
        <v>4.16666666666667</v>
      </c>
      <c r="AO25" s="4" t="n">
        <v>46195</v>
      </c>
    </row>
    <row r="26" customFormat="false" ht="15" hidden="false" customHeight="false" outlineLevel="0" collapsed="false">
      <c r="A26" s="0" t="n">
        <f aca="false">IF(AND(ISNUMBER(B26),B26&gt;0,ISNUMBER(AB26),AB26&gt;0,J26&gt;=Data_Summary!$C$1),1,0)</f>
        <v>1</v>
      </c>
      <c r="B26" s="30" t="n">
        <v>888</v>
      </c>
      <c r="C26" s="5" t="n">
        <f aca="false">IF(ISNUMBER(AB26),AB26,"")</f>
        <v>3600</v>
      </c>
      <c r="D26" s="0" t="n">
        <f aca="false">IF(ISNUMBER(C26),C26-U26*Data_Summary!$C$2,"")</f>
        <v>3450</v>
      </c>
      <c r="E26" s="31" t="n">
        <f aca="false">IFERROR(C26/B26,"")</f>
        <v>4.05405405405405</v>
      </c>
      <c r="F26" s="26" t="n">
        <f aca="false">IFERROR(D26/B26,"")</f>
        <v>3.88513513513514</v>
      </c>
      <c r="G26" s="0" t="str">
        <f aca="false">Q26</f>
        <v>3</v>
      </c>
      <c r="H26" s="0" t="str">
        <f aca="false">IFERROR(LEFT(G26,1),"")</f>
        <v>3</v>
      </c>
      <c r="I26" s="0" t="n">
        <f aca="false">IF(LEN(G26)&gt;1,1,0)</f>
        <v>0</v>
      </c>
      <c r="J26" s="4" t="n">
        <v>46167</v>
      </c>
      <c r="K26" s="0" t="s">
        <v>10</v>
      </c>
      <c r="L26" s="0" t="s">
        <v>91</v>
      </c>
      <c r="M26" s="0" t="s">
        <v>226</v>
      </c>
      <c r="N26" s="0" t="s">
        <v>93</v>
      </c>
      <c r="O26" s="0" t="s">
        <v>362</v>
      </c>
      <c r="Q26" s="0" t="s">
        <v>228</v>
      </c>
      <c r="R26" s="0" t="n">
        <v>2</v>
      </c>
      <c r="S26" s="5" t="n">
        <v>888</v>
      </c>
      <c r="T26" s="0" t="s">
        <v>229</v>
      </c>
      <c r="U26" s="0" t="n">
        <v>1</v>
      </c>
      <c r="V26" s="0" t="s">
        <v>230</v>
      </c>
      <c r="W26" s="0" t="s">
        <v>231</v>
      </c>
      <c r="X26" s="0" t="s">
        <v>232</v>
      </c>
      <c r="Y26" s="0" t="s">
        <v>233</v>
      </c>
      <c r="Z26" s="0" t="s">
        <v>234</v>
      </c>
      <c r="AA26" s="0" t="s">
        <v>235</v>
      </c>
      <c r="AB26" s="32" t="n">
        <v>3600</v>
      </c>
      <c r="AC26" s="32" t="n">
        <v>3600</v>
      </c>
      <c r="AD26" s="26" t="n">
        <f aca="false">IFERROR(AB26/B26,"")</f>
        <v>4.05405405405405</v>
      </c>
      <c r="AE26" s="26" t="n">
        <f aca="false">IFERROR(AC26/B26,"")</f>
        <v>4.05405405405405</v>
      </c>
      <c r="AF26" s="0" t="s">
        <v>236</v>
      </c>
      <c r="AG26" s="0" t="s">
        <v>236</v>
      </c>
      <c r="AH26" s="0" t="s">
        <v>230</v>
      </c>
      <c r="AI26" s="0" t="s">
        <v>363</v>
      </c>
      <c r="AJ26" s="0" t="s">
        <v>364</v>
      </c>
      <c r="AK26" s="0" t="s">
        <v>365</v>
      </c>
      <c r="AL26" s="0" t="s">
        <v>366</v>
      </c>
      <c r="AM26" s="0" t="s">
        <v>94</v>
      </c>
      <c r="AN26" s="26" t="n">
        <f aca="false">IFERROR(E26*(1+IF(AM26="Apartment",Data_Summary!$C$3,0)),"")</f>
        <v>4.05405405405405</v>
      </c>
      <c r="AO26" s="4" t="n">
        <v>46195</v>
      </c>
    </row>
    <row r="27" customFormat="false" ht="15" hidden="false" customHeight="false" outlineLevel="0" collapsed="false">
      <c r="A27" s="0" t="n">
        <f aca="false">IF(AND(ISNUMBER(B27),B27&gt;0,ISNUMBER(AB27),AB27&gt;0,J27&gt;=Data_Summary!$C$1),1,0)</f>
        <v>1</v>
      </c>
      <c r="B27" s="30" t="n">
        <v>1128</v>
      </c>
      <c r="C27" s="5" t="n">
        <f aca="false">IF(ISNUMBER(AB27),AB27,"")</f>
        <v>5000</v>
      </c>
      <c r="D27" s="0" t="n">
        <f aca="false">IF(ISNUMBER(C27),C27-U27*Data_Summary!$C$2,"")</f>
        <v>4850</v>
      </c>
      <c r="E27" s="31" t="n">
        <f aca="false">IFERROR(C27/B27,"")</f>
        <v>4.43262411347518</v>
      </c>
      <c r="F27" s="26" t="n">
        <f aca="false">IFERROR(D27/B27,"")</f>
        <v>4.29964539007092</v>
      </c>
      <c r="G27" s="0" t="str">
        <f aca="false">Q27</f>
        <v>3</v>
      </c>
      <c r="H27" s="0" t="str">
        <f aca="false">IFERROR(LEFT(G27,1),"")</f>
        <v>3</v>
      </c>
      <c r="I27" s="0" t="n">
        <f aca="false">IF(LEN(G27)&gt;1,1,0)</f>
        <v>0</v>
      </c>
      <c r="J27" s="4" t="n">
        <v>46165</v>
      </c>
      <c r="K27" s="0" t="s">
        <v>10</v>
      </c>
      <c r="L27" s="0" t="s">
        <v>91</v>
      </c>
      <c r="M27" s="0" t="s">
        <v>226</v>
      </c>
      <c r="N27" s="0" t="s">
        <v>93</v>
      </c>
      <c r="O27" s="0" t="s">
        <v>367</v>
      </c>
      <c r="Q27" s="0" t="s">
        <v>228</v>
      </c>
      <c r="R27" s="0" t="n">
        <v>2</v>
      </c>
      <c r="S27" s="5" t="n">
        <v>1128</v>
      </c>
      <c r="T27" s="0" t="s">
        <v>265</v>
      </c>
      <c r="U27" s="0" t="n">
        <v>1</v>
      </c>
      <c r="V27" s="0" t="s">
        <v>230</v>
      </c>
      <c r="W27" s="0" t="s">
        <v>231</v>
      </c>
      <c r="X27" s="0" t="s">
        <v>232</v>
      </c>
      <c r="Y27" s="0" t="s">
        <v>272</v>
      </c>
      <c r="Z27" s="0" t="s">
        <v>234</v>
      </c>
      <c r="AA27" s="0" t="s">
        <v>235</v>
      </c>
      <c r="AB27" s="32" t="n">
        <v>5000</v>
      </c>
      <c r="AC27" s="32" t="n">
        <v>5000</v>
      </c>
      <c r="AD27" s="26" t="n">
        <f aca="false">IFERROR(AB27/B27,"")</f>
        <v>4.43262411347518</v>
      </c>
      <c r="AE27" s="26" t="n">
        <f aca="false">IFERROR(AC27/B27,"")</f>
        <v>4.43262411347518</v>
      </c>
      <c r="AF27" s="0" t="s">
        <v>236</v>
      </c>
      <c r="AG27" s="0" t="s">
        <v>236</v>
      </c>
      <c r="AH27" s="0" t="s">
        <v>230</v>
      </c>
      <c r="AI27" s="0" t="s">
        <v>368</v>
      </c>
      <c r="AJ27" s="0" t="s">
        <v>369</v>
      </c>
      <c r="AK27" s="0" t="s">
        <v>370</v>
      </c>
      <c r="AL27" s="0" t="s">
        <v>371</v>
      </c>
      <c r="AM27" s="0" t="s">
        <v>94</v>
      </c>
      <c r="AN27" s="26" t="n">
        <f aca="false">IFERROR(E27*(1+IF(AM27="Apartment",Data_Summary!$C$3,0)),"")</f>
        <v>4.43262411347518</v>
      </c>
      <c r="AO27" s="4" t="n">
        <v>46195</v>
      </c>
    </row>
    <row r="28" customFormat="false" ht="15" hidden="false" customHeight="false" outlineLevel="0" collapsed="false">
      <c r="A28" s="0" t="n">
        <f aca="false">IF(AND(ISNUMBER(B28),B28&gt;0,ISNUMBER(AB28),AB28&gt;0,J28&gt;=Data_Summary!$C$1),1,0)</f>
        <v>1</v>
      </c>
      <c r="B28" s="30" t="n">
        <v>600</v>
      </c>
      <c r="C28" s="5" t="n">
        <f aca="false">IF(ISNUMBER(AB28),AB28,"")</f>
        <v>2600</v>
      </c>
      <c r="D28" s="0" t="n">
        <f aca="false">IF(ISNUMBER(C28),C28-U28*Data_Summary!$C$2,"")</f>
        <v>2600</v>
      </c>
      <c r="E28" s="31" t="n">
        <f aca="false">IFERROR(C28/B28,"")</f>
        <v>4.33333333333333</v>
      </c>
      <c r="F28" s="26" t="n">
        <f aca="false">IFERROR(D28/B28,"")</f>
        <v>4.33333333333333</v>
      </c>
      <c r="G28" s="0" t="str">
        <f aca="false">Q28</f>
        <v>1</v>
      </c>
      <c r="H28" s="0" t="str">
        <f aca="false">IFERROR(LEFT(G28,1),"")</f>
        <v>1</v>
      </c>
      <c r="I28" s="0" t="n">
        <f aca="false">IF(LEN(G28)&gt;1,1,0)</f>
        <v>0</v>
      </c>
      <c r="J28" s="4" t="n">
        <v>46162</v>
      </c>
      <c r="K28" s="0" t="s">
        <v>10</v>
      </c>
      <c r="L28" s="0" t="s">
        <v>91</v>
      </c>
      <c r="M28" s="0" t="s">
        <v>226</v>
      </c>
      <c r="N28" s="0" t="s">
        <v>93</v>
      </c>
      <c r="O28" s="0" t="s">
        <v>331</v>
      </c>
      <c r="Q28" s="0" t="s">
        <v>242</v>
      </c>
      <c r="R28" s="0" t="n">
        <v>1</v>
      </c>
      <c r="S28" s="5" t="n">
        <v>600</v>
      </c>
      <c r="T28" s="0" t="s">
        <v>271</v>
      </c>
      <c r="U28" s="0" t="n">
        <v>0</v>
      </c>
      <c r="V28" s="0" t="s">
        <v>230</v>
      </c>
      <c r="W28" s="0" t="s">
        <v>244</v>
      </c>
      <c r="X28" s="0" t="s">
        <v>232</v>
      </c>
      <c r="Y28" s="0" t="s">
        <v>272</v>
      </c>
      <c r="Z28" s="0" t="s">
        <v>234</v>
      </c>
      <c r="AA28" s="0" t="s">
        <v>235</v>
      </c>
      <c r="AB28" s="32" t="n">
        <v>2600</v>
      </c>
      <c r="AC28" s="32" t="n">
        <v>2600</v>
      </c>
      <c r="AD28" s="26" t="n">
        <f aca="false">IFERROR(AB28/B28,"")</f>
        <v>4.33333333333333</v>
      </c>
      <c r="AE28" s="26" t="n">
        <f aca="false">IFERROR(AC28/B28,"")</f>
        <v>4.33333333333333</v>
      </c>
      <c r="AF28" s="0" t="s">
        <v>236</v>
      </c>
      <c r="AG28" s="0" t="s">
        <v>236</v>
      </c>
      <c r="AH28" s="0" t="s">
        <v>230</v>
      </c>
      <c r="AI28" s="0" t="s">
        <v>372</v>
      </c>
      <c r="AJ28" s="0" t="s">
        <v>373</v>
      </c>
      <c r="AK28" s="0" t="s">
        <v>374</v>
      </c>
      <c r="AL28" s="0" t="s">
        <v>375</v>
      </c>
      <c r="AM28" s="0" t="s">
        <v>94</v>
      </c>
      <c r="AN28" s="26" t="n">
        <f aca="false">IFERROR(E28*(1+IF(AM28="Apartment",Data_Summary!$C$3,0)),"")</f>
        <v>4.33333333333333</v>
      </c>
      <c r="AO28" s="4" t="n">
        <v>46195</v>
      </c>
    </row>
    <row r="29" customFormat="false" ht="15" hidden="false" customHeight="false" outlineLevel="0" collapsed="false">
      <c r="A29" s="0" t="n">
        <f aca="false">IF(AND(ISNUMBER(B29),B29&gt;0,ISNUMBER(AB29),AB29&gt;0,J29&gt;=Data_Summary!$C$1),1,0)</f>
        <v>1</v>
      </c>
      <c r="B29" s="30" t="n">
        <v>505</v>
      </c>
      <c r="C29" s="5" t="n">
        <f aca="false">IF(ISNUMBER(AB29),AB29,"")</f>
        <v>2250</v>
      </c>
      <c r="D29" s="0" t="n">
        <f aca="false">IF(ISNUMBER(C29),C29-U29*Data_Summary!$C$2,"")</f>
        <v>2250</v>
      </c>
      <c r="E29" s="31" t="n">
        <f aca="false">IFERROR(C29/B29,"")</f>
        <v>4.45544554455446</v>
      </c>
      <c r="F29" s="26" t="n">
        <f aca="false">IFERROR(D29/B29,"")</f>
        <v>4.45544554455446</v>
      </c>
      <c r="G29" s="0" t="str">
        <f aca="false">Q29</f>
        <v>1</v>
      </c>
      <c r="H29" s="0" t="str">
        <f aca="false">IFERROR(LEFT(G29,1),"")</f>
        <v>1</v>
      </c>
      <c r="I29" s="0" t="n">
        <f aca="false">IF(LEN(G29)&gt;1,1,0)</f>
        <v>0</v>
      </c>
      <c r="J29" s="4" t="n">
        <v>46161</v>
      </c>
      <c r="K29" s="0" t="s">
        <v>10</v>
      </c>
      <c r="L29" s="0" t="s">
        <v>91</v>
      </c>
      <c r="M29" s="0" t="s">
        <v>226</v>
      </c>
      <c r="N29" s="0" t="s">
        <v>93</v>
      </c>
      <c r="O29" s="0" t="s">
        <v>335</v>
      </c>
      <c r="Q29" s="0" t="s">
        <v>242</v>
      </c>
      <c r="R29" s="0" t="n">
        <v>1</v>
      </c>
      <c r="S29" s="5" t="n">
        <v>505</v>
      </c>
      <c r="T29" s="0" t="s">
        <v>243</v>
      </c>
      <c r="U29" s="0" t="n">
        <v>0</v>
      </c>
      <c r="V29" s="0" t="s">
        <v>230</v>
      </c>
      <c r="W29" s="0" t="s">
        <v>244</v>
      </c>
      <c r="X29" s="0" t="s">
        <v>232</v>
      </c>
      <c r="Y29" s="0" t="s">
        <v>245</v>
      </c>
      <c r="Z29" s="0" t="s">
        <v>234</v>
      </c>
      <c r="AA29" s="0" t="s">
        <v>235</v>
      </c>
      <c r="AB29" s="32" t="n">
        <v>2250</v>
      </c>
      <c r="AC29" s="32" t="n">
        <v>2300</v>
      </c>
      <c r="AD29" s="26" t="n">
        <f aca="false">IFERROR(AB29/B29,"")</f>
        <v>4.45544554455446</v>
      </c>
      <c r="AE29" s="26" t="n">
        <f aca="false">IFERROR(AC29/B29,"")</f>
        <v>4.55445544554455</v>
      </c>
      <c r="AF29" s="0" t="s">
        <v>236</v>
      </c>
      <c r="AG29" s="0" t="s">
        <v>236</v>
      </c>
      <c r="AH29" s="0" t="s">
        <v>230</v>
      </c>
      <c r="AI29" s="0" t="s">
        <v>376</v>
      </c>
      <c r="AJ29" s="0" t="s">
        <v>377</v>
      </c>
      <c r="AK29" s="0" t="s">
        <v>378</v>
      </c>
      <c r="AL29" s="0" t="s">
        <v>379</v>
      </c>
      <c r="AM29" s="0" t="s">
        <v>94</v>
      </c>
      <c r="AN29" s="26" t="n">
        <f aca="false">IFERROR(E29*(1+IF(AM29="Apartment",Data_Summary!$C$3,0)),"")</f>
        <v>4.45544554455446</v>
      </c>
      <c r="AO29" s="4" t="n">
        <v>46195</v>
      </c>
    </row>
    <row r="30" customFormat="false" ht="15" hidden="false" customHeight="false" outlineLevel="0" collapsed="false">
      <c r="A30" s="0" t="n">
        <f aca="false">IF(AND(ISNUMBER(B30),B30&gt;0,ISNUMBER(AB30),AB30&gt;0,J30&gt;=Data_Summary!$C$1),1,0)</f>
        <v>1</v>
      </c>
      <c r="B30" s="30" t="n">
        <v>578</v>
      </c>
      <c r="C30" s="5" t="n">
        <f aca="false">IF(ISNUMBER(AB30),AB30,"")</f>
        <v>2500</v>
      </c>
      <c r="D30" s="0" t="n">
        <f aca="false">IF(ISNUMBER(C30),C30-U30*Data_Summary!$C$2,"")</f>
        <v>2500</v>
      </c>
      <c r="E30" s="31" t="n">
        <f aca="false">IFERROR(C30/B30,"")</f>
        <v>4.32525951557093</v>
      </c>
      <c r="F30" s="26" t="n">
        <f aca="false">IFERROR(D30/B30,"")</f>
        <v>4.32525951557093</v>
      </c>
      <c r="G30" s="0" t="str">
        <f aca="false">Q30</f>
        <v>1</v>
      </c>
      <c r="H30" s="0" t="str">
        <f aca="false">IFERROR(LEFT(G30,1),"")</f>
        <v>1</v>
      </c>
      <c r="I30" s="0" t="n">
        <f aca="false">IF(LEN(G30)&gt;1,1,0)</f>
        <v>0</v>
      </c>
      <c r="J30" s="4" t="n">
        <v>46159</v>
      </c>
      <c r="K30" s="0" t="s">
        <v>10</v>
      </c>
      <c r="L30" s="0" t="s">
        <v>91</v>
      </c>
      <c r="M30" s="0" t="s">
        <v>226</v>
      </c>
      <c r="N30" s="0" t="s">
        <v>93</v>
      </c>
      <c r="O30" s="0" t="s">
        <v>380</v>
      </c>
      <c r="Q30" s="0" t="s">
        <v>242</v>
      </c>
      <c r="R30" s="0" t="n">
        <v>1</v>
      </c>
      <c r="S30" s="5" t="n">
        <v>578</v>
      </c>
      <c r="T30" s="0" t="s">
        <v>243</v>
      </c>
      <c r="U30" s="0" t="n">
        <v>0</v>
      </c>
      <c r="V30" s="0" t="s">
        <v>230</v>
      </c>
      <c r="W30" s="0" t="s">
        <v>244</v>
      </c>
      <c r="X30" s="0" t="s">
        <v>232</v>
      </c>
      <c r="Y30" s="0" t="s">
        <v>278</v>
      </c>
      <c r="Z30" s="0" t="s">
        <v>234</v>
      </c>
      <c r="AA30" s="0" t="s">
        <v>235</v>
      </c>
      <c r="AB30" s="32" t="n">
        <v>2500</v>
      </c>
      <c r="AC30" s="32" t="n">
        <v>2450</v>
      </c>
      <c r="AD30" s="26" t="n">
        <f aca="false">IFERROR(AB30/B30,"")</f>
        <v>4.32525951557093</v>
      </c>
      <c r="AE30" s="26" t="n">
        <f aca="false">IFERROR(AC30/B30,"")</f>
        <v>4.23875432525952</v>
      </c>
      <c r="AF30" s="0" t="s">
        <v>236</v>
      </c>
      <c r="AG30" s="0" t="s">
        <v>236</v>
      </c>
      <c r="AH30" s="0" t="s">
        <v>230</v>
      </c>
      <c r="AI30" s="0" t="s">
        <v>381</v>
      </c>
      <c r="AJ30" s="0" t="s">
        <v>382</v>
      </c>
      <c r="AK30" s="0" t="s">
        <v>383</v>
      </c>
      <c r="AL30" s="0" t="s">
        <v>384</v>
      </c>
      <c r="AM30" s="0" t="s">
        <v>94</v>
      </c>
      <c r="AN30" s="26" t="n">
        <f aca="false">IFERROR(E30*(1+IF(AM30="Apartment",Data_Summary!$C$3,0)),"")</f>
        <v>4.32525951557093</v>
      </c>
      <c r="AO30" s="4" t="n">
        <v>46195</v>
      </c>
    </row>
    <row r="31" customFormat="false" ht="15" hidden="false" customHeight="false" outlineLevel="0" collapsed="false">
      <c r="A31" s="0" t="n">
        <f aca="false">IF(AND(ISNUMBER(B31),B31&gt;0,ISNUMBER(AB31),AB31&gt;0,J31&gt;=Data_Summary!$C$1),1,0)</f>
        <v>1</v>
      </c>
      <c r="B31" s="30" t="n">
        <v>492</v>
      </c>
      <c r="C31" s="5" t="n">
        <f aca="false">IF(ISNUMBER(AB31),AB31,"")</f>
        <v>2300</v>
      </c>
      <c r="D31" s="0" t="n">
        <f aca="false">IF(ISNUMBER(C31),C31-U31*Data_Summary!$C$2,"")</f>
        <v>2300</v>
      </c>
      <c r="E31" s="31" t="n">
        <f aca="false">IFERROR(C31/B31,"")</f>
        <v>4.67479674796748</v>
      </c>
      <c r="F31" s="26" t="n">
        <f aca="false">IFERROR(D31/B31,"")</f>
        <v>4.67479674796748</v>
      </c>
      <c r="G31" s="0" t="str">
        <f aca="false">Q31</f>
        <v>1</v>
      </c>
      <c r="H31" s="0" t="str">
        <f aca="false">IFERROR(LEFT(G31,1),"")</f>
        <v>1</v>
      </c>
      <c r="I31" s="0" t="n">
        <f aca="false">IF(LEN(G31)&gt;1,1,0)</f>
        <v>0</v>
      </c>
      <c r="J31" s="4" t="n">
        <v>46155</v>
      </c>
      <c r="K31" s="0" t="s">
        <v>10</v>
      </c>
      <c r="L31" s="0" t="s">
        <v>91</v>
      </c>
      <c r="M31" s="0" t="s">
        <v>226</v>
      </c>
      <c r="N31" s="0" t="s">
        <v>93</v>
      </c>
      <c r="O31" s="0" t="s">
        <v>385</v>
      </c>
      <c r="Q31" s="0" t="s">
        <v>242</v>
      </c>
      <c r="R31" s="0" t="n">
        <v>1</v>
      </c>
      <c r="S31" s="5" t="n">
        <v>492</v>
      </c>
      <c r="T31" s="0" t="s">
        <v>303</v>
      </c>
      <c r="U31" s="0" t="n">
        <v>0</v>
      </c>
      <c r="V31" s="0" t="s">
        <v>230</v>
      </c>
      <c r="W31" s="0" t="s">
        <v>244</v>
      </c>
      <c r="X31" s="0" t="s">
        <v>232</v>
      </c>
      <c r="Y31" s="0" t="s">
        <v>245</v>
      </c>
      <c r="Z31" s="0" t="s">
        <v>234</v>
      </c>
      <c r="AA31" s="0" t="s">
        <v>235</v>
      </c>
      <c r="AB31" s="32" t="n">
        <v>2300</v>
      </c>
      <c r="AC31" s="32" t="n">
        <v>2500</v>
      </c>
      <c r="AD31" s="26" t="n">
        <f aca="false">IFERROR(AB31/B31,"")</f>
        <v>4.67479674796748</v>
      </c>
      <c r="AE31" s="26" t="n">
        <f aca="false">IFERROR(AC31/B31,"")</f>
        <v>5.08130081300813</v>
      </c>
      <c r="AF31" s="0" t="s">
        <v>236</v>
      </c>
      <c r="AG31" s="0" t="s">
        <v>236</v>
      </c>
      <c r="AH31" s="0" t="s">
        <v>230</v>
      </c>
      <c r="AI31" s="0" t="s">
        <v>386</v>
      </c>
      <c r="AJ31" s="0" t="s">
        <v>387</v>
      </c>
      <c r="AK31" s="0" t="s">
        <v>388</v>
      </c>
      <c r="AL31" s="0" t="s">
        <v>389</v>
      </c>
      <c r="AM31" s="0" t="s">
        <v>94</v>
      </c>
      <c r="AN31" s="26" t="n">
        <f aca="false">IFERROR(E31*(1+IF(AM31="Apartment",Data_Summary!$C$3,0)),"")</f>
        <v>4.67479674796748</v>
      </c>
      <c r="AO31" s="4" t="n">
        <v>46195</v>
      </c>
    </row>
    <row r="32" customFormat="false" ht="15" hidden="false" customHeight="false" outlineLevel="0" collapsed="false">
      <c r="A32" s="0" t="n">
        <f aca="false">IF(AND(ISNUMBER(B32),B32&gt;0,ISNUMBER(AB32),AB32&gt;0,J32&gt;=Data_Summary!$C$1),1,0)</f>
        <v>1</v>
      </c>
      <c r="B32" s="30" t="n">
        <v>660</v>
      </c>
      <c r="C32" s="5" t="n">
        <f aca="false">IF(ISNUMBER(AB32),AB32,"")</f>
        <v>2750</v>
      </c>
      <c r="D32" s="0" t="n">
        <f aca="false">IF(ISNUMBER(C32),C32-U32*Data_Summary!$C$2,"")</f>
        <v>2750</v>
      </c>
      <c r="E32" s="31" t="n">
        <f aca="false">IFERROR(C32/B32,"")</f>
        <v>4.16666666666667</v>
      </c>
      <c r="F32" s="26" t="n">
        <f aca="false">IFERROR(D32/B32,"")</f>
        <v>4.16666666666667</v>
      </c>
      <c r="G32" s="0" t="str">
        <f aca="false">Q32</f>
        <v>2</v>
      </c>
      <c r="H32" s="0" t="str">
        <f aca="false">IFERROR(LEFT(G32,1),"")</f>
        <v>2</v>
      </c>
      <c r="I32" s="0" t="n">
        <f aca="false">IF(LEN(G32)&gt;1,1,0)</f>
        <v>0</v>
      </c>
      <c r="J32" s="4" t="n">
        <v>46154</v>
      </c>
      <c r="K32" s="0" t="s">
        <v>10</v>
      </c>
      <c r="L32" s="0" t="s">
        <v>91</v>
      </c>
      <c r="M32" s="0" t="s">
        <v>226</v>
      </c>
      <c r="N32" s="0" t="s">
        <v>93</v>
      </c>
      <c r="O32" s="0" t="s">
        <v>390</v>
      </c>
      <c r="Q32" s="0" t="s">
        <v>251</v>
      </c>
      <c r="R32" s="0" t="n">
        <v>2</v>
      </c>
      <c r="S32" s="5" t="n">
        <v>660</v>
      </c>
      <c r="T32" s="0" t="s">
        <v>271</v>
      </c>
      <c r="U32" s="0" t="n">
        <v>0</v>
      </c>
      <c r="V32" s="0" t="s">
        <v>230</v>
      </c>
      <c r="W32" s="0" t="s">
        <v>244</v>
      </c>
      <c r="X32" s="0" t="s">
        <v>232</v>
      </c>
      <c r="Y32" s="0" t="s">
        <v>253</v>
      </c>
      <c r="Z32" s="0" t="s">
        <v>234</v>
      </c>
      <c r="AA32" s="0" t="s">
        <v>235</v>
      </c>
      <c r="AB32" s="32" t="n">
        <v>2750</v>
      </c>
      <c r="AC32" s="32" t="n">
        <v>2750</v>
      </c>
      <c r="AD32" s="26" t="n">
        <f aca="false">IFERROR(AB32/B32,"")</f>
        <v>4.16666666666667</v>
      </c>
      <c r="AE32" s="26" t="n">
        <f aca="false">IFERROR(AC32/B32,"")</f>
        <v>4.16666666666667</v>
      </c>
      <c r="AF32" s="0" t="s">
        <v>236</v>
      </c>
      <c r="AG32" s="0" t="s">
        <v>236</v>
      </c>
      <c r="AH32" s="0" t="s">
        <v>236</v>
      </c>
      <c r="AI32" s="0" t="s">
        <v>391</v>
      </c>
      <c r="AJ32" s="0" t="s">
        <v>392</v>
      </c>
      <c r="AK32" s="0" t="s">
        <v>393</v>
      </c>
      <c r="AL32" s="0" t="s">
        <v>394</v>
      </c>
      <c r="AM32" s="0" t="s">
        <v>94</v>
      </c>
      <c r="AN32" s="26" t="n">
        <f aca="false">IFERROR(E32*(1+IF(AM32="Apartment",Data_Summary!$C$3,0)),"")</f>
        <v>4.16666666666667</v>
      </c>
      <c r="AO32" s="4" t="n">
        <v>46195</v>
      </c>
    </row>
    <row r="33" customFormat="false" ht="15" hidden="false" customHeight="false" outlineLevel="0" collapsed="false">
      <c r="A33" s="0" t="n">
        <f aca="false">IF(AND(ISNUMBER(B33),B33&gt;0,ISNUMBER(AB33),AB33&gt;0,J33&gt;=Data_Summary!$C$1),1,0)</f>
        <v>1</v>
      </c>
      <c r="B33" s="30" t="n">
        <v>502</v>
      </c>
      <c r="C33" s="5" t="n">
        <f aca="false">IF(ISNUMBER(AB33),AB33,"")</f>
        <v>2300</v>
      </c>
      <c r="D33" s="0" t="n">
        <f aca="false">IF(ISNUMBER(C33),C33-U33*Data_Summary!$C$2,"")</f>
        <v>2300</v>
      </c>
      <c r="E33" s="31" t="n">
        <f aca="false">IFERROR(C33/B33,"")</f>
        <v>4.58167330677291</v>
      </c>
      <c r="F33" s="26" t="n">
        <f aca="false">IFERROR(D33/B33,"")</f>
        <v>4.58167330677291</v>
      </c>
      <c r="G33" s="0" t="str">
        <f aca="false">Q33</f>
        <v>1</v>
      </c>
      <c r="H33" s="0" t="str">
        <f aca="false">IFERROR(LEFT(G33,1),"")</f>
        <v>1</v>
      </c>
      <c r="I33" s="0" t="n">
        <f aca="false">IF(LEN(G33)&gt;1,1,0)</f>
        <v>0</v>
      </c>
      <c r="J33" s="4" t="n">
        <v>46153</v>
      </c>
      <c r="K33" s="0" t="s">
        <v>10</v>
      </c>
      <c r="L33" s="0" t="s">
        <v>91</v>
      </c>
      <c r="M33" s="0" t="s">
        <v>226</v>
      </c>
      <c r="N33" s="0" t="s">
        <v>93</v>
      </c>
      <c r="O33" s="0" t="s">
        <v>395</v>
      </c>
      <c r="Q33" s="0" t="s">
        <v>242</v>
      </c>
      <c r="R33" s="0" t="n">
        <v>1</v>
      </c>
      <c r="S33" s="5" t="n">
        <v>502</v>
      </c>
      <c r="T33" s="0" t="s">
        <v>243</v>
      </c>
      <c r="U33" s="0" t="n">
        <v>0</v>
      </c>
      <c r="V33" s="0" t="s">
        <v>230</v>
      </c>
      <c r="W33" s="0" t="s">
        <v>231</v>
      </c>
      <c r="X33" s="0" t="s">
        <v>232</v>
      </c>
      <c r="Y33" s="0" t="s">
        <v>253</v>
      </c>
      <c r="Z33" s="0" t="s">
        <v>234</v>
      </c>
      <c r="AA33" s="0" t="s">
        <v>235</v>
      </c>
      <c r="AB33" s="32" t="n">
        <v>2300</v>
      </c>
      <c r="AC33" s="32" t="n">
        <v>2300</v>
      </c>
      <c r="AD33" s="26" t="n">
        <f aca="false">IFERROR(AB33/B33,"")</f>
        <v>4.58167330677291</v>
      </c>
      <c r="AE33" s="26" t="n">
        <f aca="false">IFERROR(AC33/B33,"")</f>
        <v>4.58167330677291</v>
      </c>
      <c r="AF33" s="0" t="s">
        <v>236</v>
      </c>
      <c r="AG33" s="0" t="s">
        <v>236</v>
      </c>
      <c r="AH33" s="0" t="s">
        <v>230</v>
      </c>
      <c r="AI33" s="0" t="s">
        <v>396</v>
      </c>
      <c r="AJ33" s="0" t="s">
        <v>397</v>
      </c>
      <c r="AK33" s="0" t="s">
        <v>398</v>
      </c>
      <c r="AL33" s="0" t="s">
        <v>399</v>
      </c>
      <c r="AM33" s="0" t="s">
        <v>94</v>
      </c>
      <c r="AN33" s="26" t="n">
        <f aca="false">IFERROR(E33*(1+IF(AM33="Apartment",Data_Summary!$C$3,0)),"")</f>
        <v>4.58167330677291</v>
      </c>
      <c r="AO33" s="4" t="n">
        <v>46195</v>
      </c>
    </row>
    <row r="34" customFormat="false" ht="15" hidden="false" customHeight="false" outlineLevel="0" collapsed="false">
      <c r="A34" s="0" t="n">
        <f aca="false">IF(AND(ISNUMBER(B34),B34&gt;0,ISNUMBER(AB34),AB34&gt;0,J34&gt;=Data_Summary!$C$1),1,0)</f>
        <v>1</v>
      </c>
      <c r="B34" s="30" t="n">
        <v>650</v>
      </c>
      <c r="C34" s="5" t="n">
        <f aca="false">IF(ISNUMBER(AB34),AB34,"")</f>
        <v>2800</v>
      </c>
      <c r="D34" s="0" t="n">
        <f aca="false">IF(ISNUMBER(C34),C34-U34*Data_Summary!$C$2,"")</f>
        <v>2800</v>
      </c>
      <c r="E34" s="31" t="n">
        <f aca="false">IFERROR(C34/B34,"")</f>
        <v>4.30769230769231</v>
      </c>
      <c r="F34" s="26" t="n">
        <f aca="false">IFERROR(D34/B34,"")</f>
        <v>4.30769230769231</v>
      </c>
      <c r="G34" s="0" t="str">
        <f aca="false">Q34</f>
        <v>1+1</v>
      </c>
      <c r="H34" s="0" t="str">
        <f aca="false">IFERROR(LEFT(G34,1),"")</f>
        <v>1</v>
      </c>
      <c r="I34" s="0" t="n">
        <f aca="false">IF(LEN(G34)&gt;1,1,0)</f>
        <v>1</v>
      </c>
      <c r="J34" s="4" t="n">
        <v>46150</v>
      </c>
      <c r="K34" s="0" t="s">
        <v>10</v>
      </c>
      <c r="L34" s="0" t="s">
        <v>91</v>
      </c>
      <c r="M34" s="0" t="s">
        <v>226</v>
      </c>
      <c r="N34" s="0" t="s">
        <v>93</v>
      </c>
      <c r="O34" s="0" t="s">
        <v>400</v>
      </c>
      <c r="Q34" s="0" t="s">
        <v>270</v>
      </c>
      <c r="R34" s="0" t="n">
        <v>2</v>
      </c>
      <c r="S34" s="5" t="n">
        <v>650</v>
      </c>
      <c r="T34" s="0" t="s">
        <v>271</v>
      </c>
      <c r="U34" s="0" t="n">
        <v>0</v>
      </c>
      <c r="V34" s="0" t="s">
        <v>230</v>
      </c>
      <c r="W34" s="0" t="s">
        <v>244</v>
      </c>
      <c r="X34" s="0" t="s">
        <v>232</v>
      </c>
      <c r="Y34" s="0" t="s">
        <v>278</v>
      </c>
      <c r="Z34" s="0" t="s">
        <v>234</v>
      </c>
      <c r="AA34" s="0" t="s">
        <v>235</v>
      </c>
      <c r="AB34" s="32" t="n">
        <v>2800</v>
      </c>
      <c r="AC34" s="32" t="n">
        <v>2800</v>
      </c>
      <c r="AD34" s="26" t="n">
        <f aca="false">IFERROR(AB34/B34,"")</f>
        <v>4.30769230769231</v>
      </c>
      <c r="AE34" s="26" t="n">
        <f aca="false">IFERROR(AC34/B34,"")</f>
        <v>4.30769230769231</v>
      </c>
      <c r="AF34" s="0" t="s">
        <v>236</v>
      </c>
      <c r="AG34" s="0" t="s">
        <v>236</v>
      </c>
      <c r="AH34" s="0" t="s">
        <v>230</v>
      </c>
      <c r="AI34" s="0" t="s">
        <v>401</v>
      </c>
      <c r="AJ34" s="0" t="s">
        <v>402</v>
      </c>
      <c r="AK34" s="0" t="s">
        <v>403</v>
      </c>
      <c r="AL34" s="0" t="s">
        <v>404</v>
      </c>
      <c r="AM34" s="0" t="s">
        <v>94</v>
      </c>
      <c r="AN34" s="26" t="n">
        <f aca="false">IFERROR(E34*(1+IF(AM34="Apartment",Data_Summary!$C$3,0)),"")</f>
        <v>4.30769230769231</v>
      </c>
      <c r="AO34" s="4" t="n">
        <v>46195</v>
      </c>
    </row>
    <row r="35" customFormat="false" ht="15" hidden="false" customHeight="false" outlineLevel="0" collapsed="false">
      <c r="A35" s="0" t="n">
        <f aca="false">IF(AND(ISNUMBER(B35),B35&gt;0,ISNUMBER(AB35),AB35&gt;0,J35&gt;=Data_Summary!$C$1),1,0)</f>
        <v>1</v>
      </c>
      <c r="B35" s="30" t="n">
        <v>505</v>
      </c>
      <c r="C35" s="5" t="n">
        <f aca="false">IF(ISNUMBER(AB35),AB35,"")</f>
        <v>2350</v>
      </c>
      <c r="D35" s="0" t="n">
        <f aca="false">IF(ISNUMBER(C35),C35-U35*Data_Summary!$C$2,"")</f>
        <v>2350</v>
      </c>
      <c r="E35" s="31" t="n">
        <f aca="false">IFERROR(C35/B35,"")</f>
        <v>4.65346534653465</v>
      </c>
      <c r="F35" s="26" t="n">
        <f aca="false">IFERROR(D35/B35,"")</f>
        <v>4.65346534653465</v>
      </c>
      <c r="G35" s="0" t="str">
        <f aca="false">Q35</f>
        <v>1</v>
      </c>
      <c r="H35" s="0" t="str">
        <f aca="false">IFERROR(LEFT(G35,1),"")</f>
        <v>1</v>
      </c>
      <c r="I35" s="0" t="n">
        <f aca="false">IF(LEN(G35)&gt;1,1,0)</f>
        <v>0</v>
      </c>
      <c r="J35" s="4" t="n">
        <v>46148</v>
      </c>
      <c r="K35" s="0" t="s">
        <v>10</v>
      </c>
      <c r="L35" s="0" t="s">
        <v>91</v>
      </c>
      <c r="M35" s="0" t="s">
        <v>226</v>
      </c>
      <c r="N35" s="0" t="s">
        <v>93</v>
      </c>
      <c r="O35" s="0" t="s">
        <v>405</v>
      </c>
      <c r="Q35" s="0" t="s">
        <v>242</v>
      </c>
      <c r="R35" s="0" t="n">
        <v>1</v>
      </c>
      <c r="S35" s="5" t="n">
        <v>505</v>
      </c>
      <c r="T35" s="0" t="s">
        <v>243</v>
      </c>
      <c r="U35" s="0" t="n">
        <v>0</v>
      </c>
      <c r="V35" s="0" t="s">
        <v>230</v>
      </c>
      <c r="W35" s="0" t="s">
        <v>244</v>
      </c>
      <c r="X35" s="0" t="s">
        <v>232</v>
      </c>
      <c r="Y35" s="0" t="s">
        <v>245</v>
      </c>
      <c r="Z35" s="0" t="s">
        <v>234</v>
      </c>
      <c r="AA35" s="0" t="s">
        <v>235</v>
      </c>
      <c r="AB35" s="32" t="n">
        <v>2350</v>
      </c>
      <c r="AC35" s="32" t="n">
        <v>2350</v>
      </c>
      <c r="AD35" s="26" t="n">
        <f aca="false">IFERROR(AB35/B35,"")</f>
        <v>4.65346534653465</v>
      </c>
      <c r="AE35" s="26" t="n">
        <f aca="false">IFERROR(AC35/B35,"")</f>
        <v>4.65346534653465</v>
      </c>
      <c r="AF35" s="0" t="s">
        <v>236</v>
      </c>
      <c r="AG35" s="0" t="s">
        <v>236</v>
      </c>
      <c r="AH35" s="0" t="s">
        <v>230</v>
      </c>
      <c r="AI35" s="0" t="s">
        <v>406</v>
      </c>
      <c r="AJ35" s="0" t="s">
        <v>407</v>
      </c>
      <c r="AK35" s="0" t="s">
        <v>408</v>
      </c>
      <c r="AL35" s="0" t="s">
        <v>409</v>
      </c>
      <c r="AM35" s="0" t="s">
        <v>94</v>
      </c>
      <c r="AN35" s="26" t="n">
        <f aca="false">IFERROR(E35*(1+IF(AM35="Apartment",Data_Summary!$C$3,0)),"")</f>
        <v>4.65346534653465</v>
      </c>
      <c r="AO35" s="4" t="n">
        <v>46195</v>
      </c>
    </row>
    <row r="36" customFormat="false" ht="15" hidden="false" customHeight="false" outlineLevel="0" collapsed="false">
      <c r="A36" s="0" t="n">
        <f aca="false">IF(AND(ISNUMBER(B36),B36&gt;0,ISNUMBER(AB36),AB36&gt;0,J36&gt;=Data_Summary!$C$1),1,0)</f>
        <v>1</v>
      </c>
      <c r="B36" s="30" t="n">
        <v>760</v>
      </c>
      <c r="C36" s="5" t="n">
        <f aca="false">IF(ISNUMBER(AB36),AB36,"")</f>
        <v>3400</v>
      </c>
      <c r="D36" s="0" t="n">
        <f aca="false">IF(ISNUMBER(C36),C36-U36*Data_Summary!$C$2,"")</f>
        <v>3250</v>
      </c>
      <c r="E36" s="31" t="n">
        <f aca="false">IFERROR(C36/B36,"")</f>
        <v>4.47368421052632</v>
      </c>
      <c r="F36" s="26" t="n">
        <f aca="false">IFERROR(D36/B36,"")</f>
        <v>4.27631578947368</v>
      </c>
      <c r="G36" s="0" t="str">
        <f aca="false">Q36</f>
        <v>2</v>
      </c>
      <c r="H36" s="0" t="str">
        <f aca="false">IFERROR(LEFT(G36,1),"")</f>
        <v>2</v>
      </c>
      <c r="I36" s="0" t="n">
        <f aca="false">IF(LEN(G36)&gt;1,1,0)</f>
        <v>0</v>
      </c>
      <c r="J36" s="4" t="n">
        <v>46147</v>
      </c>
      <c r="K36" s="0" t="s">
        <v>10</v>
      </c>
      <c r="L36" s="0" t="s">
        <v>91</v>
      </c>
      <c r="M36" s="0" t="s">
        <v>226</v>
      </c>
      <c r="N36" s="0" t="s">
        <v>93</v>
      </c>
      <c r="O36" s="0" t="s">
        <v>410</v>
      </c>
      <c r="Q36" s="0" t="s">
        <v>251</v>
      </c>
      <c r="R36" s="0" t="n">
        <v>2</v>
      </c>
      <c r="S36" s="5" t="n">
        <v>760</v>
      </c>
      <c r="T36" s="0" t="s">
        <v>252</v>
      </c>
      <c r="U36" s="0" t="n">
        <v>1</v>
      </c>
      <c r="V36" s="0" t="s">
        <v>230</v>
      </c>
      <c r="W36" s="0" t="s">
        <v>244</v>
      </c>
      <c r="X36" s="0" t="s">
        <v>232</v>
      </c>
      <c r="Y36" s="0" t="s">
        <v>297</v>
      </c>
      <c r="Z36" s="0" t="s">
        <v>234</v>
      </c>
      <c r="AA36" s="0" t="s">
        <v>235</v>
      </c>
      <c r="AB36" s="32" t="n">
        <v>3400</v>
      </c>
      <c r="AC36" s="32" t="n">
        <v>3500</v>
      </c>
      <c r="AD36" s="26" t="n">
        <f aca="false">IFERROR(AB36/B36,"")</f>
        <v>4.47368421052632</v>
      </c>
      <c r="AE36" s="26" t="n">
        <f aca="false">IFERROR(AC36/B36,"")</f>
        <v>4.60526315789474</v>
      </c>
      <c r="AF36" s="0" t="s">
        <v>236</v>
      </c>
      <c r="AG36" s="0" t="s">
        <v>236</v>
      </c>
      <c r="AH36" s="0" t="s">
        <v>230</v>
      </c>
      <c r="AI36" s="0" t="s">
        <v>411</v>
      </c>
      <c r="AJ36" s="0" t="s">
        <v>412</v>
      </c>
      <c r="AK36" s="0" t="s">
        <v>413</v>
      </c>
      <c r="AL36" s="0" t="s">
        <v>414</v>
      </c>
      <c r="AM36" s="0" t="s">
        <v>94</v>
      </c>
      <c r="AN36" s="26" t="n">
        <f aca="false">IFERROR(E36*(1+IF(AM36="Apartment",Data_Summary!$C$3,0)),"")</f>
        <v>4.47368421052632</v>
      </c>
      <c r="AO36" s="4" t="n">
        <v>46195</v>
      </c>
    </row>
    <row r="37" customFormat="false" ht="15" hidden="false" customHeight="false" outlineLevel="0" collapsed="false">
      <c r="A37" s="0" t="n">
        <f aca="false">IF(AND(ISNUMBER(B37),B37&gt;0,ISNUMBER(AB37),AB37&gt;0,J37&gt;=Data_Summary!$C$1),1,0)</f>
        <v>1</v>
      </c>
      <c r="B37" s="33" t="n">
        <v>692</v>
      </c>
      <c r="C37" s="5" t="n">
        <f aca="false">IF(ISNUMBER(AB37),AB37,"")</f>
        <v>3300</v>
      </c>
      <c r="D37" s="0" t="n">
        <f aca="false">IF(ISNUMBER(C37),C37-U37*Data_Summary!$C$2,"")</f>
        <v>3300</v>
      </c>
      <c r="E37" s="34" t="n">
        <f aca="false">IFERROR(C37/B37,"")</f>
        <v>4.76878612716763</v>
      </c>
      <c r="F37" s="26" t="n">
        <f aca="false">IFERROR(D37/B37,"")</f>
        <v>4.76878612716763</v>
      </c>
      <c r="G37" s="0" t="str">
        <f aca="false">Q37</f>
        <v>2</v>
      </c>
      <c r="H37" s="0" t="str">
        <f aca="false">IFERROR(LEFT(G37,1),"")</f>
        <v>2</v>
      </c>
      <c r="I37" s="0" t="n">
        <f aca="false">IF(LEN(G37)&gt;1,1,0)</f>
        <v>0</v>
      </c>
      <c r="J37" s="4" t="n">
        <v>46146</v>
      </c>
      <c r="K37" s="0" t="s">
        <v>10</v>
      </c>
      <c r="L37" s="0" t="s">
        <v>91</v>
      </c>
      <c r="M37" s="0" t="s">
        <v>226</v>
      </c>
      <c r="N37" s="0" t="s">
        <v>93</v>
      </c>
      <c r="O37" s="0" t="s">
        <v>415</v>
      </c>
      <c r="Q37" s="0" t="s">
        <v>251</v>
      </c>
      <c r="R37" s="0" t="n">
        <v>2</v>
      </c>
      <c r="S37" s="5" t="n">
        <v>692</v>
      </c>
      <c r="T37" s="0" t="s">
        <v>271</v>
      </c>
      <c r="U37" s="0" t="n">
        <v>0</v>
      </c>
      <c r="V37" s="0" t="s">
        <v>230</v>
      </c>
      <c r="W37" s="0" t="s">
        <v>244</v>
      </c>
      <c r="X37" s="0" t="s">
        <v>232</v>
      </c>
      <c r="Y37" s="0" t="s">
        <v>308</v>
      </c>
      <c r="Z37" s="0" t="s">
        <v>234</v>
      </c>
      <c r="AA37" s="0" t="s">
        <v>235</v>
      </c>
      <c r="AB37" s="32" t="n">
        <v>3300</v>
      </c>
      <c r="AC37" s="32" t="n">
        <v>3300</v>
      </c>
      <c r="AD37" s="26" t="n">
        <f aca="false">IFERROR(AB37/B37,"")</f>
        <v>4.76878612716763</v>
      </c>
      <c r="AE37" s="26" t="n">
        <f aca="false">IFERROR(AC37/B37,"")</f>
        <v>4.76878612716763</v>
      </c>
      <c r="AF37" s="0" t="s">
        <v>230</v>
      </c>
      <c r="AG37" s="0" t="s">
        <v>236</v>
      </c>
      <c r="AH37" s="0" t="s">
        <v>230</v>
      </c>
      <c r="AI37" s="0" t="s">
        <v>416</v>
      </c>
      <c r="AJ37" s="0" t="s">
        <v>417</v>
      </c>
      <c r="AK37" s="0" t="s">
        <v>418</v>
      </c>
      <c r="AL37" s="0" t="s">
        <v>419</v>
      </c>
      <c r="AM37" s="0" t="s">
        <v>94</v>
      </c>
      <c r="AN37" s="26" t="n">
        <f aca="false">IFERROR(E37*(1+IF(AM37="Apartment",Data_Summary!$C$3,0)),"")</f>
        <v>4.76878612716763</v>
      </c>
      <c r="AO37" s="4" t="n">
        <v>46195</v>
      </c>
    </row>
    <row r="38" customFormat="false" ht="15" hidden="false" customHeight="false" outlineLevel="0" collapsed="false">
      <c r="A38" s="0" t="n">
        <f aca="false">IF(AND(ISNUMBER(B38),B38&gt;0,ISNUMBER(AB38),AB38&gt;0,J38&gt;=Data_Summary!$C$1),1,0)</f>
        <v>1</v>
      </c>
      <c r="B38" s="33" t="n">
        <v>692</v>
      </c>
      <c r="C38" s="5" t="n">
        <f aca="false">IF(ISNUMBER(AB38),AB38,"")</f>
        <v>3300</v>
      </c>
      <c r="D38" s="0" t="n">
        <f aca="false">IF(ISNUMBER(C38),C38-U38*Data_Summary!$C$2,"")</f>
        <v>3300</v>
      </c>
      <c r="E38" s="34" t="n">
        <f aca="false">IFERROR(C38/B38,"")</f>
        <v>4.76878612716763</v>
      </c>
      <c r="F38" s="26" t="n">
        <f aca="false">IFERROR(D38/B38,"")</f>
        <v>4.76878612716763</v>
      </c>
      <c r="G38" s="0" t="str">
        <f aca="false">Q38</f>
        <v>2</v>
      </c>
      <c r="H38" s="0" t="str">
        <f aca="false">IFERROR(LEFT(G38,1),"")</f>
        <v>2</v>
      </c>
      <c r="I38" s="0" t="n">
        <f aca="false">IF(LEN(G38)&gt;1,1,0)</f>
        <v>0</v>
      </c>
      <c r="J38" s="4" t="n">
        <v>46142</v>
      </c>
      <c r="K38" s="0" t="s">
        <v>10</v>
      </c>
      <c r="L38" s="0" t="s">
        <v>91</v>
      </c>
      <c r="M38" s="0" t="s">
        <v>226</v>
      </c>
      <c r="N38" s="0" t="s">
        <v>93</v>
      </c>
      <c r="O38" s="0" t="s">
        <v>420</v>
      </c>
      <c r="Q38" s="0" t="s">
        <v>251</v>
      </c>
      <c r="R38" s="0" t="n">
        <v>2</v>
      </c>
      <c r="S38" s="5" t="n">
        <v>692</v>
      </c>
      <c r="T38" s="0" t="s">
        <v>271</v>
      </c>
      <c r="U38" s="0" t="n">
        <v>0</v>
      </c>
      <c r="V38" s="0" t="s">
        <v>230</v>
      </c>
      <c r="W38" s="0" t="s">
        <v>244</v>
      </c>
      <c r="X38" s="0" t="s">
        <v>232</v>
      </c>
      <c r="Y38" s="0" t="s">
        <v>308</v>
      </c>
      <c r="Z38" s="0" t="s">
        <v>234</v>
      </c>
      <c r="AA38" s="0" t="s">
        <v>235</v>
      </c>
      <c r="AB38" s="32" t="n">
        <v>3300</v>
      </c>
      <c r="AC38" s="32" t="n">
        <v>3100</v>
      </c>
      <c r="AD38" s="26" t="n">
        <f aca="false">IFERROR(AB38/B38,"")</f>
        <v>4.76878612716763</v>
      </c>
      <c r="AE38" s="26" t="n">
        <f aca="false">IFERROR(AC38/B38,"")</f>
        <v>4.47976878612717</v>
      </c>
      <c r="AF38" s="0" t="s">
        <v>421</v>
      </c>
      <c r="AG38" s="0" t="s">
        <v>236</v>
      </c>
      <c r="AH38" s="0" t="s">
        <v>230</v>
      </c>
      <c r="AI38" s="0" t="s">
        <v>422</v>
      </c>
      <c r="AJ38" s="0" t="s">
        <v>423</v>
      </c>
      <c r="AK38" s="0" t="s">
        <v>424</v>
      </c>
      <c r="AL38" s="0" t="s">
        <v>425</v>
      </c>
      <c r="AM38" s="0" t="s">
        <v>94</v>
      </c>
      <c r="AN38" s="26" t="n">
        <f aca="false">IFERROR(E38*(1+IF(AM38="Apartment",Data_Summary!$C$3,0)),"")</f>
        <v>4.76878612716763</v>
      </c>
      <c r="AO38" s="4" t="n">
        <v>46195</v>
      </c>
    </row>
    <row r="39" customFormat="false" ht="15" hidden="false" customHeight="false" outlineLevel="0" collapsed="false">
      <c r="A39" s="0" t="n">
        <f aca="false">IF(AND(ISNUMBER(B39),B39&gt;0,ISNUMBER(AB39),AB39&gt;0,J39&gt;=Data_Summary!$C$1),1,0)</f>
        <v>1</v>
      </c>
      <c r="B39" s="30" t="n">
        <v>505</v>
      </c>
      <c r="C39" s="5" t="n">
        <f aca="false">IF(ISNUMBER(AB39),AB39,"")</f>
        <v>2350</v>
      </c>
      <c r="D39" s="0" t="n">
        <f aca="false">IF(ISNUMBER(C39),C39-U39*Data_Summary!$C$2,"")</f>
        <v>2350</v>
      </c>
      <c r="E39" s="31" t="n">
        <f aca="false">IFERROR(C39/B39,"")</f>
        <v>4.65346534653465</v>
      </c>
      <c r="F39" s="26" t="n">
        <f aca="false">IFERROR(D39/B39,"")</f>
        <v>4.65346534653465</v>
      </c>
      <c r="G39" s="0" t="str">
        <f aca="false">Q39</f>
        <v>1</v>
      </c>
      <c r="H39" s="0" t="str">
        <f aca="false">IFERROR(LEFT(G39,1),"")</f>
        <v>1</v>
      </c>
      <c r="I39" s="0" t="n">
        <f aca="false">IF(LEN(G39)&gt;1,1,0)</f>
        <v>0</v>
      </c>
      <c r="J39" s="4" t="n">
        <v>46139</v>
      </c>
      <c r="K39" s="0" t="s">
        <v>10</v>
      </c>
      <c r="L39" s="0" t="s">
        <v>91</v>
      </c>
      <c r="M39" s="0" t="s">
        <v>226</v>
      </c>
      <c r="N39" s="0" t="s">
        <v>93</v>
      </c>
      <c r="O39" s="0" t="s">
        <v>426</v>
      </c>
      <c r="Q39" s="0" t="s">
        <v>242</v>
      </c>
      <c r="R39" s="0" t="n">
        <v>1</v>
      </c>
      <c r="S39" s="5" t="n">
        <v>505</v>
      </c>
      <c r="T39" s="0" t="s">
        <v>243</v>
      </c>
      <c r="U39" s="0" t="n">
        <v>0</v>
      </c>
      <c r="V39" s="0" t="s">
        <v>230</v>
      </c>
      <c r="W39" s="0" t="s">
        <v>231</v>
      </c>
      <c r="X39" s="0" t="s">
        <v>232</v>
      </c>
      <c r="Y39" s="0" t="s">
        <v>245</v>
      </c>
      <c r="Z39" s="0" t="s">
        <v>234</v>
      </c>
      <c r="AA39" s="0" t="s">
        <v>235</v>
      </c>
      <c r="AB39" s="32" t="n">
        <v>2350</v>
      </c>
      <c r="AC39" s="32" t="n">
        <v>2350</v>
      </c>
      <c r="AD39" s="26" t="n">
        <f aca="false">IFERROR(AB39/B39,"")</f>
        <v>4.65346534653465</v>
      </c>
      <c r="AE39" s="26" t="n">
        <f aca="false">IFERROR(AC39/B39,"")</f>
        <v>4.65346534653465</v>
      </c>
      <c r="AF39" s="0" t="s">
        <v>236</v>
      </c>
      <c r="AG39" s="0" t="s">
        <v>236</v>
      </c>
      <c r="AH39" s="0" t="s">
        <v>230</v>
      </c>
      <c r="AI39" s="0" t="s">
        <v>427</v>
      </c>
      <c r="AJ39" s="0" t="s">
        <v>428</v>
      </c>
      <c r="AK39" s="0" t="s">
        <v>429</v>
      </c>
      <c r="AL39" s="0" t="s">
        <v>430</v>
      </c>
      <c r="AM39" s="0" t="s">
        <v>94</v>
      </c>
      <c r="AN39" s="26" t="n">
        <f aca="false">IFERROR(E39*(1+IF(AM39="Apartment",Data_Summary!$C$3,0)),"")</f>
        <v>4.65346534653465</v>
      </c>
      <c r="AO39" s="4" t="n">
        <v>46195</v>
      </c>
    </row>
    <row r="40" customFormat="false" ht="15" hidden="false" customHeight="false" outlineLevel="0" collapsed="false">
      <c r="A40" s="0" t="n">
        <f aca="false">IF(AND(ISNUMBER(B40),B40&gt;0,ISNUMBER(AB40),AB40&gt;0,J40&gt;=Data_Summary!$C$1),1,0)</f>
        <v>1</v>
      </c>
      <c r="B40" s="30" t="n">
        <v>545</v>
      </c>
      <c r="C40" s="5" t="n">
        <f aca="false">IF(ISNUMBER(AB40),AB40,"")</f>
        <v>2550</v>
      </c>
      <c r="D40" s="0" t="n">
        <f aca="false">IF(ISNUMBER(C40),C40-U40*Data_Summary!$C$2,"")</f>
        <v>2550</v>
      </c>
      <c r="E40" s="31" t="n">
        <f aca="false">IFERROR(C40/B40,"")</f>
        <v>4.67889908256881</v>
      </c>
      <c r="F40" s="26" t="n">
        <f aca="false">IFERROR(D40/B40,"")</f>
        <v>4.67889908256881</v>
      </c>
      <c r="G40" s="0" t="str">
        <f aca="false">Q40</f>
        <v>1</v>
      </c>
      <c r="H40" s="0" t="str">
        <f aca="false">IFERROR(LEFT(G40,1),"")</f>
        <v>1</v>
      </c>
      <c r="I40" s="0" t="n">
        <f aca="false">IF(LEN(G40)&gt;1,1,0)</f>
        <v>0</v>
      </c>
      <c r="J40" s="4" t="n">
        <v>46136</v>
      </c>
      <c r="K40" s="0" t="s">
        <v>10</v>
      </c>
      <c r="L40" s="0" t="s">
        <v>91</v>
      </c>
      <c r="M40" s="0" t="s">
        <v>226</v>
      </c>
      <c r="N40" s="0" t="s">
        <v>93</v>
      </c>
      <c r="O40" s="0" t="s">
        <v>431</v>
      </c>
      <c r="Q40" s="0" t="s">
        <v>242</v>
      </c>
      <c r="R40" s="0" t="n">
        <v>1</v>
      </c>
      <c r="S40" s="5" t="n">
        <v>545</v>
      </c>
      <c r="T40" s="0" t="s">
        <v>243</v>
      </c>
      <c r="U40" s="0" t="n">
        <v>0</v>
      </c>
      <c r="V40" s="0" t="s">
        <v>230</v>
      </c>
      <c r="W40" s="0" t="s">
        <v>244</v>
      </c>
      <c r="X40" s="0" t="s">
        <v>232</v>
      </c>
      <c r="Y40" s="0" t="s">
        <v>272</v>
      </c>
      <c r="Z40" s="0" t="s">
        <v>234</v>
      </c>
      <c r="AA40" s="0" t="s">
        <v>235</v>
      </c>
      <c r="AB40" s="32" t="n">
        <v>2550</v>
      </c>
      <c r="AC40" s="32" t="n">
        <v>2480</v>
      </c>
      <c r="AD40" s="26" t="n">
        <f aca="false">IFERROR(AB40/B40,"")</f>
        <v>4.67889908256881</v>
      </c>
      <c r="AE40" s="26" t="n">
        <f aca="false">IFERROR(AC40/B40,"")</f>
        <v>4.55045871559633</v>
      </c>
      <c r="AF40" s="0" t="s">
        <v>236</v>
      </c>
      <c r="AG40" s="0" t="s">
        <v>236</v>
      </c>
      <c r="AH40" s="0" t="s">
        <v>236</v>
      </c>
      <c r="AI40" s="0" t="s">
        <v>432</v>
      </c>
      <c r="AJ40" s="0" t="s">
        <v>433</v>
      </c>
      <c r="AK40" s="0" t="s">
        <v>434</v>
      </c>
      <c r="AL40" s="0" t="s">
        <v>435</v>
      </c>
      <c r="AM40" s="0" t="s">
        <v>94</v>
      </c>
      <c r="AN40" s="26" t="n">
        <f aca="false">IFERROR(E40*(1+IF(AM40="Apartment",Data_Summary!$C$3,0)),"")</f>
        <v>4.67889908256881</v>
      </c>
      <c r="AO40" s="4" t="n">
        <v>46195</v>
      </c>
    </row>
    <row r="41" customFormat="false" ht="15" hidden="false" customHeight="false" outlineLevel="0" collapsed="false">
      <c r="A41" s="0" t="n">
        <f aca="false">IF(AND(ISNUMBER(B41),B41&gt;0,ISNUMBER(AB41),AB41&gt;0,J41&gt;=Data_Summary!$C$1),1,0)</f>
        <v>1</v>
      </c>
      <c r="B41" s="30" t="n">
        <v>505</v>
      </c>
      <c r="C41" s="5" t="n">
        <f aca="false">IF(ISNUMBER(AB41),AB41,"")</f>
        <v>2250</v>
      </c>
      <c r="D41" s="0" t="n">
        <f aca="false">IF(ISNUMBER(C41),C41-U41*Data_Summary!$C$2,"")</f>
        <v>2250</v>
      </c>
      <c r="E41" s="31" t="n">
        <f aca="false">IFERROR(C41/B41,"")</f>
        <v>4.45544554455446</v>
      </c>
      <c r="F41" s="26" t="n">
        <f aca="false">IFERROR(D41/B41,"")</f>
        <v>4.45544554455446</v>
      </c>
      <c r="G41" s="0" t="str">
        <f aca="false">Q41</f>
        <v>1</v>
      </c>
      <c r="H41" s="0" t="str">
        <f aca="false">IFERROR(LEFT(G41,1),"")</f>
        <v>1</v>
      </c>
      <c r="I41" s="0" t="n">
        <f aca="false">IF(LEN(G41)&gt;1,1,0)</f>
        <v>0</v>
      </c>
      <c r="J41" s="4" t="n">
        <v>46135</v>
      </c>
      <c r="K41" s="0" t="s">
        <v>10</v>
      </c>
      <c r="L41" s="0" t="s">
        <v>91</v>
      </c>
      <c r="M41" s="0" t="s">
        <v>226</v>
      </c>
      <c r="N41" s="0" t="s">
        <v>93</v>
      </c>
      <c r="O41" s="0" t="s">
        <v>436</v>
      </c>
      <c r="Q41" s="0" t="s">
        <v>242</v>
      </c>
      <c r="R41" s="0" t="n">
        <v>1</v>
      </c>
      <c r="S41" s="5" t="n">
        <v>505</v>
      </c>
      <c r="T41" s="0" t="s">
        <v>243</v>
      </c>
      <c r="U41" s="0" t="n">
        <v>0</v>
      </c>
      <c r="V41" s="0" t="s">
        <v>230</v>
      </c>
      <c r="W41" s="0" t="s">
        <v>244</v>
      </c>
      <c r="X41" s="0" t="s">
        <v>232</v>
      </c>
      <c r="Y41" s="0" t="s">
        <v>245</v>
      </c>
      <c r="Z41" s="0" t="s">
        <v>234</v>
      </c>
      <c r="AA41" s="0" t="s">
        <v>235</v>
      </c>
      <c r="AB41" s="32" t="n">
        <v>2250</v>
      </c>
      <c r="AC41" s="32" t="n">
        <v>2250</v>
      </c>
      <c r="AD41" s="26" t="n">
        <f aca="false">IFERROR(AB41/B41,"")</f>
        <v>4.45544554455446</v>
      </c>
      <c r="AE41" s="26" t="n">
        <f aca="false">IFERROR(AC41/B41,"")</f>
        <v>4.45544554455446</v>
      </c>
      <c r="AF41" s="0" t="s">
        <v>236</v>
      </c>
      <c r="AG41" s="0" t="s">
        <v>236</v>
      </c>
      <c r="AH41" s="0" t="s">
        <v>236</v>
      </c>
      <c r="AI41" s="0" t="s">
        <v>437</v>
      </c>
      <c r="AJ41" s="0" t="s">
        <v>438</v>
      </c>
      <c r="AK41" s="0" t="s">
        <v>439</v>
      </c>
      <c r="AL41" s="0" t="s">
        <v>440</v>
      </c>
      <c r="AM41" s="0" t="s">
        <v>94</v>
      </c>
      <c r="AN41" s="26" t="n">
        <f aca="false">IFERROR(E41*(1+IF(AM41="Apartment",Data_Summary!$C$3,0)),"")</f>
        <v>4.45544554455446</v>
      </c>
      <c r="AO41" s="4" t="n">
        <v>46195</v>
      </c>
    </row>
    <row r="42" customFormat="false" ht="15" hidden="false" customHeight="false" outlineLevel="0" collapsed="false">
      <c r="A42" s="0" t="n">
        <f aca="false">IF(AND(ISNUMBER(B42),B42&gt;0,ISNUMBER(AB42),AB42&gt;0,J42&gt;=Data_Summary!$C$1),1,0)</f>
        <v>1</v>
      </c>
      <c r="B42" s="30" t="n">
        <v>650</v>
      </c>
      <c r="C42" s="5" t="n">
        <f aca="false">IF(ISNUMBER(AB42),AB42,"")</f>
        <v>2800</v>
      </c>
      <c r="D42" s="0" t="n">
        <f aca="false">IF(ISNUMBER(C42),C42-U42*Data_Summary!$C$2,"")</f>
        <v>2800</v>
      </c>
      <c r="E42" s="31" t="n">
        <f aca="false">IFERROR(C42/B42,"")</f>
        <v>4.30769230769231</v>
      </c>
      <c r="F42" s="26" t="n">
        <f aca="false">IFERROR(D42/B42,"")</f>
        <v>4.30769230769231</v>
      </c>
      <c r="G42" s="0" t="str">
        <f aca="false">Q42</f>
        <v>1+1</v>
      </c>
      <c r="H42" s="0" t="str">
        <f aca="false">IFERROR(LEFT(G42,1),"")</f>
        <v>1</v>
      </c>
      <c r="I42" s="0" t="n">
        <f aca="false">IF(LEN(G42)&gt;1,1,0)</f>
        <v>1</v>
      </c>
      <c r="J42" s="4" t="n">
        <v>46131</v>
      </c>
      <c r="K42" s="0" t="s">
        <v>10</v>
      </c>
      <c r="L42" s="0" t="s">
        <v>91</v>
      </c>
      <c r="M42" s="0" t="s">
        <v>226</v>
      </c>
      <c r="N42" s="0" t="s">
        <v>93</v>
      </c>
      <c r="O42" s="0" t="s">
        <v>441</v>
      </c>
      <c r="Q42" s="0" t="s">
        <v>270</v>
      </c>
      <c r="R42" s="0" t="n">
        <v>2</v>
      </c>
      <c r="S42" s="5" t="n">
        <v>650</v>
      </c>
      <c r="T42" s="0" t="s">
        <v>271</v>
      </c>
      <c r="U42" s="0" t="n">
        <v>0</v>
      </c>
      <c r="V42" s="0" t="s">
        <v>230</v>
      </c>
      <c r="W42" s="0" t="s">
        <v>244</v>
      </c>
      <c r="X42" s="0" t="s">
        <v>232</v>
      </c>
      <c r="Y42" s="0" t="s">
        <v>278</v>
      </c>
      <c r="Z42" s="0" t="s">
        <v>234</v>
      </c>
      <c r="AA42" s="0" t="s">
        <v>235</v>
      </c>
      <c r="AB42" s="32" t="n">
        <v>2800</v>
      </c>
      <c r="AC42" s="32" t="n">
        <v>2900</v>
      </c>
      <c r="AD42" s="26" t="n">
        <f aca="false">IFERROR(AB42/B42,"")</f>
        <v>4.30769230769231</v>
      </c>
      <c r="AE42" s="26" t="n">
        <f aca="false">IFERROR(AC42/B42,"")</f>
        <v>4.46153846153846</v>
      </c>
      <c r="AF42" s="0" t="s">
        <v>236</v>
      </c>
      <c r="AG42" s="0" t="s">
        <v>236</v>
      </c>
      <c r="AH42" s="0" t="s">
        <v>230</v>
      </c>
      <c r="AI42" s="0" t="s">
        <v>442</v>
      </c>
      <c r="AJ42" s="0" t="s">
        <v>443</v>
      </c>
      <c r="AK42" s="0" t="s">
        <v>444</v>
      </c>
      <c r="AL42" s="0" t="s">
        <v>445</v>
      </c>
      <c r="AM42" s="0" t="s">
        <v>94</v>
      </c>
      <c r="AN42" s="26" t="n">
        <f aca="false">IFERROR(E42*(1+IF(AM42="Apartment",Data_Summary!$C$3,0)),"")</f>
        <v>4.30769230769231</v>
      </c>
      <c r="AO42" s="4" t="n">
        <v>46195</v>
      </c>
    </row>
    <row r="43" customFormat="false" ht="15" hidden="false" customHeight="false" outlineLevel="0" collapsed="false">
      <c r="A43" s="0" t="n">
        <f aca="false">IF(AND(ISNUMBER(B43),B43&gt;0,ISNUMBER(AB43),AB43&gt;0,J43&gt;=Data_Summary!$C$1),1,0)</f>
        <v>1</v>
      </c>
      <c r="B43" s="33" t="n">
        <v>535</v>
      </c>
      <c r="C43" s="5" t="n">
        <f aca="false">IF(ISNUMBER(AB43),AB43,"")</f>
        <v>2600</v>
      </c>
      <c r="D43" s="0" t="n">
        <f aca="false">IF(ISNUMBER(C43),C43-U43*Data_Summary!$C$2,"")</f>
        <v>2600</v>
      </c>
      <c r="E43" s="34" t="n">
        <f aca="false">IFERROR(C43/B43,"")</f>
        <v>4.85981308411215</v>
      </c>
      <c r="F43" s="26" t="n">
        <f aca="false">IFERROR(D43/B43,"")</f>
        <v>4.85981308411215</v>
      </c>
      <c r="G43" s="0" t="str">
        <f aca="false">Q43</f>
        <v>1+1</v>
      </c>
      <c r="H43" s="0" t="str">
        <f aca="false">IFERROR(LEFT(G43,1),"")</f>
        <v>1</v>
      </c>
      <c r="I43" s="0" t="n">
        <f aca="false">IF(LEN(G43)&gt;1,1,0)</f>
        <v>1</v>
      </c>
      <c r="J43" s="4" t="n">
        <v>46131</v>
      </c>
      <c r="K43" s="0" t="s">
        <v>10</v>
      </c>
      <c r="L43" s="0" t="s">
        <v>91</v>
      </c>
      <c r="M43" s="0" t="s">
        <v>226</v>
      </c>
      <c r="N43" s="0" t="s">
        <v>93</v>
      </c>
      <c r="O43" s="0" t="s">
        <v>446</v>
      </c>
      <c r="Q43" s="0" t="s">
        <v>270</v>
      </c>
      <c r="R43" s="0" t="n">
        <v>1</v>
      </c>
      <c r="S43" s="5" t="n">
        <v>535</v>
      </c>
      <c r="T43" s="0" t="s">
        <v>243</v>
      </c>
      <c r="U43" s="0" t="n">
        <v>0</v>
      </c>
      <c r="V43" s="0" t="s">
        <v>230</v>
      </c>
      <c r="W43" s="0" t="s">
        <v>244</v>
      </c>
      <c r="X43" s="0" t="s">
        <v>232</v>
      </c>
      <c r="Y43" s="0" t="s">
        <v>272</v>
      </c>
      <c r="Z43" s="0" t="s">
        <v>234</v>
      </c>
      <c r="AA43" s="0" t="s">
        <v>235</v>
      </c>
      <c r="AB43" s="32" t="n">
        <v>2600</v>
      </c>
      <c r="AC43" s="32" t="n">
        <v>2600</v>
      </c>
      <c r="AD43" s="26" t="n">
        <f aca="false">IFERROR(AB43/B43,"")</f>
        <v>4.85981308411215</v>
      </c>
      <c r="AE43" s="26" t="n">
        <f aca="false">IFERROR(AC43/B43,"")</f>
        <v>4.85981308411215</v>
      </c>
      <c r="AF43" s="0" t="s">
        <v>230</v>
      </c>
      <c r="AG43" s="0" t="s">
        <v>236</v>
      </c>
      <c r="AH43" s="0" t="s">
        <v>236</v>
      </c>
      <c r="AI43" s="0" t="s">
        <v>442</v>
      </c>
      <c r="AJ43" s="0" t="s">
        <v>447</v>
      </c>
      <c r="AK43" s="0" t="s">
        <v>448</v>
      </c>
      <c r="AL43" s="0" t="s">
        <v>449</v>
      </c>
      <c r="AM43" s="0" t="s">
        <v>94</v>
      </c>
      <c r="AN43" s="26" t="n">
        <f aca="false">IFERROR(E43*(1+IF(AM43="Apartment",Data_Summary!$C$3,0)),"")</f>
        <v>4.85981308411215</v>
      </c>
      <c r="AO43" s="4" t="n">
        <v>46195</v>
      </c>
    </row>
    <row r="44" customFormat="false" ht="15" hidden="false" customHeight="false" outlineLevel="0" collapsed="false">
      <c r="A44" s="0" t="n">
        <f aca="false">IF(AND(ISNUMBER(B44),B44&gt;0,ISNUMBER(AB44),AB44&gt;0,J44&gt;=Data_Summary!$C$1),1,0)</f>
        <v>1</v>
      </c>
      <c r="B44" s="30" t="n">
        <v>908</v>
      </c>
      <c r="C44" s="5" t="n">
        <f aca="false">IF(ISNUMBER(AB44),AB44,"")</f>
        <v>3750</v>
      </c>
      <c r="D44" s="0" t="n">
        <f aca="false">IF(ISNUMBER(C44),C44-U44*Data_Summary!$C$2,"")</f>
        <v>3600</v>
      </c>
      <c r="E44" s="31" t="n">
        <f aca="false">IFERROR(C44/B44,"")</f>
        <v>4.12995594713656</v>
      </c>
      <c r="F44" s="26" t="n">
        <f aca="false">IFERROR(D44/B44,"")</f>
        <v>3.9647577092511</v>
      </c>
      <c r="G44" s="0" t="str">
        <f aca="false">Q44</f>
        <v>2+1</v>
      </c>
      <c r="H44" s="0" t="str">
        <f aca="false">IFERROR(LEFT(G44,1),"")</f>
        <v>2</v>
      </c>
      <c r="I44" s="0" t="n">
        <f aca="false">IF(LEN(G44)&gt;1,1,0)</f>
        <v>1</v>
      </c>
      <c r="J44" s="4" t="n">
        <v>46130</v>
      </c>
      <c r="K44" s="0" t="s">
        <v>10</v>
      </c>
      <c r="L44" s="0" t="s">
        <v>91</v>
      </c>
      <c r="M44" s="0" t="s">
        <v>226</v>
      </c>
      <c r="N44" s="0" t="s">
        <v>93</v>
      </c>
      <c r="O44" s="0" t="s">
        <v>450</v>
      </c>
      <c r="Q44" s="0" t="s">
        <v>451</v>
      </c>
      <c r="R44" s="0" t="n">
        <v>2</v>
      </c>
      <c r="S44" s="5" t="n">
        <v>908</v>
      </c>
      <c r="T44" s="0" t="s">
        <v>259</v>
      </c>
      <c r="U44" s="0" t="n">
        <v>1</v>
      </c>
      <c r="V44" s="0" t="s">
        <v>230</v>
      </c>
      <c r="W44" s="0" t="s">
        <v>231</v>
      </c>
      <c r="X44" s="0" t="s">
        <v>232</v>
      </c>
      <c r="Y44" s="0" t="s">
        <v>278</v>
      </c>
      <c r="Z44" s="0" t="s">
        <v>234</v>
      </c>
      <c r="AA44" s="0" t="s">
        <v>235</v>
      </c>
      <c r="AB44" s="32" t="n">
        <v>3750</v>
      </c>
      <c r="AC44" s="32" t="n">
        <v>3750</v>
      </c>
      <c r="AD44" s="26" t="n">
        <f aca="false">IFERROR(AB44/B44,"")</f>
        <v>4.12995594713656</v>
      </c>
      <c r="AE44" s="26" t="n">
        <f aca="false">IFERROR(AC44/B44,"")</f>
        <v>4.12995594713656</v>
      </c>
      <c r="AF44" s="0" t="s">
        <v>236</v>
      </c>
      <c r="AG44" s="0" t="s">
        <v>236</v>
      </c>
      <c r="AH44" s="0" t="s">
        <v>230</v>
      </c>
      <c r="AI44" s="0" t="s">
        <v>452</v>
      </c>
      <c r="AJ44" s="0" t="s">
        <v>453</v>
      </c>
      <c r="AK44" s="0" t="s">
        <v>454</v>
      </c>
      <c r="AL44" s="0" t="s">
        <v>455</v>
      </c>
      <c r="AM44" s="0" t="s">
        <v>94</v>
      </c>
      <c r="AN44" s="26" t="n">
        <f aca="false">IFERROR(E44*(1+IF(AM44="Apartment",Data_Summary!$C$3,0)),"")</f>
        <v>4.12995594713656</v>
      </c>
      <c r="AO44" s="4" t="n">
        <v>46195</v>
      </c>
    </row>
    <row r="45" customFormat="false" ht="15" hidden="false" customHeight="false" outlineLevel="0" collapsed="false">
      <c r="A45" s="0" t="n">
        <f aca="false">IF(AND(ISNUMBER(B45),B45&gt;0,ISNUMBER(AB45),AB45&gt;0,J45&gt;=Data_Summary!$C$1),1,0)</f>
        <v>1</v>
      </c>
      <c r="B45" s="30" t="n">
        <v>740</v>
      </c>
      <c r="C45" s="5" t="n">
        <f aca="false">IF(ISNUMBER(AB45),AB45,"")</f>
        <v>3400</v>
      </c>
      <c r="D45" s="0" t="n">
        <f aca="false">IF(ISNUMBER(C45),C45-U45*Data_Summary!$C$2,"")</f>
        <v>3250</v>
      </c>
      <c r="E45" s="31" t="n">
        <f aca="false">IFERROR(C45/B45,"")</f>
        <v>4.5945945945946</v>
      </c>
      <c r="F45" s="26" t="n">
        <f aca="false">IFERROR(D45/B45,"")</f>
        <v>4.39189189189189</v>
      </c>
      <c r="G45" s="0" t="str">
        <f aca="false">Q45</f>
        <v>2</v>
      </c>
      <c r="H45" s="0" t="str">
        <f aca="false">IFERROR(LEFT(G45,1),"")</f>
        <v>2</v>
      </c>
      <c r="I45" s="0" t="n">
        <f aca="false">IF(LEN(G45)&gt;1,1,0)</f>
        <v>0</v>
      </c>
      <c r="J45" s="4" t="n">
        <v>46127</v>
      </c>
      <c r="K45" s="0" t="s">
        <v>10</v>
      </c>
      <c r="L45" s="0" t="s">
        <v>91</v>
      </c>
      <c r="M45" s="0" t="s">
        <v>226</v>
      </c>
      <c r="N45" s="0" t="s">
        <v>93</v>
      </c>
      <c r="O45" s="0" t="s">
        <v>456</v>
      </c>
      <c r="Q45" s="0" t="s">
        <v>251</v>
      </c>
      <c r="R45" s="0" t="n">
        <v>2</v>
      </c>
      <c r="S45" s="5" t="n">
        <v>740</v>
      </c>
      <c r="T45" s="0" t="s">
        <v>252</v>
      </c>
      <c r="U45" s="0" t="n">
        <v>1</v>
      </c>
      <c r="V45" s="0" t="s">
        <v>230</v>
      </c>
      <c r="W45" s="0" t="s">
        <v>231</v>
      </c>
      <c r="X45" s="0" t="s">
        <v>232</v>
      </c>
      <c r="Y45" s="0" t="s">
        <v>233</v>
      </c>
      <c r="Z45" s="0" t="s">
        <v>234</v>
      </c>
      <c r="AA45" s="0" t="s">
        <v>235</v>
      </c>
      <c r="AB45" s="32" t="n">
        <v>3400</v>
      </c>
      <c r="AC45" s="32" t="n">
        <v>3400</v>
      </c>
      <c r="AD45" s="26" t="n">
        <f aca="false">IFERROR(AB45/B45,"")</f>
        <v>4.5945945945946</v>
      </c>
      <c r="AE45" s="26" t="n">
        <f aca="false">IFERROR(AC45/B45,"")</f>
        <v>4.5945945945946</v>
      </c>
      <c r="AF45" s="0" t="s">
        <v>236</v>
      </c>
      <c r="AG45" s="0" t="s">
        <v>236</v>
      </c>
      <c r="AH45" s="0" t="s">
        <v>236</v>
      </c>
      <c r="AI45" s="0" t="s">
        <v>457</v>
      </c>
      <c r="AJ45" s="0" t="s">
        <v>458</v>
      </c>
      <c r="AK45" s="0" t="s">
        <v>459</v>
      </c>
      <c r="AL45" s="0" t="s">
        <v>460</v>
      </c>
      <c r="AM45" s="0" t="s">
        <v>94</v>
      </c>
      <c r="AN45" s="26" t="n">
        <f aca="false">IFERROR(E45*(1+IF(AM45="Apartment",Data_Summary!$C$3,0)),"")</f>
        <v>4.5945945945946</v>
      </c>
      <c r="AO45" s="4" t="n">
        <v>46195</v>
      </c>
    </row>
    <row r="46" customFormat="false" ht="15" hidden="false" customHeight="false" outlineLevel="0" collapsed="false">
      <c r="A46" s="0" t="n">
        <f aca="false">IF(AND(ISNUMBER(B46),B46&gt;0,ISNUMBER(AB46),AB46&gt;0,J46&gt;=Data_Summary!$C$1),1,0)</f>
        <v>1</v>
      </c>
      <c r="B46" s="30" t="n">
        <v>1128</v>
      </c>
      <c r="C46" s="5" t="n">
        <f aca="false">IF(ISNUMBER(AB46),AB46,"")</f>
        <v>5000</v>
      </c>
      <c r="D46" s="0" t="n">
        <f aca="false">IF(ISNUMBER(C46),C46-U46*Data_Summary!$C$2,"")</f>
        <v>4850</v>
      </c>
      <c r="E46" s="31" t="n">
        <f aca="false">IFERROR(C46/B46,"")</f>
        <v>4.43262411347518</v>
      </c>
      <c r="F46" s="26" t="n">
        <f aca="false">IFERROR(D46/B46,"")</f>
        <v>4.29964539007092</v>
      </c>
      <c r="G46" s="0" t="str">
        <f aca="false">Q46</f>
        <v>3</v>
      </c>
      <c r="H46" s="0" t="str">
        <f aca="false">IFERROR(LEFT(G46,1),"")</f>
        <v>3</v>
      </c>
      <c r="I46" s="0" t="n">
        <f aca="false">IF(LEN(G46)&gt;1,1,0)</f>
        <v>0</v>
      </c>
      <c r="J46" s="4" t="n">
        <v>46125</v>
      </c>
      <c r="K46" s="0" t="s">
        <v>10</v>
      </c>
      <c r="L46" s="0" t="s">
        <v>91</v>
      </c>
      <c r="M46" s="0" t="s">
        <v>226</v>
      </c>
      <c r="N46" s="0" t="s">
        <v>93</v>
      </c>
      <c r="O46" s="0" t="s">
        <v>461</v>
      </c>
      <c r="Q46" s="0" t="s">
        <v>228</v>
      </c>
      <c r="R46" s="0" t="n">
        <v>2</v>
      </c>
      <c r="S46" s="5" t="n">
        <v>1128</v>
      </c>
      <c r="T46" s="0" t="s">
        <v>265</v>
      </c>
      <c r="U46" s="0" t="n">
        <v>1</v>
      </c>
      <c r="V46" s="0" t="s">
        <v>230</v>
      </c>
      <c r="W46" s="0" t="s">
        <v>244</v>
      </c>
      <c r="X46" s="0" t="s">
        <v>232</v>
      </c>
      <c r="Y46" s="0" t="s">
        <v>272</v>
      </c>
      <c r="Z46" s="0" t="s">
        <v>234</v>
      </c>
      <c r="AA46" s="0" t="s">
        <v>235</v>
      </c>
      <c r="AB46" s="32" t="n">
        <v>5000</v>
      </c>
      <c r="AC46" s="32" t="n">
        <v>5100</v>
      </c>
      <c r="AD46" s="26" t="n">
        <f aca="false">IFERROR(AB46/B46,"")</f>
        <v>4.43262411347518</v>
      </c>
      <c r="AE46" s="26" t="n">
        <f aca="false">IFERROR(AC46/B46,"")</f>
        <v>4.52127659574468</v>
      </c>
      <c r="AF46" s="0" t="s">
        <v>236</v>
      </c>
      <c r="AG46" s="0" t="s">
        <v>236</v>
      </c>
      <c r="AH46" s="0" t="s">
        <v>236</v>
      </c>
      <c r="AI46" s="0" t="s">
        <v>462</v>
      </c>
      <c r="AJ46" s="0" t="s">
        <v>463</v>
      </c>
      <c r="AK46" s="0" t="s">
        <v>464</v>
      </c>
      <c r="AL46" s="0" t="s">
        <v>465</v>
      </c>
      <c r="AM46" s="0" t="s">
        <v>94</v>
      </c>
      <c r="AN46" s="26" t="n">
        <f aca="false">IFERROR(E46*(1+IF(AM46="Apartment",Data_Summary!$C$3,0)),"")</f>
        <v>4.43262411347518</v>
      </c>
      <c r="AO46" s="4" t="n">
        <v>46195</v>
      </c>
    </row>
    <row r="47" customFormat="false" ht="15" hidden="false" customHeight="false" outlineLevel="0" collapsed="false">
      <c r="A47" s="0" t="n">
        <f aca="false">IF(AND(ISNUMBER(B47),B47&gt;0,ISNUMBER(AB47),AB47&gt;0,J47&gt;=Data_Summary!$C$1),1,0)</f>
        <v>1</v>
      </c>
      <c r="B47" s="30" t="n">
        <v>1248</v>
      </c>
      <c r="C47" s="5" t="n">
        <f aca="false">IF(ISNUMBER(AB47),AB47,"")</f>
        <v>4500</v>
      </c>
      <c r="D47" s="0" t="n">
        <f aca="false">IF(ISNUMBER(C47),C47-U47*Data_Summary!$C$2,"")</f>
        <v>4200</v>
      </c>
      <c r="E47" s="31" t="n">
        <f aca="false">IFERROR(C47/B47,"")</f>
        <v>3.60576923076923</v>
      </c>
      <c r="F47" s="26" t="n">
        <f aca="false">IFERROR(D47/B47,"")</f>
        <v>3.36538461538462</v>
      </c>
      <c r="G47" s="0" t="str">
        <f aca="false">Q47</f>
        <v>3</v>
      </c>
      <c r="H47" s="0" t="str">
        <f aca="false">IFERROR(LEFT(G47,1),"")</f>
        <v>3</v>
      </c>
      <c r="I47" s="0" t="n">
        <f aca="false">IF(LEN(G47)&gt;1,1,0)</f>
        <v>0</v>
      </c>
      <c r="J47" s="4" t="n">
        <v>46120</v>
      </c>
      <c r="K47" s="0" t="s">
        <v>10</v>
      </c>
      <c r="L47" s="0" t="s">
        <v>91</v>
      </c>
      <c r="M47" s="0" t="s">
        <v>226</v>
      </c>
      <c r="N47" s="0" t="s">
        <v>93</v>
      </c>
      <c r="O47" s="0" t="s">
        <v>466</v>
      </c>
      <c r="Q47" s="0" t="s">
        <v>228</v>
      </c>
      <c r="R47" s="0" t="n">
        <v>3</v>
      </c>
      <c r="S47" s="5" t="n">
        <v>1248</v>
      </c>
      <c r="T47" s="0" t="s">
        <v>467</v>
      </c>
      <c r="U47" s="0" t="n">
        <v>2</v>
      </c>
      <c r="V47" s="0" t="s">
        <v>230</v>
      </c>
      <c r="W47" s="0" t="s">
        <v>231</v>
      </c>
      <c r="X47" s="0" t="s">
        <v>232</v>
      </c>
      <c r="Y47" s="0" t="s">
        <v>308</v>
      </c>
      <c r="Z47" s="0" t="s">
        <v>234</v>
      </c>
      <c r="AA47" s="0" t="s">
        <v>235</v>
      </c>
      <c r="AB47" s="32" t="n">
        <v>4500</v>
      </c>
      <c r="AC47" s="32" t="n">
        <v>4500</v>
      </c>
      <c r="AD47" s="26" t="n">
        <f aca="false">IFERROR(AB47/B47,"")</f>
        <v>3.60576923076923</v>
      </c>
      <c r="AE47" s="26" t="n">
        <f aca="false">IFERROR(AC47/B47,"")</f>
        <v>3.60576923076923</v>
      </c>
      <c r="AF47" s="0" t="s">
        <v>236</v>
      </c>
      <c r="AG47" s="0" t="s">
        <v>236</v>
      </c>
      <c r="AH47" s="0" t="s">
        <v>230</v>
      </c>
      <c r="AI47" s="0" t="s">
        <v>468</v>
      </c>
      <c r="AJ47" s="0" t="s">
        <v>469</v>
      </c>
      <c r="AK47" s="0" t="s">
        <v>470</v>
      </c>
      <c r="AL47" s="0" t="s">
        <v>471</v>
      </c>
      <c r="AM47" s="0" t="s">
        <v>94</v>
      </c>
      <c r="AN47" s="26" t="n">
        <f aca="false">IFERROR(E47*(1+IF(AM47="Apartment",Data_Summary!$C$3,0)),"")</f>
        <v>3.60576923076923</v>
      </c>
      <c r="AO47" s="4" t="n">
        <v>46195</v>
      </c>
    </row>
    <row r="48" customFormat="false" ht="15" hidden="false" customHeight="false" outlineLevel="0" collapsed="false">
      <c r="A48" s="0" t="n">
        <f aca="false">IF(AND(ISNUMBER(B48),B48&gt;0,ISNUMBER(AB48),AB48&gt;0,J48&gt;=Data_Summary!$C$1),1,0)</f>
        <v>1</v>
      </c>
      <c r="B48" s="30" t="n">
        <v>492</v>
      </c>
      <c r="C48" s="5" t="n">
        <f aca="false">IF(ISNUMBER(AB48),AB48,"")</f>
        <v>2200</v>
      </c>
      <c r="D48" s="0" t="n">
        <f aca="false">IF(ISNUMBER(C48),C48-U48*Data_Summary!$C$2,"")</f>
        <v>2200</v>
      </c>
      <c r="E48" s="31" t="n">
        <f aca="false">IFERROR(C48/B48,"")</f>
        <v>4.47154471544716</v>
      </c>
      <c r="F48" s="26" t="n">
        <f aca="false">IFERROR(D48/B48,"")</f>
        <v>4.47154471544716</v>
      </c>
      <c r="G48" s="0" t="str">
        <f aca="false">Q48</f>
        <v>1</v>
      </c>
      <c r="H48" s="0" t="str">
        <f aca="false">IFERROR(LEFT(G48,1),"")</f>
        <v>1</v>
      </c>
      <c r="I48" s="0" t="n">
        <f aca="false">IF(LEN(G48)&gt;1,1,0)</f>
        <v>0</v>
      </c>
      <c r="J48" s="4" t="n">
        <v>46112</v>
      </c>
      <c r="K48" s="0" t="s">
        <v>10</v>
      </c>
      <c r="L48" s="0" t="s">
        <v>91</v>
      </c>
      <c r="M48" s="0" t="s">
        <v>226</v>
      </c>
      <c r="N48" s="0" t="s">
        <v>93</v>
      </c>
      <c r="O48" s="0" t="s">
        <v>472</v>
      </c>
      <c r="Q48" s="0" t="s">
        <v>242</v>
      </c>
      <c r="R48" s="0" t="n">
        <v>1</v>
      </c>
      <c r="S48" s="5" t="n">
        <v>492</v>
      </c>
      <c r="T48" s="0" t="s">
        <v>303</v>
      </c>
      <c r="U48" s="0" t="n">
        <v>0</v>
      </c>
      <c r="V48" s="0" t="s">
        <v>230</v>
      </c>
      <c r="W48" s="0" t="s">
        <v>244</v>
      </c>
      <c r="X48" s="0" t="s">
        <v>232</v>
      </c>
      <c r="Y48" s="0" t="s">
        <v>253</v>
      </c>
      <c r="Z48" s="0" t="s">
        <v>234</v>
      </c>
      <c r="AA48" s="0" t="s">
        <v>235</v>
      </c>
      <c r="AB48" s="32" t="n">
        <v>2200</v>
      </c>
      <c r="AC48" s="32" t="n">
        <v>2200</v>
      </c>
      <c r="AD48" s="26" t="n">
        <f aca="false">IFERROR(AB48/B48,"")</f>
        <v>4.47154471544716</v>
      </c>
      <c r="AE48" s="26" t="n">
        <f aca="false">IFERROR(AC48/B48,"")</f>
        <v>4.47154471544716</v>
      </c>
      <c r="AF48" s="0" t="s">
        <v>236</v>
      </c>
      <c r="AG48" s="0" t="s">
        <v>236</v>
      </c>
      <c r="AH48" s="0" t="s">
        <v>230</v>
      </c>
      <c r="AI48" s="0" t="s">
        <v>473</v>
      </c>
      <c r="AJ48" s="0" t="s">
        <v>474</v>
      </c>
      <c r="AK48" s="0" t="s">
        <v>475</v>
      </c>
      <c r="AL48" s="0" t="s">
        <v>476</v>
      </c>
      <c r="AM48" s="0" t="s">
        <v>94</v>
      </c>
      <c r="AN48" s="26" t="n">
        <f aca="false">IFERROR(E48*(1+IF(AM48="Apartment",Data_Summary!$C$3,0)),"")</f>
        <v>4.47154471544716</v>
      </c>
      <c r="AO48" s="4" t="n">
        <v>46195</v>
      </c>
    </row>
    <row r="49" customFormat="false" ht="15" hidden="false" customHeight="false" outlineLevel="0" collapsed="false">
      <c r="A49" s="0" t="n">
        <f aca="false">IF(AND(ISNUMBER(B49),B49&gt;0,ISNUMBER(AB49),AB49&gt;0,J49&gt;=Data_Summary!$C$1),1,0)</f>
        <v>1</v>
      </c>
      <c r="B49" s="30" t="n">
        <v>505</v>
      </c>
      <c r="C49" s="5" t="n">
        <f aca="false">IF(ISNUMBER(AB49),AB49,"")</f>
        <v>2200</v>
      </c>
      <c r="D49" s="0" t="n">
        <f aca="false">IF(ISNUMBER(C49),C49-U49*Data_Summary!$C$2,"")</f>
        <v>2200</v>
      </c>
      <c r="E49" s="31" t="n">
        <f aca="false">IFERROR(C49/B49,"")</f>
        <v>4.35643564356436</v>
      </c>
      <c r="F49" s="26" t="n">
        <f aca="false">IFERROR(D49/B49,"")</f>
        <v>4.35643564356436</v>
      </c>
      <c r="G49" s="0" t="str">
        <f aca="false">Q49</f>
        <v>1</v>
      </c>
      <c r="H49" s="0" t="str">
        <f aca="false">IFERROR(LEFT(G49,1),"")</f>
        <v>1</v>
      </c>
      <c r="I49" s="0" t="n">
        <f aca="false">IF(LEN(G49)&gt;1,1,0)</f>
        <v>0</v>
      </c>
      <c r="J49" s="4" t="n">
        <v>46111</v>
      </c>
      <c r="K49" s="0" t="s">
        <v>10</v>
      </c>
      <c r="L49" s="0" t="s">
        <v>91</v>
      </c>
      <c r="M49" s="0" t="s">
        <v>226</v>
      </c>
      <c r="N49" s="0" t="s">
        <v>93</v>
      </c>
      <c r="O49" s="0" t="s">
        <v>477</v>
      </c>
      <c r="Q49" s="0" t="s">
        <v>242</v>
      </c>
      <c r="R49" s="0" t="n">
        <v>1</v>
      </c>
      <c r="S49" s="5" t="n">
        <v>505</v>
      </c>
      <c r="T49" s="0" t="s">
        <v>243</v>
      </c>
      <c r="U49" s="0" t="n">
        <v>0</v>
      </c>
      <c r="V49" s="0" t="s">
        <v>230</v>
      </c>
      <c r="W49" s="0" t="s">
        <v>244</v>
      </c>
      <c r="X49" s="0" t="s">
        <v>232</v>
      </c>
      <c r="Y49" s="0" t="s">
        <v>253</v>
      </c>
      <c r="Z49" s="0" t="s">
        <v>234</v>
      </c>
      <c r="AA49" s="0" t="s">
        <v>235</v>
      </c>
      <c r="AB49" s="32" t="n">
        <v>2200</v>
      </c>
      <c r="AC49" s="32" t="n">
        <v>2300</v>
      </c>
      <c r="AD49" s="26" t="n">
        <f aca="false">IFERROR(AB49/B49,"")</f>
        <v>4.35643564356436</v>
      </c>
      <c r="AE49" s="26" t="n">
        <f aca="false">IFERROR(AC49/B49,"")</f>
        <v>4.55445544554455</v>
      </c>
      <c r="AF49" s="0" t="s">
        <v>236</v>
      </c>
      <c r="AG49" s="0" t="s">
        <v>236</v>
      </c>
      <c r="AH49" s="0" t="s">
        <v>230</v>
      </c>
      <c r="AI49" s="0" t="s">
        <v>478</v>
      </c>
      <c r="AJ49" s="0" t="s">
        <v>479</v>
      </c>
      <c r="AK49" s="0" t="s">
        <v>480</v>
      </c>
      <c r="AL49" s="0" t="s">
        <v>481</v>
      </c>
      <c r="AM49" s="0" t="s">
        <v>94</v>
      </c>
      <c r="AN49" s="26" t="n">
        <f aca="false">IFERROR(E49*(1+IF(AM49="Apartment",Data_Summary!$C$3,0)),"")</f>
        <v>4.35643564356436</v>
      </c>
      <c r="AO49" s="4" t="n">
        <v>46195</v>
      </c>
    </row>
    <row r="50" customFormat="false" ht="15" hidden="false" customHeight="false" outlineLevel="0" collapsed="false">
      <c r="A50" s="0" t="n">
        <f aca="false">IF(AND(ISNUMBER(B50),B50&gt;0,ISNUMBER(AB50),AB50&gt;0,J50&gt;=Data_Summary!$C$1),1,0)</f>
        <v>1</v>
      </c>
      <c r="B50" s="33" t="n">
        <v>1436</v>
      </c>
      <c r="C50" s="5" t="n">
        <f aca="false">IF(ISNUMBER(AB50),AB50,"")</f>
        <v>4500</v>
      </c>
      <c r="D50" s="0" t="n">
        <f aca="false">IF(ISNUMBER(C50),C50-U50*Data_Summary!$C$2,"")</f>
        <v>4200</v>
      </c>
      <c r="E50" s="34" t="n">
        <f aca="false">IFERROR(C50/B50,"")</f>
        <v>3.13370473537604</v>
      </c>
      <c r="F50" s="26" t="n">
        <f aca="false">IFERROR(D50/B50,"")</f>
        <v>2.92479108635097</v>
      </c>
      <c r="G50" s="0" t="str">
        <f aca="false">Q50</f>
        <v>3</v>
      </c>
      <c r="H50" s="0" t="str">
        <f aca="false">IFERROR(LEFT(G50,1),"")</f>
        <v>3</v>
      </c>
      <c r="I50" s="0" t="n">
        <f aca="false">IF(LEN(G50)&gt;1,1,0)</f>
        <v>0</v>
      </c>
      <c r="J50" s="4" t="n">
        <v>46110</v>
      </c>
      <c r="K50" s="0" t="s">
        <v>10</v>
      </c>
      <c r="L50" s="0" t="s">
        <v>91</v>
      </c>
      <c r="M50" s="0" t="s">
        <v>226</v>
      </c>
      <c r="N50" s="0" t="s">
        <v>93</v>
      </c>
      <c r="O50" s="0" t="s">
        <v>482</v>
      </c>
      <c r="Q50" s="0" t="s">
        <v>228</v>
      </c>
      <c r="R50" s="0" t="n">
        <v>2</v>
      </c>
      <c r="S50" s="5" t="n">
        <v>1436</v>
      </c>
      <c r="T50" s="0" t="s">
        <v>265</v>
      </c>
      <c r="U50" s="0" t="n">
        <v>2</v>
      </c>
      <c r="V50" s="0" t="s">
        <v>230</v>
      </c>
      <c r="W50" s="0" t="s">
        <v>244</v>
      </c>
      <c r="X50" s="0" t="s">
        <v>232</v>
      </c>
      <c r="Y50" s="0" t="s">
        <v>260</v>
      </c>
      <c r="Z50" s="0" t="s">
        <v>234</v>
      </c>
      <c r="AA50" s="0" t="s">
        <v>235</v>
      </c>
      <c r="AB50" s="32" t="n">
        <v>4500</v>
      </c>
      <c r="AC50" s="32" t="n">
        <v>4500</v>
      </c>
      <c r="AD50" s="26" t="n">
        <f aca="false">IFERROR(AB50/B50,"")</f>
        <v>3.13370473537604</v>
      </c>
      <c r="AE50" s="26" t="n">
        <f aca="false">IFERROR(AC50/B50,"")</f>
        <v>3.13370473537604</v>
      </c>
      <c r="AF50" s="0" t="s">
        <v>236</v>
      </c>
      <c r="AG50" s="0" t="s">
        <v>236</v>
      </c>
      <c r="AH50" s="0" t="s">
        <v>230</v>
      </c>
      <c r="AI50" s="0" t="s">
        <v>483</v>
      </c>
      <c r="AJ50" s="0" t="s">
        <v>484</v>
      </c>
      <c r="AK50" s="0" t="s">
        <v>485</v>
      </c>
      <c r="AL50" s="0" t="s">
        <v>486</v>
      </c>
      <c r="AM50" s="0" t="s">
        <v>94</v>
      </c>
      <c r="AN50" s="26" t="n">
        <f aca="false">IFERROR(E50*(1+IF(AM50="Apartment",Data_Summary!$C$3,0)),"")</f>
        <v>3.13370473537604</v>
      </c>
      <c r="AO50" s="4" t="n">
        <v>46195</v>
      </c>
    </row>
    <row r="51" customFormat="false" ht="15" hidden="false" customHeight="false" outlineLevel="0" collapsed="false">
      <c r="A51" s="0" t="n">
        <f aca="false">IF(AND(ISNUMBER(B51),B51&gt;0,ISNUMBER(AB51),AB51&gt;0,J51&gt;=Data_Summary!$C$1),1,0)</f>
        <v>1</v>
      </c>
      <c r="B51" s="33" t="n">
        <v>1283</v>
      </c>
      <c r="C51" s="5" t="n">
        <f aca="false">IF(ISNUMBER(AB51),AB51,"")</f>
        <v>3300</v>
      </c>
      <c r="D51" s="0" t="n">
        <f aca="false">IF(ISNUMBER(C51),C51-U51*Data_Summary!$C$2,"")</f>
        <v>3300</v>
      </c>
      <c r="E51" s="34" t="n">
        <f aca="false">IFERROR(C51/B51,"")</f>
        <v>2.57209664848013</v>
      </c>
      <c r="F51" s="26" t="n">
        <f aca="false">IFERROR(D51/B51,"")</f>
        <v>2.57209664848013</v>
      </c>
      <c r="G51" s="0" t="str">
        <f aca="false">Q51</f>
        <v>2</v>
      </c>
      <c r="H51" s="0" t="str">
        <f aca="false">IFERROR(LEFT(G51,1),"")</f>
        <v>2</v>
      </c>
      <c r="I51" s="0" t="n">
        <f aca="false">IF(LEN(G51)&gt;1,1,0)</f>
        <v>0</v>
      </c>
      <c r="J51" s="4" t="n">
        <v>46109</v>
      </c>
      <c r="K51" s="0" t="s">
        <v>10</v>
      </c>
      <c r="L51" s="0" t="s">
        <v>91</v>
      </c>
      <c r="M51" s="0" t="s">
        <v>226</v>
      </c>
      <c r="N51" s="0" t="s">
        <v>93</v>
      </c>
      <c r="O51" s="0" t="s">
        <v>487</v>
      </c>
      <c r="Q51" s="0" t="s">
        <v>251</v>
      </c>
      <c r="R51" s="0" t="n">
        <v>2</v>
      </c>
      <c r="S51" s="5" t="n">
        <v>1283</v>
      </c>
      <c r="T51" s="0" t="s">
        <v>252</v>
      </c>
      <c r="U51" s="0" t="n">
        <v>0</v>
      </c>
      <c r="V51" s="0" t="s">
        <v>230</v>
      </c>
      <c r="W51" s="0" t="s">
        <v>231</v>
      </c>
      <c r="X51" s="0" t="s">
        <v>232</v>
      </c>
      <c r="Y51" s="0" t="s">
        <v>297</v>
      </c>
      <c r="Z51" s="0" t="s">
        <v>234</v>
      </c>
      <c r="AA51" s="0" t="s">
        <v>235</v>
      </c>
      <c r="AB51" s="32" t="n">
        <v>3300</v>
      </c>
      <c r="AC51" s="32" t="n">
        <v>3400</v>
      </c>
      <c r="AD51" s="26" t="n">
        <f aca="false">IFERROR(AB51/B51,"")</f>
        <v>2.57209664848013</v>
      </c>
      <c r="AE51" s="26" t="n">
        <f aca="false">IFERROR(AC51/B51,"")</f>
        <v>2.65003897116134</v>
      </c>
      <c r="AF51" s="0" t="s">
        <v>236</v>
      </c>
      <c r="AG51" s="0" t="s">
        <v>236</v>
      </c>
      <c r="AH51" s="0" t="s">
        <v>236</v>
      </c>
      <c r="AI51" s="0" t="s">
        <v>488</v>
      </c>
      <c r="AJ51" s="0" t="s">
        <v>489</v>
      </c>
      <c r="AK51" s="0" t="s">
        <v>490</v>
      </c>
      <c r="AL51" s="0" t="s">
        <v>491</v>
      </c>
      <c r="AM51" s="0" t="s">
        <v>94</v>
      </c>
      <c r="AN51" s="26" t="n">
        <f aca="false">IFERROR(E51*(1+IF(AM51="Apartment",Data_Summary!$C$3,0)),"")</f>
        <v>2.57209664848013</v>
      </c>
      <c r="AO51" s="4" t="n">
        <v>46195</v>
      </c>
    </row>
    <row r="52" customFormat="false" ht="15" hidden="false" customHeight="false" outlineLevel="0" collapsed="false">
      <c r="A52" s="0" t="n">
        <f aca="false">IF(AND(ISNUMBER(B52),B52&gt;0,ISNUMBER(AB52),AB52&gt;0,J52&gt;=Data_Summary!$C$1),1,0)</f>
        <v>1</v>
      </c>
      <c r="B52" s="33" t="n">
        <v>535</v>
      </c>
      <c r="C52" s="5" t="n">
        <f aca="false">IF(ISNUMBER(AB52),AB52,"")</f>
        <v>2600</v>
      </c>
      <c r="D52" s="0" t="n">
        <f aca="false">IF(ISNUMBER(C52),C52-U52*Data_Summary!$C$2,"")</f>
        <v>2600</v>
      </c>
      <c r="E52" s="34" t="n">
        <f aca="false">IFERROR(C52/B52,"")</f>
        <v>4.85981308411215</v>
      </c>
      <c r="F52" s="26" t="n">
        <f aca="false">IFERROR(D52/B52,"")</f>
        <v>4.85981308411215</v>
      </c>
      <c r="G52" s="0" t="str">
        <f aca="false">Q52</f>
        <v>1+1</v>
      </c>
      <c r="H52" s="0" t="str">
        <f aca="false">IFERROR(LEFT(G52,1),"")</f>
        <v>1</v>
      </c>
      <c r="I52" s="0" t="n">
        <f aca="false">IF(LEN(G52)&gt;1,1,0)</f>
        <v>1</v>
      </c>
      <c r="J52" s="4" t="n">
        <v>46108</v>
      </c>
      <c r="K52" s="0" t="s">
        <v>10</v>
      </c>
      <c r="L52" s="0" t="s">
        <v>91</v>
      </c>
      <c r="M52" s="0" t="s">
        <v>226</v>
      </c>
      <c r="N52" s="0" t="s">
        <v>93</v>
      </c>
      <c r="O52" s="0" t="s">
        <v>492</v>
      </c>
      <c r="Q52" s="0" t="s">
        <v>270</v>
      </c>
      <c r="R52" s="0" t="n">
        <v>2</v>
      </c>
      <c r="S52" s="5" t="n">
        <v>535</v>
      </c>
      <c r="T52" s="0" t="s">
        <v>271</v>
      </c>
      <c r="U52" s="0" t="n">
        <v>0</v>
      </c>
      <c r="V52" s="0" t="s">
        <v>230</v>
      </c>
      <c r="W52" s="0" t="s">
        <v>244</v>
      </c>
      <c r="X52" s="0" t="s">
        <v>232</v>
      </c>
      <c r="Y52" s="0" t="s">
        <v>278</v>
      </c>
      <c r="Z52" s="0" t="s">
        <v>234</v>
      </c>
      <c r="AA52" s="0" t="s">
        <v>235</v>
      </c>
      <c r="AB52" s="32" t="n">
        <v>2600</v>
      </c>
      <c r="AC52" s="32" t="n">
        <v>2700</v>
      </c>
      <c r="AD52" s="26" t="n">
        <f aca="false">IFERROR(AB52/B52,"")</f>
        <v>4.85981308411215</v>
      </c>
      <c r="AE52" s="26" t="n">
        <f aca="false">IFERROR(AC52/B52,"")</f>
        <v>5.04672897196262</v>
      </c>
      <c r="AF52" s="0" t="s">
        <v>236</v>
      </c>
      <c r="AG52" s="0" t="s">
        <v>236</v>
      </c>
      <c r="AH52" s="0" t="s">
        <v>230</v>
      </c>
      <c r="AI52" s="0" t="s">
        <v>493</v>
      </c>
      <c r="AJ52" s="0" t="s">
        <v>494</v>
      </c>
      <c r="AK52" s="0" t="s">
        <v>495</v>
      </c>
      <c r="AL52" s="0" t="s">
        <v>496</v>
      </c>
      <c r="AM52" s="0" t="s">
        <v>94</v>
      </c>
      <c r="AN52" s="26" t="n">
        <f aca="false">IFERROR(E52*(1+IF(AM52="Apartment",Data_Summary!$C$3,0)),"")</f>
        <v>4.85981308411215</v>
      </c>
      <c r="AO52" s="4" t="n">
        <v>46195</v>
      </c>
    </row>
    <row r="53" customFormat="false" ht="15" hidden="false" customHeight="false" outlineLevel="0" collapsed="false">
      <c r="A53" s="0" t="n">
        <f aca="false">IF(AND(ISNUMBER(B53),B53&gt;0,ISNUMBER(AB53),AB53&gt;0,J53&gt;=Data_Summary!$C$1),1,0)</f>
        <v>1</v>
      </c>
      <c r="B53" s="30" t="n">
        <v>505</v>
      </c>
      <c r="C53" s="5" t="n">
        <f aca="false">IF(ISNUMBER(AB53),AB53,"")</f>
        <v>2200</v>
      </c>
      <c r="D53" s="0" t="n">
        <f aca="false">IF(ISNUMBER(C53),C53-U53*Data_Summary!$C$2,"")</f>
        <v>2200</v>
      </c>
      <c r="E53" s="31" t="n">
        <f aca="false">IFERROR(C53/B53,"")</f>
        <v>4.35643564356436</v>
      </c>
      <c r="F53" s="26" t="n">
        <f aca="false">IFERROR(D53/B53,"")</f>
        <v>4.35643564356436</v>
      </c>
      <c r="G53" s="0" t="str">
        <f aca="false">Q53</f>
        <v>1</v>
      </c>
      <c r="H53" s="0" t="str">
        <f aca="false">IFERROR(LEFT(G53,1),"")</f>
        <v>1</v>
      </c>
      <c r="I53" s="0" t="n">
        <f aca="false">IF(LEN(G53)&gt;1,1,0)</f>
        <v>0</v>
      </c>
      <c r="J53" s="4" t="n">
        <v>46106</v>
      </c>
      <c r="K53" s="0" t="s">
        <v>10</v>
      </c>
      <c r="L53" s="0" t="s">
        <v>91</v>
      </c>
      <c r="M53" s="0" t="s">
        <v>226</v>
      </c>
      <c r="N53" s="0" t="s">
        <v>93</v>
      </c>
      <c r="O53" s="0" t="s">
        <v>497</v>
      </c>
      <c r="Q53" s="0" t="s">
        <v>242</v>
      </c>
      <c r="R53" s="0" t="n">
        <v>1</v>
      </c>
      <c r="S53" s="5" t="n">
        <v>505</v>
      </c>
      <c r="T53" s="0" t="s">
        <v>243</v>
      </c>
      <c r="U53" s="0" t="n">
        <v>0</v>
      </c>
      <c r="V53" s="0" t="s">
        <v>230</v>
      </c>
      <c r="W53" s="0" t="s">
        <v>244</v>
      </c>
      <c r="X53" s="0" t="s">
        <v>232</v>
      </c>
      <c r="Y53" s="0" t="s">
        <v>233</v>
      </c>
      <c r="Z53" s="0" t="s">
        <v>234</v>
      </c>
      <c r="AA53" s="0" t="s">
        <v>235</v>
      </c>
      <c r="AB53" s="32" t="n">
        <v>2200</v>
      </c>
      <c r="AC53" s="32" t="n">
        <v>2250</v>
      </c>
      <c r="AD53" s="26" t="n">
        <f aca="false">IFERROR(AB53/B53,"")</f>
        <v>4.35643564356436</v>
      </c>
      <c r="AE53" s="26" t="n">
        <f aca="false">IFERROR(AC53/B53,"")</f>
        <v>4.45544554455446</v>
      </c>
      <c r="AF53" s="0" t="s">
        <v>236</v>
      </c>
      <c r="AG53" s="0" t="s">
        <v>236</v>
      </c>
      <c r="AH53" s="0" t="s">
        <v>230</v>
      </c>
      <c r="AI53" s="0" t="s">
        <v>498</v>
      </c>
      <c r="AJ53" s="0" t="s">
        <v>499</v>
      </c>
      <c r="AK53" s="0" t="s">
        <v>500</v>
      </c>
      <c r="AL53" s="0" t="s">
        <v>501</v>
      </c>
      <c r="AM53" s="0" t="s">
        <v>94</v>
      </c>
      <c r="AN53" s="26" t="n">
        <f aca="false">IFERROR(E53*(1+IF(AM53="Apartment",Data_Summary!$C$3,0)),"")</f>
        <v>4.35643564356436</v>
      </c>
      <c r="AO53" s="4" t="n">
        <v>46195</v>
      </c>
    </row>
    <row r="54" customFormat="false" ht="15" hidden="false" customHeight="false" outlineLevel="0" collapsed="false">
      <c r="A54" s="0" t="n">
        <f aca="false">IF(AND(ISNUMBER(B54),B54&gt;0,ISNUMBER(AB54),AB54&gt;0,J54&gt;=Data_Summary!$C$1),1,0)</f>
        <v>1</v>
      </c>
      <c r="B54" s="30" t="n">
        <v>622</v>
      </c>
      <c r="C54" s="5" t="n">
        <f aca="false">IF(ISNUMBER(AB54),AB54,"")</f>
        <v>2750</v>
      </c>
      <c r="D54" s="0" t="n">
        <f aca="false">IF(ISNUMBER(C54),C54-U54*Data_Summary!$C$2,"")</f>
        <v>2750</v>
      </c>
      <c r="E54" s="31" t="n">
        <f aca="false">IFERROR(C54/B54,"")</f>
        <v>4.42122186495177</v>
      </c>
      <c r="F54" s="26" t="n">
        <f aca="false">IFERROR(D54/B54,"")</f>
        <v>4.42122186495177</v>
      </c>
      <c r="G54" s="0" t="str">
        <f aca="false">Q54</f>
        <v>2</v>
      </c>
      <c r="H54" s="0" t="str">
        <f aca="false">IFERROR(LEFT(G54,1),"")</f>
        <v>2</v>
      </c>
      <c r="I54" s="0" t="n">
        <f aca="false">IF(LEN(G54)&gt;1,1,0)</f>
        <v>0</v>
      </c>
      <c r="J54" s="4" t="n">
        <v>46106</v>
      </c>
      <c r="K54" s="0" t="s">
        <v>10</v>
      </c>
      <c r="L54" s="0" t="s">
        <v>91</v>
      </c>
      <c r="M54" s="0" t="s">
        <v>226</v>
      </c>
      <c r="N54" s="0" t="s">
        <v>93</v>
      </c>
      <c r="O54" s="0" t="s">
        <v>502</v>
      </c>
      <c r="Q54" s="0" t="s">
        <v>251</v>
      </c>
      <c r="R54" s="0" t="n">
        <v>2</v>
      </c>
      <c r="S54" s="5" t="n">
        <v>622</v>
      </c>
      <c r="T54" s="0" t="s">
        <v>271</v>
      </c>
      <c r="U54" s="0" t="n">
        <v>0</v>
      </c>
      <c r="V54" s="0" t="s">
        <v>230</v>
      </c>
      <c r="W54" s="0" t="s">
        <v>231</v>
      </c>
      <c r="X54" s="0" t="s">
        <v>232</v>
      </c>
      <c r="Y54" s="0" t="s">
        <v>278</v>
      </c>
      <c r="Z54" s="0" t="s">
        <v>234</v>
      </c>
      <c r="AA54" s="0" t="s">
        <v>235</v>
      </c>
      <c r="AB54" s="32" t="n">
        <v>2750</v>
      </c>
      <c r="AC54" s="32" t="n">
        <v>2780</v>
      </c>
      <c r="AD54" s="26" t="n">
        <f aca="false">IFERROR(AB54/B54,"")</f>
        <v>4.42122186495177</v>
      </c>
      <c r="AE54" s="26" t="n">
        <f aca="false">IFERROR(AC54/B54,"")</f>
        <v>4.46945337620579</v>
      </c>
      <c r="AF54" s="0" t="s">
        <v>236</v>
      </c>
      <c r="AG54" s="0" t="s">
        <v>236</v>
      </c>
      <c r="AH54" s="0" t="s">
        <v>230</v>
      </c>
      <c r="AI54" s="0" t="s">
        <v>498</v>
      </c>
      <c r="AJ54" s="0" t="s">
        <v>503</v>
      </c>
      <c r="AK54" s="0" t="s">
        <v>504</v>
      </c>
      <c r="AL54" s="0" t="s">
        <v>505</v>
      </c>
      <c r="AM54" s="0" t="s">
        <v>94</v>
      </c>
      <c r="AN54" s="26" t="n">
        <f aca="false">IFERROR(E54*(1+IF(AM54="Apartment",Data_Summary!$C$3,0)),"")</f>
        <v>4.42122186495177</v>
      </c>
      <c r="AO54" s="4" t="n">
        <v>46195</v>
      </c>
    </row>
    <row r="55" customFormat="false" ht="15" hidden="false" customHeight="false" outlineLevel="0" collapsed="false">
      <c r="A55" s="0" t="n">
        <f aca="false">IF(AND(ISNUMBER(B55),B55&gt;0,ISNUMBER(AB55),AB55&gt;0,J55&gt;=Data_Summary!$C$1),1,0)</f>
        <v>1</v>
      </c>
      <c r="B55" s="30" t="n">
        <v>830</v>
      </c>
      <c r="C55" s="5" t="n">
        <f aca="false">IF(ISNUMBER(AB55),AB55,"")</f>
        <v>3600</v>
      </c>
      <c r="D55" s="0" t="n">
        <f aca="false">IF(ISNUMBER(C55),C55-U55*Data_Summary!$C$2,"")</f>
        <v>3450</v>
      </c>
      <c r="E55" s="31" t="n">
        <f aca="false">IFERROR(C55/B55,"")</f>
        <v>4.33734939759036</v>
      </c>
      <c r="F55" s="26" t="n">
        <f aca="false">IFERROR(D55/B55,"")</f>
        <v>4.1566265060241</v>
      </c>
      <c r="G55" s="0" t="str">
        <f aca="false">Q55</f>
        <v>3</v>
      </c>
      <c r="H55" s="0" t="str">
        <f aca="false">IFERROR(LEFT(G55,1),"")</f>
        <v>3</v>
      </c>
      <c r="I55" s="0" t="n">
        <f aca="false">IF(LEN(G55)&gt;1,1,0)</f>
        <v>0</v>
      </c>
      <c r="J55" s="4" t="n">
        <v>46102</v>
      </c>
      <c r="K55" s="0" t="s">
        <v>10</v>
      </c>
      <c r="L55" s="0" t="s">
        <v>91</v>
      </c>
      <c r="M55" s="0" t="s">
        <v>226</v>
      </c>
      <c r="N55" s="0" t="s">
        <v>93</v>
      </c>
      <c r="O55" s="0" t="s">
        <v>506</v>
      </c>
      <c r="Q55" s="0" t="s">
        <v>228</v>
      </c>
      <c r="R55" s="0" t="n">
        <v>2</v>
      </c>
      <c r="S55" s="5" t="n">
        <v>830</v>
      </c>
      <c r="T55" s="0" t="s">
        <v>229</v>
      </c>
      <c r="U55" s="0" t="n">
        <v>1</v>
      </c>
      <c r="V55" s="0" t="s">
        <v>230</v>
      </c>
      <c r="W55" s="0" t="s">
        <v>231</v>
      </c>
      <c r="X55" s="0" t="s">
        <v>232</v>
      </c>
      <c r="Y55" s="0" t="s">
        <v>308</v>
      </c>
      <c r="Z55" s="0" t="s">
        <v>234</v>
      </c>
      <c r="AA55" s="0" t="s">
        <v>235</v>
      </c>
      <c r="AB55" s="32" t="n">
        <v>3600</v>
      </c>
      <c r="AC55" s="32" t="n">
        <v>3600</v>
      </c>
      <c r="AD55" s="26" t="n">
        <f aca="false">IFERROR(AB55/B55,"")</f>
        <v>4.33734939759036</v>
      </c>
      <c r="AE55" s="26" t="n">
        <f aca="false">IFERROR(AC55/B55,"")</f>
        <v>4.33734939759036</v>
      </c>
      <c r="AF55" s="0" t="s">
        <v>236</v>
      </c>
      <c r="AG55" s="0" t="s">
        <v>236</v>
      </c>
      <c r="AH55" s="0" t="s">
        <v>230</v>
      </c>
      <c r="AI55" s="0" t="s">
        <v>507</v>
      </c>
      <c r="AJ55" s="0" t="s">
        <v>508</v>
      </c>
      <c r="AK55" s="0" t="s">
        <v>509</v>
      </c>
      <c r="AL55" s="0" t="s">
        <v>510</v>
      </c>
      <c r="AM55" s="0" t="s">
        <v>94</v>
      </c>
      <c r="AN55" s="26" t="n">
        <f aca="false">IFERROR(E55*(1+IF(AM55="Apartment",Data_Summary!$C$3,0)),"")</f>
        <v>4.33734939759036</v>
      </c>
      <c r="AO55" s="4" t="n">
        <v>46195</v>
      </c>
    </row>
    <row r="56" customFormat="false" ht="15" hidden="false" customHeight="false" outlineLevel="0" collapsed="false">
      <c r="A56" s="0" t="n">
        <f aca="false">IF(AND(ISNUMBER(B56),B56&gt;0,ISNUMBER(AB56),AB56&gt;0,J56&gt;=Data_Summary!$C$1),1,0)</f>
        <v>1</v>
      </c>
      <c r="B56" s="33" t="n">
        <v>600</v>
      </c>
      <c r="C56" s="5" t="n">
        <f aca="false">IF(ISNUMBER(AB56),AB56,"")</f>
        <v>3800</v>
      </c>
      <c r="D56" s="0" t="n">
        <f aca="false">IF(ISNUMBER(C56),C56-U56*Data_Summary!$C$2,"")</f>
        <v>3800</v>
      </c>
      <c r="E56" s="34" t="n">
        <f aca="false">IFERROR(C56/B56,"")</f>
        <v>6.33333333333333</v>
      </c>
      <c r="F56" s="26" t="n">
        <f aca="false">IFERROR(D56/B56,"")</f>
        <v>6.33333333333333</v>
      </c>
      <c r="G56" s="0" t="str">
        <f aca="false">Q56</f>
        <v>3</v>
      </c>
      <c r="H56" s="0" t="str">
        <f aca="false">IFERROR(LEFT(G56,1),"")</f>
        <v>3</v>
      </c>
      <c r="I56" s="0" t="n">
        <f aca="false">IF(LEN(G56)&gt;1,1,0)</f>
        <v>0</v>
      </c>
      <c r="J56" s="4" t="n">
        <v>46102</v>
      </c>
      <c r="K56" s="0" t="s">
        <v>10</v>
      </c>
      <c r="L56" s="0" t="s">
        <v>91</v>
      </c>
      <c r="M56" s="0" t="s">
        <v>226</v>
      </c>
      <c r="N56" s="0" t="s">
        <v>93</v>
      </c>
      <c r="O56" s="0" t="s">
        <v>511</v>
      </c>
      <c r="Q56" s="0" t="s">
        <v>228</v>
      </c>
      <c r="R56" s="0" t="n">
        <v>2</v>
      </c>
      <c r="S56" s="5" t="n">
        <v>600</v>
      </c>
      <c r="T56" s="0" t="s">
        <v>259</v>
      </c>
      <c r="U56" s="0" t="n">
        <v>0</v>
      </c>
      <c r="V56" s="0" t="s">
        <v>230</v>
      </c>
      <c r="W56" s="0" t="s">
        <v>231</v>
      </c>
      <c r="X56" s="0" t="s">
        <v>232</v>
      </c>
      <c r="Y56" s="0" t="s">
        <v>233</v>
      </c>
      <c r="Z56" s="0" t="s">
        <v>234</v>
      </c>
      <c r="AA56" s="0" t="s">
        <v>235</v>
      </c>
      <c r="AB56" s="32" t="n">
        <v>3800</v>
      </c>
      <c r="AC56" s="32" t="n">
        <v>3800</v>
      </c>
      <c r="AD56" s="26" t="n">
        <f aca="false">IFERROR(AB56/B56,"")</f>
        <v>6.33333333333333</v>
      </c>
      <c r="AE56" s="26" t="n">
        <f aca="false">IFERROR(AC56/B56,"")</f>
        <v>6.33333333333333</v>
      </c>
      <c r="AF56" s="0" t="s">
        <v>236</v>
      </c>
      <c r="AG56" s="0" t="s">
        <v>236</v>
      </c>
      <c r="AH56" s="0" t="s">
        <v>230</v>
      </c>
      <c r="AI56" s="0" t="s">
        <v>507</v>
      </c>
      <c r="AJ56" s="0" t="s">
        <v>512</v>
      </c>
      <c r="AK56" s="0" t="s">
        <v>513</v>
      </c>
      <c r="AL56" s="0" t="s">
        <v>514</v>
      </c>
      <c r="AM56" s="0" t="s">
        <v>94</v>
      </c>
      <c r="AN56" s="26" t="n">
        <f aca="false">IFERROR(E56*(1+IF(AM56="Apartment",Data_Summary!$C$3,0)),"")</f>
        <v>6.33333333333333</v>
      </c>
      <c r="AO56" s="4" t="n">
        <v>46195</v>
      </c>
    </row>
    <row r="57" customFormat="false" ht="15" hidden="false" customHeight="false" outlineLevel="0" collapsed="false">
      <c r="A57" s="0" t="n">
        <f aca="false">IF(AND(ISNUMBER(B57),B57&gt;0,ISNUMBER(AB57),AB57&gt;0,J57&gt;=Data_Summary!$C$1),1,0)</f>
        <v>1</v>
      </c>
      <c r="B57" s="33" t="n">
        <v>535</v>
      </c>
      <c r="C57" s="5" t="n">
        <f aca="false">IF(ISNUMBER(AB57),AB57,"")</f>
        <v>2990</v>
      </c>
      <c r="D57" s="0" t="n">
        <f aca="false">IF(ISNUMBER(C57),C57-U57*Data_Summary!$C$2,"")</f>
        <v>2840</v>
      </c>
      <c r="E57" s="34" t="n">
        <f aca="false">IFERROR(C57/B57,"")</f>
        <v>5.58878504672897</v>
      </c>
      <c r="F57" s="26" t="n">
        <f aca="false">IFERROR(D57/B57,"")</f>
        <v>5.30841121495327</v>
      </c>
      <c r="G57" s="0" t="str">
        <f aca="false">Q57</f>
        <v>1+1</v>
      </c>
      <c r="H57" s="0" t="str">
        <f aca="false">IFERROR(LEFT(G57,1),"")</f>
        <v>1</v>
      </c>
      <c r="I57" s="0" t="n">
        <f aca="false">IF(LEN(G57)&gt;1,1,0)</f>
        <v>1</v>
      </c>
      <c r="J57" s="4" t="n">
        <v>46101</v>
      </c>
      <c r="K57" s="0" t="s">
        <v>10</v>
      </c>
      <c r="L57" s="0" t="s">
        <v>91</v>
      </c>
      <c r="M57" s="0" t="s">
        <v>226</v>
      </c>
      <c r="N57" s="0" t="s">
        <v>93</v>
      </c>
      <c r="O57" s="0" t="s">
        <v>515</v>
      </c>
      <c r="Q57" s="0" t="s">
        <v>270</v>
      </c>
      <c r="R57" s="0" t="n">
        <v>2</v>
      </c>
      <c r="S57" s="5" t="n">
        <v>535</v>
      </c>
      <c r="T57" s="0" t="s">
        <v>271</v>
      </c>
      <c r="U57" s="0" t="n">
        <v>1</v>
      </c>
      <c r="V57" s="0" t="s">
        <v>230</v>
      </c>
      <c r="W57" s="0" t="s">
        <v>231</v>
      </c>
      <c r="X57" s="0" t="s">
        <v>232</v>
      </c>
      <c r="Y57" s="0" t="s">
        <v>278</v>
      </c>
      <c r="Z57" s="0" t="s">
        <v>234</v>
      </c>
      <c r="AA57" s="0" t="s">
        <v>235</v>
      </c>
      <c r="AB57" s="32" t="n">
        <v>2990</v>
      </c>
      <c r="AC57" s="32" t="n">
        <v>2990</v>
      </c>
      <c r="AD57" s="26" t="n">
        <f aca="false">IFERROR(AB57/B57,"")</f>
        <v>5.58878504672897</v>
      </c>
      <c r="AE57" s="26" t="n">
        <f aca="false">IFERROR(AC57/B57,"")</f>
        <v>5.58878504672897</v>
      </c>
      <c r="AF57" s="0" t="s">
        <v>236</v>
      </c>
      <c r="AG57" s="0" t="s">
        <v>236</v>
      </c>
      <c r="AH57" s="0" t="s">
        <v>230</v>
      </c>
      <c r="AI57" s="0" t="s">
        <v>516</v>
      </c>
      <c r="AJ57" s="0" t="s">
        <v>517</v>
      </c>
      <c r="AK57" s="0" t="s">
        <v>518</v>
      </c>
      <c r="AL57" s="0" t="s">
        <v>519</v>
      </c>
      <c r="AM57" s="0" t="s">
        <v>94</v>
      </c>
      <c r="AN57" s="26" t="n">
        <f aca="false">IFERROR(E57*(1+IF(AM57="Apartment",Data_Summary!$C$3,0)),"")</f>
        <v>5.58878504672897</v>
      </c>
      <c r="AO57" s="4" t="n">
        <v>46195</v>
      </c>
    </row>
    <row r="58" customFormat="false" ht="15" hidden="false" customHeight="false" outlineLevel="0" collapsed="false">
      <c r="A58" s="0" t="n">
        <f aca="false">IF(AND(ISNUMBER(B58),B58&gt;0,ISNUMBER(AB58),AB58&gt;0,J58&gt;=Data_Summary!$C$1),1,0)</f>
        <v>1</v>
      </c>
      <c r="B58" s="30" t="n">
        <v>505</v>
      </c>
      <c r="C58" s="5" t="n">
        <f aca="false">IF(ISNUMBER(AB58),AB58,"")</f>
        <v>2300</v>
      </c>
      <c r="D58" s="0" t="n">
        <f aca="false">IF(ISNUMBER(C58),C58-U58*Data_Summary!$C$2,"")</f>
        <v>2300</v>
      </c>
      <c r="E58" s="31" t="n">
        <f aca="false">IFERROR(C58/B58,"")</f>
        <v>4.55445544554455</v>
      </c>
      <c r="F58" s="26" t="n">
        <f aca="false">IFERROR(D58/B58,"")</f>
        <v>4.55445544554455</v>
      </c>
      <c r="G58" s="0" t="str">
        <f aca="false">Q58</f>
        <v>1</v>
      </c>
      <c r="H58" s="0" t="str">
        <f aca="false">IFERROR(LEFT(G58,1),"")</f>
        <v>1</v>
      </c>
      <c r="I58" s="0" t="n">
        <f aca="false">IF(LEN(G58)&gt;1,1,0)</f>
        <v>0</v>
      </c>
      <c r="J58" s="4" t="n">
        <v>46099</v>
      </c>
      <c r="K58" s="0" t="s">
        <v>10</v>
      </c>
      <c r="L58" s="0" t="s">
        <v>91</v>
      </c>
      <c r="M58" s="0" t="s">
        <v>226</v>
      </c>
      <c r="N58" s="0" t="s">
        <v>93</v>
      </c>
      <c r="O58" s="0" t="s">
        <v>520</v>
      </c>
      <c r="Q58" s="0" t="s">
        <v>242</v>
      </c>
      <c r="R58" s="0" t="n">
        <v>1</v>
      </c>
      <c r="S58" s="5" t="n">
        <v>505</v>
      </c>
      <c r="T58" s="0" t="s">
        <v>243</v>
      </c>
      <c r="U58" s="0" t="n">
        <v>0</v>
      </c>
      <c r="V58" s="0" t="s">
        <v>230</v>
      </c>
      <c r="W58" s="0" t="s">
        <v>231</v>
      </c>
      <c r="X58" s="0" t="s">
        <v>232</v>
      </c>
      <c r="Y58" s="0" t="s">
        <v>233</v>
      </c>
      <c r="Z58" s="0" t="s">
        <v>234</v>
      </c>
      <c r="AA58" s="0" t="s">
        <v>235</v>
      </c>
      <c r="AB58" s="32" t="n">
        <v>2300</v>
      </c>
      <c r="AC58" s="32" t="n">
        <v>2300</v>
      </c>
      <c r="AD58" s="26" t="n">
        <f aca="false">IFERROR(AB58/B58,"")</f>
        <v>4.55445544554455</v>
      </c>
      <c r="AE58" s="26" t="n">
        <f aca="false">IFERROR(AC58/B58,"")</f>
        <v>4.55445544554455</v>
      </c>
      <c r="AF58" s="0" t="s">
        <v>236</v>
      </c>
      <c r="AG58" s="0" t="s">
        <v>236</v>
      </c>
      <c r="AH58" s="0" t="s">
        <v>230</v>
      </c>
      <c r="AI58" s="0" t="s">
        <v>521</v>
      </c>
      <c r="AJ58" s="0" t="s">
        <v>522</v>
      </c>
      <c r="AK58" s="0" t="s">
        <v>523</v>
      </c>
      <c r="AL58" s="0" t="s">
        <v>524</v>
      </c>
      <c r="AM58" s="0" t="s">
        <v>94</v>
      </c>
      <c r="AN58" s="26" t="n">
        <f aca="false">IFERROR(E58*(1+IF(AM58="Apartment",Data_Summary!$C$3,0)),"")</f>
        <v>4.55445544554455</v>
      </c>
      <c r="AO58" s="4" t="n">
        <v>46195</v>
      </c>
    </row>
    <row r="59" customFormat="false" ht="15" hidden="false" customHeight="false" outlineLevel="0" collapsed="false">
      <c r="A59" s="0" t="n">
        <f aca="false">IF(AND(ISNUMBER(B59),B59&gt;0,ISNUMBER(AB59),AB59&gt;0,J59&gt;=Data_Summary!$C$1),1,0)</f>
        <v>1</v>
      </c>
      <c r="B59" s="33" t="n">
        <v>535</v>
      </c>
      <c r="C59" s="5" t="n">
        <f aca="false">IF(ISNUMBER(AB59),AB59,"")</f>
        <v>2150</v>
      </c>
      <c r="D59" s="0" t="n">
        <f aca="false">IF(ISNUMBER(C59),C59-U59*Data_Summary!$C$2,"")</f>
        <v>2150</v>
      </c>
      <c r="E59" s="34" t="n">
        <f aca="false">IFERROR(C59/B59,"")</f>
        <v>4.01869158878505</v>
      </c>
      <c r="F59" s="26" t="n">
        <f aca="false">IFERROR(D59/B59,"")</f>
        <v>4.01869158878505</v>
      </c>
      <c r="G59" s="0" t="str">
        <f aca="false">Q59</f>
        <v>1</v>
      </c>
      <c r="H59" s="0" t="str">
        <f aca="false">IFERROR(LEFT(G59,1),"")</f>
        <v>1</v>
      </c>
      <c r="I59" s="0" t="n">
        <f aca="false">IF(LEN(G59)&gt;1,1,0)</f>
        <v>0</v>
      </c>
      <c r="J59" s="4" t="n">
        <v>46099</v>
      </c>
      <c r="K59" s="0" t="s">
        <v>10</v>
      </c>
      <c r="L59" s="0" t="s">
        <v>91</v>
      </c>
      <c r="M59" s="0" t="s">
        <v>226</v>
      </c>
      <c r="N59" s="0" t="s">
        <v>93</v>
      </c>
      <c r="O59" s="0" t="s">
        <v>525</v>
      </c>
      <c r="Q59" s="0" t="s">
        <v>242</v>
      </c>
      <c r="R59" s="0" t="n">
        <v>1</v>
      </c>
      <c r="S59" s="5" t="n">
        <v>535</v>
      </c>
      <c r="T59" s="0" t="s">
        <v>243</v>
      </c>
      <c r="U59" s="0" t="n">
        <v>0</v>
      </c>
      <c r="V59" s="0" t="s">
        <v>230</v>
      </c>
      <c r="W59" s="0" t="s">
        <v>244</v>
      </c>
      <c r="X59" s="0" t="s">
        <v>232</v>
      </c>
      <c r="Y59" s="0" t="s">
        <v>272</v>
      </c>
      <c r="Z59" s="0" t="s">
        <v>234</v>
      </c>
      <c r="AA59" s="0" t="s">
        <v>235</v>
      </c>
      <c r="AB59" s="32" t="n">
        <v>2150</v>
      </c>
      <c r="AC59" s="32" t="n">
        <v>2180</v>
      </c>
      <c r="AD59" s="26" t="n">
        <f aca="false">IFERROR(AB59/B59,"")</f>
        <v>4.01869158878505</v>
      </c>
      <c r="AE59" s="26" t="n">
        <f aca="false">IFERROR(AC59/B59,"")</f>
        <v>4.07476635514019</v>
      </c>
      <c r="AF59" s="0" t="s">
        <v>236</v>
      </c>
      <c r="AG59" s="0" t="s">
        <v>236</v>
      </c>
      <c r="AH59" s="0" t="s">
        <v>230</v>
      </c>
      <c r="AI59" s="0" t="s">
        <v>521</v>
      </c>
      <c r="AJ59" s="0" t="s">
        <v>526</v>
      </c>
      <c r="AK59" s="0" t="s">
        <v>527</v>
      </c>
      <c r="AL59" s="0" t="s">
        <v>528</v>
      </c>
      <c r="AM59" s="0" t="s">
        <v>94</v>
      </c>
      <c r="AN59" s="26" t="n">
        <f aca="false">IFERROR(E59*(1+IF(AM59="Apartment",Data_Summary!$C$3,0)),"")</f>
        <v>4.01869158878505</v>
      </c>
      <c r="AO59" s="4" t="n">
        <v>46195</v>
      </c>
    </row>
    <row r="60" customFormat="false" ht="15" hidden="false" customHeight="false" outlineLevel="0" collapsed="false">
      <c r="A60" s="0" t="n">
        <f aca="false">IF(AND(ISNUMBER(B60),B60&gt;0,ISNUMBER(AB60),AB60&gt;0,J60&gt;=Data_Summary!$C$1),1,0)</f>
        <v>1</v>
      </c>
      <c r="B60" s="30" t="n">
        <v>505</v>
      </c>
      <c r="C60" s="5" t="n">
        <f aca="false">IF(ISNUMBER(AB60),AB60,"")</f>
        <v>2300</v>
      </c>
      <c r="D60" s="0" t="n">
        <f aca="false">IF(ISNUMBER(C60),C60-U60*Data_Summary!$C$2,"")</f>
        <v>2300</v>
      </c>
      <c r="E60" s="31" t="n">
        <f aca="false">IFERROR(C60/B60,"")</f>
        <v>4.55445544554455</v>
      </c>
      <c r="F60" s="26" t="n">
        <f aca="false">IFERROR(D60/B60,"")</f>
        <v>4.55445544554455</v>
      </c>
      <c r="G60" s="0" t="str">
        <f aca="false">Q60</f>
        <v>1</v>
      </c>
      <c r="H60" s="0" t="str">
        <f aca="false">IFERROR(LEFT(G60,1),"")</f>
        <v>1</v>
      </c>
      <c r="I60" s="0" t="n">
        <f aca="false">IF(LEN(G60)&gt;1,1,0)</f>
        <v>0</v>
      </c>
      <c r="J60" s="4" t="n">
        <v>46098</v>
      </c>
      <c r="K60" s="0" t="s">
        <v>10</v>
      </c>
      <c r="L60" s="0" t="s">
        <v>91</v>
      </c>
      <c r="M60" s="0" t="s">
        <v>226</v>
      </c>
      <c r="N60" s="0" t="s">
        <v>93</v>
      </c>
      <c r="O60" s="0" t="s">
        <v>529</v>
      </c>
      <c r="Q60" s="0" t="s">
        <v>242</v>
      </c>
      <c r="R60" s="0" t="n">
        <v>1</v>
      </c>
      <c r="S60" s="5" t="n">
        <v>505</v>
      </c>
      <c r="T60" s="0" t="s">
        <v>243</v>
      </c>
      <c r="U60" s="0" t="n">
        <v>0</v>
      </c>
      <c r="V60" s="0" t="s">
        <v>230</v>
      </c>
      <c r="W60" s="0" t="s">
        <v>244</v>
      </c>
      <c r="X60" s="0" t="s">
        <v>232</v>
      </c>
      <c r="Y60" s="0" t="s">
        <v>233</v>
      </c>
      <c r="Z60" s="0" t="s">
        <v>234</v>
      </c>
      <c r="AA60" s="0" t="s">
        <v>235</v>
      </c>
      <c r="AB60" s="32" t="n">
        <v>2300</v>
      </c>
      <c r="AC60" s="32" t="n">
        <v>2300</v>
      </c>
      <c r="AD60" s="26" t="n">
        <f aca="false">IFERROR(AB60/B60,"")</f>
        <v>4.55445544554455</v>
      </c>
      <c r="AE60" s="26" t="n">
        <f aca="false">IFERROR(AC60/B60,"")</f>
        <v>4.55445544554455</v>
      </c>
      <c r="AF60" s="0" t="s">
        <v>236</v>
      </c>
      <c r="AG60" s="0" t="s">
        <v>236</v>
      </c>
      <c r="AH60" s="0" t="s">
        <v>230</v>
      </c>
      <c r="AI60" s="0" t="s">
        <v>530</v>
      </c>
      <c r="AJ60" s="0" t="s">
        <v>531</v>
      </c>
      <c r="AK60" s="0" t="s">
        <v>532</v>
      </c>
      <c r="AL60" s="0" t="s">
        <v>533</v>
      </c>
      <c r="AM60" s="0" t="s">
        <v>94</v>
      </c>
      <c r="AN60" s="26" t="n">
        <f aca="false">IFERROR(E60*(1+IF(AM60="Apartment",Data_Summary!$C$3,0)),"")</f>
        <v>4.55445544554455</v>
      </c>
      <c r="AO60" s="4" t="n">
        <v>46195</v>
      </c>
    </row>
    <row r="61" customFormat="false" ht="15" hidden="false" customHeight="false" outlineLevel="0" collapsed="false">
      <c r="A61" s="0" t="n">
        <f aca="false">IF(AND(ISNUMBER(B61),B61&gt;0,ISNUMBER(AB61),AB61&gt;0,J61&gt;=Data_Summary!$C$1),1,0)</f>
        <v>1</v>
      </c>
      <c r="B61" s="33" t="n">
        <v>1198</v>
      </c>
      <c r="C61" s="5" t="n">
        <f aca="false">IF(ISNUMBER(AB61),AB61,"")</f>
        <v>3600</v>
      </c>
      <c r="D61" s="0" t="n">
        <f aca="false">IF(ISNUMBER(C61),C61-U61*Data_Summary!$C$2,"")</f>
        <v>3450</v>
      </c>
      <c r="E61" s="34" t="n">
        <f aca="false">IFERROR(C61/B61,"")</f>
        <v>3.00500834724541</v>
      </c>
      <c r="F61" s="26" t="n">
        <f aca="false">IFERROR(D61/B61,"")</f>
        <v>2.87979966611018</v>
      </c>
      <c r="G61" s="0" t="str">
        <f aca="false">Q61</f>
        <v>2</v>
      </c>
      <c r="H61" s="0" t="str">
        <f aca="false">IFERROR(LEFT(G61,1),"")</f>
        <v>2</v>
      </c>
      <c r="I61" s="0" t="n">
        <f aca="false">IF(LEN(G61)&gt;1,1,0)</f>
        <v>0</v>
      </c>
      <c r="J61" s="4" t="n">
        <v>46095</v>
      </c>
      <c r="K61" s="0" t="s">
        <v>10</v>
      </c>
      <c r="L61" s="0" t="s">
        <v>91</v>
      </c>
      <c r="M61" s="0" t="s">
        <v>226</v>
      </c>
      <c r="N61" s="0" t="s">
        <v>93</v>
      </c>
      <c r="O61" s="0" t="s">
        <v>534</v>
      </c>
      <c r="Q61" s="0" t="s">
        <v>251</v>
      </c>
      <c r="R61" s="0" t="n">
        <v>2</v>
      </c>
      <c r="S61" s="5" t="n">
        <v>1198</v>
      </c>
      <c r="T61" s="0" t="s">
        <v>252</v>
      </c>
      <c r="U61" s="0" t="n">
        <v>1</v>
      </c>
      <c r="V61" s="0" t="s">
        <v>230</v>
      </c>
      <c r="W61" s="0" t="s">
        <v>231</v>
      </c>
      <c r="X61" s="0" t="s">
        <v>232</v>
      </c>
      <c r="Y61" s="0" t="s">
        <v>308</v>
      </c>
      <c r="Z61" s="0" t="s">
        <v>234</v>
      </c>
      <c r="AA61" s="0" t="s">
        <v>235</v>
      </c>
      <c r="AB61" s="32" t="n">
        <v>3600</v>
      </c>
      <c r="AC61" s="32" t="n">
        <v>3700</v>
      </c>
      <c r="AD61" s="26" t="n">
        <f aca="false">IFERROR(AB61/B61,"")</f>
        <v>3.00500834724541</v>
      </c>
      <c r="AE61" s="26" t="n">
        <f aca="false">IFERROR(AC61/B61,"")</f>
        <v>3.08848080133556</v>
      </c>
      <c r="AF61" s="0" t="s">
        <v>236</v>
      </c>
      <c r="AG61" s="0" t="s">
        <v>236</v>
      </c>
      <c r="AH61" s="0" t="s">
        <v>230</v>
      </c>
      <c r="AI61" s="0" t="s">
        <v>535</v>
      </c>
      <c r="AJ61" s="0" t="s">
        <v>536</v>
      </c>
      <c r="AK61" s="0" t="s">
        <v>537</v>
      </c>
      <c r="AL61" s="0" t="s">
        <v>538</v>
      </c>
      <c r="AM61" s="0" t="s">
        <v>94</v>
      </c>
      <c r="AN61" s="26" t="n">
        <f aca="false">IFERROR(E61*(1+IF(AM61="Apartment",Data_Summary!$C$3,0)),"")</f>
        <v>3.00500834724541</v>
      </c>
      <c r="AO61" s="4" t="n">
        <v>46195</v>
      </c>
    </row>
    <row r="62" customFormat="false" ht="15" hidden="false" customHeight="false" outlineLevel="0" collapsed="false">
      <c r="A62" s="0" t="n">
        <f aca="false">IF(AND(ISNUMBER(B62),B62&gt;0,ISNUMBER(AB62),AB62&gt;0,J62&gt;=Data_Summary!$C$1),1,0)</f>
        <v>1</v>
      </c>
      <c r="B62" s="30" t="n">
        <v>535</v>
      </c>
      <c r="C62" s="5" t="n">
        <f aca="false">IF(ISNUMBER(AB62),AB62,"")</f>
        <v>2150</v>
      </c>
      <c r="D62" s="0" t="n">
        <f aca="false">IF(ISNUMBER(C62),C62-U62*Data_Summary!$C$2,"")</f>
        <v>2150</v>
      </c>
      <c r="E62" s="31" t="n">
        <f aca="false">IFERROR(C62/B62,"")</f>
        <v>4.01869158878505</v>
      </c>
      <c r="F62" s="26" t="n">
        <f aca="false">IFERROR(D62/B62,"")</f>
        <v>4.01869158878505</v>
      </c>
      <c r="G62" s="0" t="str">
        <f aca="false">Q62</f>
        <v>1</v>
      </c>
      <c r="H62" s="0" t="str">
        <f aca="false">IFERROR(LEFT(G62,1),"")</f>
        <v>1</v>
      </c>
      <c r="I62" s="0" t="n">
        <f aca="false">IF(LEN(G62)&gt;1,1,0)</f>
        <v>0</v>
      </c>
      <c r="J62" s="4" t="n">
        <v>46092</v>
      </c>
      <c r="K62" s="0" t="s">
        <v>10</v>
      </c>
      <c r="L62" s="0" t="s">
        <v>91</v>
      </c>
      <c r="M62" s="0" t="s">
        <v>226</v>
      </c>
      <c r="N62" s="0" t="s">
        <v>93</v>
      </c>
      <c r="O62" s="0" t="s">
        <v>539</v>
      </c>
      <c r="Q62" s="0" t="s">
        <v>242</v>
      </c>
      <c r="R62" s="0" t="n">
        <v>1</v>
      </c>
      <c r="S62" s="5" t="n">
        <v>535</v>
      </c>
      <c r="T62" s="0" t="s">
        <v>243</v>
      </c>
      <c r="U62" s="0" t="n">
        <v>0</v>
      </c>
      <c r="V62" s="0" t="s">
        <v>230</v>
      </c>
      <c r="W62" s="0" t="s">
        <v>244</v>
      </c>
      <c r="X62" s="0" t="s">
        <v>232</v>
      </c>
      <c r="Y62" s="0" t="s">
        <v>272</v>
      </c>
      <c r="Z62" s="0" t="s">
        <v>234</v>
      </c>
      <c r="AA62" s="0" t="s">
        <v>235</v>
      </c>
      <c r="AB62" s="32" t="n">
        <v>2150</v>
      </c>
      <c r="AC62" s="32" t="n">
        <v>2150</v>
      </c>
      <c r="AD62" s="26" t="n">
        <f aca="false">IFERROR(AB62/B62,"")</f>
        <v>4.01869158878505</v>
      </c>
      <c r="AE62" s="26" t="n">
        <f aca="false">IFERROR(AC62/B62,"")</f>
        <v>4.01869158878505</v>
      </c>
      <c r="AF62" s="0" t="s">
        <v>236</v>
      </c>
      <c r="AG62" s="0" t="s">
        <v>236</v>
      </c>
      <c r="AH62" s="0" t="s">
        <v>230</v>
      </c>
      <c r="AI62" s="0" t="s">
        <v>540</v>
      </c>
      <c r="AJ62" s="0" t="s">
        <v>541</v>
      </c>
      <c r="AK62" s="0" t="s">
        <v>542</v>
      </c>
      <c r="AL62" s="0" t="s">
        <v>543</v>
      </c>
      <c r="AM62" s="0" t="s">
        <v>94</v>
      </c>
      <c r="AN62" s="26" t="n">
        <f aca="false">IFERROR(E62*(1+IF(AM62="Apartment",Data_Summary!$C$3,0)),"")</f>
        <v>4.01869158878505</v>
      </c>
      <c r="AO62" s="4" t="n">
        <v>46195</v>
      </c>
    </row>
    <row r="63" customFormat="false" ht="15" hidden="false" customHeight="false" outlineLevel="0" collapsed="false">
      <c r="A63" s="0" t="n">
        <f aca="false">IF(AND(ISNUMBER(B63),B63&gt;0,ISNUMBER(AB63),AB63&gt;0,J63&gt;=Data_Summary!$C$1),1,0)</f>
        <v>1</v>
      </c>
      <c r="B63" s="30" t="n">
        <v>740</v>
      </c>
      <c r="C63" s="5" t="n">
        <f aca="false">IF(ISNUMBER(AB63),AB63,"")</f>
        <v>3640</v>
      </c>
      <c r="D63" s="0" t="n">
        <f aca="false">IF(ISNUMBER(C63),C63-U63*Data_Summary!$C$2,"")</f>
        <v>3490</v>
      </c>
      <c r="E63" s="31" t="n">
        <f aca="false">IFERROR(C63/B63,"")</f>
        <v>4.91891891891892</v>
      </c>
      <c r="F63" s="26" t="n">
        <f aca="false">IFERROR(D63/B63,"")</f>
        <v>4.71621621621622</v>
      </c>
      <c r="G63" s="0" t="str">
        <f aca="false">Q63</f>
        <v>2</v>
      </c>
      <c r="H63" s="0" t="str">
        <f aca="false">IFERROR(LEFT(G63,1),"")</f>
        <v>2</v>
      </c>
      <c r="I63" s="0" t="n">
        <f aca="false">IF(LEN(G63)&gt;1,1,0)</f>
        <v>0</v>
      </c>
      <c r="J63" s="4" t="n">
        <v>46091</v>
      </c>
      <c r="K63" s="0" t="s">
        <v>10</v>
      </c>
      <c r="L63" s="0" t="s">
        <v>91</v>
      </c>
      <c r="M63" s="0" t="s">
        <v>226</v>
      </c>
      <c r="N63" s="0" t="s">
        <v>93</v>
      </c>
      <c r="O63" s="0" t="s">
        <v>544</v>
      </c>
      <c r="Q63" s="0" t="s">
        <v>251</v>
      </c>
      <c r="R63" s="0" t="n">
        <v>2</v>
      </c>
      <c r="S63" s="5" t="n">
        <v>740</v>
      </c>
      <c r="T63" s="0" t="s">
        <v>252</v>
      </c>
      <c r="U63" s="0" t="n">
        <v>1</v>
      </c>
      <c r="V63" s="0" t="s">
        <v>230</v>
      </c>
      <c r="W63" s="0" t="s">
        <v>231</v>
      </c>
      <c r="X63" s="0" t="s">
        <v>232</v>
      </c>
      <c r="Y63" s="0" t="s">
        <v>308</v>
      </c>
      <c r="Z63" s="0" t="s">
        <v>234</v>
      </c>
      <c r="AA63" s="0" t="s">
        <v>235</v>
      </c>
      <c r="AB63" s="32" t="n">
        <v>3640</v>
      </c>
      <c r="AC63" s="32" t="n">
        <v>3700</v>
      </c>
      <c r="AD63" s="26" t="n">
        <f aca="false">IFERROR(AB63/B63,"")</f>
        <v>4.91891891891892</v>
      </c>
      <c r="AE63" s="26" t="n">
        <f aca="false">IFERROR(AC63/B63,"")</f>
        <v>5</v>
      </c>
      <c r="AF63" s="0" t="s">
        <v>236</v>
      </c>
      <c r="AG63" s="0" t="s">
        <v>236</v>
      </c>
      <c r="AH63" s="0" t="s">
        <v>230</v>
      </c>
      <c r="AI63" s="0" t="s">
        <v>545</v>
      </c>
      <c r="AJ63" s="0" t="s">
        <v>546</v>
      </c>
      <c r="AK63" s="0" t="s">
        <v>547</v>
      </c>
      <c r="AL63" s="0" t="s">
        <v>548</v>
      </c>
      <c r="AM63" s="0" t="s">
        <v>94</v>
      </c>
      <c r="AN63" s="26" t="n">
        <f aca="false">IFERROR(E63*(1+IF(AM63="Apartment",Data_Summary!$C$3,0)),"")</f>
        <v>4.91891891891892</v>
      </c>
      <c r="AO63" s="4" t="n">
        <v>46195</v>
      </c>
    </row>
    <row r="64" customFormat="false" ht="15" hidden="false" customHeight="false" outlineLevel="0" collapsed="false">
      <c r="A64" s="0" t="n">
        <f aca="false">IF(AND(ISNUMBER(B64),B64&gt;0,ISNUMBER(AB64),AB64&gt;0,J64&gt;=Data_Summary!$C$1),1,0)</f>
        <v>1</v>
      </c>
      <c r="B64" s="30" t="n">
        <v>505</v>
      </c>
      <c r="C64" s="5" t="n">
        <f aca="false">IF(ISNUMBER(AB64),AB64,"")</f>
        <v>2200</v>
      </c>
      <c r="D64" s="0" t="n">
        <f aca="false">IF(ISNUMBER(C64),C64-U64*Data_Summary!$C$2,"")</f>
        <v>2200</v>
      </c>
      <c r="E64" s="31" t="n">
        <f aca="false">IFERROR(C64/B64,"")</f>
        <v>4.35643564356436</v>
      </c>
      <c r="F64" s="26" t="n">
        <f aca="false">IFERROR(D64/B64,"")</f>
        <v>4.35643564356436</v>
      </c>
      <c r="G64" s="0" t="str">
        <f aca="false">Q64</f>
        <v>1</v>
      </c>
      <c r="H64" s="0" t="str">
        <f aca="false">IFERROR(LEFT(G64,1),"")</f>
        <v>1</v>
      </c>
      <c r="I64" s="0" t="n">
        <f aca="false">IF(LEN(G64)&gt;1,1,0)</f>
        <v>0</v>
      </c>
      <c r="J64" s="4" t="n">
        <v>46091</v>
      </c>
      <c r="K64" s="0" t="s">
        <v>10</v>
      </c>
      <c r="L64" s="0" t="s">
        <v>91</v>
      </c>
      <c r="M64" s="0" t="s">
        <v>226</v>
      </c>
      <c r="N64" s="0" t="s">
        <v>93</v>
      </c>
      <c r="O64" s="0" t="s">
        <v>549</v>
      </c>
      <c r="Q64" s="0" t="s">
        <v>242</v>
      </c>
      <c r="R64" s="0" t="n">
        <v>1</v>
      </c>
      <c r="S64" s="5" t="n">
        <v>505</v>
      </c>
      <c r="T64" s="0" t="s">
        <v>243</v>
      </c>
      <c r="U64" s="0" t="n">
        <v>0</v>
      </c>
      <c r="V64" s="0" t="s">
        <v>230</v>
      </c>
      <c r="W64" s="0" t="s">
        <v>231</v>
      </c>
      <c r="X64" s="0" t="s">
        <v>232</v>
      </c>
      <c r="Y64" s="0" t="s">
        <v>245</v>
      </c>
      <c r="Z64" s="0" t="s">
        <v>234</v>
      </c>
      <c r="AA64" s="0" t="s">
        <v>235</v>
      </c>
      <c r="AB64" s="32" t="n">
        <v>2200</v>
      </c>
      <c r="AC64" s="32" t="n">
        <v>2200</v>
      </c>
      <c r="AD64" s="26" t="n">
        <f aca="false">IFERROR(AB64/B64,"")</f>
        <v>4.35643564356436</v>
      </c>
      <c r="AE64" s="26" t="n">
        <f aca="false">IFERROR(AC64/B64,"")</f>
        <v>4.35643564356436</v>
      </c>
      <c r="AF64" s="0" t="s">
        <v>236</v>
      </c>
      <c r="AG64" s="0" t="s">
        <v>236</v>
      </c>
      <c r="AH64" s="0" t="s">
        <v>230</v>
      </c>
      <c r="AI64" s="0" t="s">
        <v>545</v>
      </c>
      <c r="AJ64" s="0" t="s">
        <v>550</v>
      </c>
      <c r="AK64" s="0" t="s">
        <v>551</v>
      </c>
      <c r="AL64" s="0" t="s">
        <v>552</v>
      </c>
      <c r="AM64" s="0" t="s">
        <v>94</v>
      </c>
      <c r="AN64" s="26" t="n">
        <f aca="false">IFERROR(E64*(1+IF(AM64="Apartment",Data_Summary!$C$3,0)),"")</f>
        <v>4.35643564356436</v>
      </c>
      <c r="AO64" s="4" t="n">
        <v>46195</v>
      </c>
    </row>
    <row r="65" customFormat="false" ht="15" hidden="false" customHeight="false" outlineLevel="0" collapsed="false">
      <c r="A65" s="0" t="n">
        <f aca="false">IF(AND(ISNUMBER(B65),B65&gt;0,ISNUMBER(AB65),AB65&gt;0,J65&gt;=Data_Summary!$C$1),1,0)</f>
        <v>1</v>
      </c>
      <c r="B65" s="33" t="n">
        <v>840</v>
      </c>
      <c r="C65" s="5" t="n">
        <f aca="false">IF(ISNUMBER(AB65),AB65,"")</f>
        <v>3395</v>
      </c>
      <c r="D65" s="0" t="n">
        <f aca="false">IF(ISNUMBER(C65),C65-U65*Data_Summary!$C$2,"")</f>
        <v>3245</v>
      </c>
      <c r="E65" s="34" t="n">
        <f aca="false">IFERROR(C65/B65,"")</f>
        <v>4.04166666666667</v>
      </c>
      <c r="F65" s="26" t="n">
        <f aca="false">IFERROR(D65/B65,"")</f>
        <v>3.86309523809524</v>
      </c>
      <c r="G65" s="0" t="str">
        <f aca="false">Q65</f>
        <v>2+1</v>
      </c>
      <c r="H65" s="0" t="str">
        <f aca="false">IFERROR(LEFT(G65,1),"")</f>
        <v>2</v>
      </c>
      <c r="I65" s="0" t="n">
        <f aca="false">IF(LEN(G65)&gt;1,1,0)</f>
        <v>1</v>
      </c>
      <c r="J65" s="4" t="n">
        <v>46090</v>
      </c>
      <c r="K65" s="0" t="s">
        <v>10</v>
      </c>
      <c r="L65" s="0" t="s">
        <v>91</v>
      </c>
      <c r="M65" s="0" t="s">
        <v>226</v>
      </c>
      <c r="N65" s="0" t="s">
        <v>93</v>
      </c>
      <c r="O65" s="0" t="s">
        <v>553</v>
      </c>
      <c r="Q65" s="0" t="s">
        <v>451</v>
      </c>
      <c r="R65" s="0" t="n">
        <v>2</v>
      </c>
      <c r="S65" s="5" t="n">
        <v>840</v>
      </c>
      <c r="T65" s="0" t="s">
        <v>259</v>
      </c>
      <c r="U65" s="0" t="n">
        <v>1</v>
      </c>
      <c r="V65" s="0" t="s">
        <v>230</v>
      </c>
      <c r="W65" s="0" t="s">
        <v>231</v>
      </c>
      <c r="X65" s="0" t="s">
        <v>232</v>
      </c>
      <c r="Y65" s="0" t="s">
        <v>260</v>
      </c>
      <c r="Z65" s="0" t="s">
        <v>234</v>
      </c>
      <c r="AA65" s="0" t="s">
        <v>235</v>
      </c>
      <c r="AB65" s="32" t="n">
        <v>3395</v>
      </c>
      <c r="AC65" s="32" t="n">
        <v>3395</v>
      </c>
      <c r="AD65" s="26" t="n">
        <f aca="false">IFERROR(AB65/B65,"")</f>
        <v>4.04166666666667</v>
      </c>
      <c r="AE65" s="26" t="n">
        <f aca="false">IFERROR(AC65/B65,"")</f>
        <v>4.04166666666667</v>
      </c>
      <c r="AF65" s="0" t="s">
        <v>236</v>
      </c>
      <c r="AG65" s="0" t="s">
        <v>236</v>
      </c>
      <c r="AH65" s="0" t="s">
        <v>230</v>
      </c>
      <c r="AI65" s="0" t="s">
        <v>554</v>
      </c>
      <c r="AJ65" s="0" t="s">
        <v>555</v>
      </c>
      <c r="AK65" s="0" t="s">
        <v>556</v>
      </c>
      <c r="AL65" s="0" t="s">
        <v>557</v>
      </c>
      <c r="AM65" s="0" t="s">
        <v>94</v>
      </c>
      <c r="AN65" s="26" t="n">
        <f aca="false">IFERROR(E65*(1+IF(AM65="Apartment",Data_Summary!$C$3,0)),"")</f>
        <v>4.04166666666667</v>
      </c>
      <c r="AO65" s="4" t="n">
        <v>46195</v>
      </c>
    </row>
    <row r="66" customFormat="false" ht="15" hidden="false" customHeight="false" outlineLevel="0" collapsed="false">
      <c r="A66" s="0" t="n">
        <f aca="false">IF(AND(ISNUMBER(B66),B66&gt;0,ISNUMBER(AB66),AB66&gt;0,J66&gt;=Data_Summary!$C$1),1,0)</f>
        <v>1</v>
      </c>
      <c r="B66" s="30" t="n">
        <v>1188</v>
      </c>
      <c r="C66" s="5" t="n">
        <f aca="false">IF(ISNUMBER(AB66),AB66,"")</f>
        <v>4000</v>
      </c>
      <c r="D66" s="0" t="n">
        <f aca="false">IF(ISNUMBER(C66),C66-U66*Data_Summary!$C$2,"")</f>
        <v>3850</v>
      </c>
      <c r="E66" s="31" t="n">
        <f aca="false">IFERROR(C66/B66,"")</f>
        <v>3.36700336700337</v>
      </c>
      <c r="F66" s="26" t="n">
        <f aca="false">IFERROR(D66/B66,"")</f>
        <v>3.24074074074074</v>
      </c>
      <c r="G66" s="0" t="str">
        <f aca="false">Q66</f>
        <v>3+1</v>
      </c>
      <c r="H66" s="0" t="str">
        <f aca="false">IFERROR(LEFT(G66,1),"")</f>
        <v>3</v>
      </c>
      <c r="I66" s="0" t="n">
        <f aca="false">IF(LEN(G66)&gt;1,1,0)</f>
        <v>1</v>
      </c>
      <c r="J66" s="4" t="n">
        <v>46089</v>
      </c>
      <c r="K66" s="0" t="s">
        <v>10</v>
      </c>
      <c r="L66" s="0" t="s">
        <v>91</v>
      </c>
      <c r="M66" s="0" t="s">
        <v>226</v>
      </c>
      <c r="N66" s="0" t="s">
        <v>93</v>
      </c>
      <c r="O66" s="0" t="s">
        <v>558</v>
      </c>
      <c r="Q66" s="0" t="s">
        <v>559</v>
      </c>
      <c r="R66" s="0" t="n">
        <v>2</v>
      </c>
      <c r="S66" s="5" t="n">
        <v>1188</v>
      </c>
      <c r="T66" s="0" t="s">
        <v>265</v>
      </c>
      <c r="U66" s="0" t="n">
        <v>1</v>
      </c>
      <c r="V66" s="0" t="s">
        <v>230</v>
      </c>
      <c r="W66" s="0" t="s">
        <v>244</v>
      </c>
      <c r="X66" s="0" t="s">
        <v>232</v>
      </c>
      <c r="Y66" s="0" t="s">
        <v>272</v>
      </c>
      <c r="Z66" s="0" t="s">
        <v>234</v>
      </c>
      <c r="AA66" s="0" t="s">
        <v>235</v>
      </c>
      <c r="AB66" s="32" t="n">
        <v>4000</v>
      </c>
      <c r="AC66" s="32" t="n">
        <v>4300</v>
      </c>
      <c r="AD66" s="26" t="n">
        <f aca="false">IFERROR(AB66/B66,"")</f>
        <v>3.36700336700337</v>
      </c>
      <c r="AE66" s="26" t="n">
        <f aca="false">IFERROR(AC66/B66,"")</f>
        <v>3.61952861952862</v>
      </c>
      <c r="AF66" s="0" t="s">
        <v>236</v>
      </c>
      <c r="AG66" s="0" t="s">
        <v>236</v>
      </c>
      <c r="AH66" s="0" t="s">
        <v>230</v>
      </c>
      <c r="AI66" s="0" t="s">
        <v>560</v>
      </c>
      <c r="AJ66" s="0" t="s">
        <v>561</v>
      </c>
      <c r="AK66" s="0" t="s">
        <v>562</v>
      </c>
      <c r="AL66" s="0" t="s">
        <v>563</v>
      </c>
      <c r="AM66" s="0" t="s">
        <v>94</v>
      </c>
      <c r="AN66" s="26" t="n">
        <f aca="false">IFERROR(E66*(1+IF(AM66="Apartment",Data_Summary!$C$3,0)),"")</f>
        <v>3.36700336700337</v>
      </c>
      <c r="AO66" s="4" t="n">
        <v>46195</v>
      </c>
    </row>
    <row r="67" customFormat="false" ht="15" hidden="false" customHeight="false" outlineLevel="0" collapsed="false">
      <c r="A67" s="0" t="n">
        <f aca="false">IF(AND(ISNUMBER(B67),B67&gt;0,ISNUMBER(AB67),AB67&gt;0,J67&gt;=Data_Summary!$C$1),1,0)</f>
        <v>1</v>
      </c>
      <c r="B67" s="33" t="n">
        <v>650</v>
      </c>
      <c r="C67" s="5" t="n">
        <f aca="false">IF(ISNUMBER(AB67),AB67,"")</f>
        <v>2600</v>
      </c>
      <c r="D67" s="0" t="n">
        <f aca="false">IF(ISNUMBER(C67),C67-U67*Data_Summary!$C$2,"")</f>
        <v>2600</v>
      </c>
      <c r="E67" s="34" t="n">
        <f aca="false">IFERROR(C67/B67,"")</f>
        <v>4</v>
      </c>
      <c r="F67" s="26" t="n">
        <f aca="false">IFERROR(D67/B67,"")</f>
        <v>4</v>
      </c>
      <c r="G67" s="0" t="str">
        <f aca="false">Q67</f>
        <v>1+1</v>
      </c>
      <c r="H67" s="0" t="str">
        <f aca="false">IFERROR(LEFT(G67,1),"")</f>
        <v>1</v>
      </c>
      <c r="I67" s="0" t="n">
        <f aca="false">IF(LEN(G67)&gt;1,1,0)</f>
        <v>1</v>
      </c>
      <c r="J67" s="4" t="n">
        <v>46088</v>
      </c>
      <c r="K67" s="0" t="s">
        <v>10</v>
      </c>
      <c r="L67" s="0" t="s">
        <v>91</v>
      </c>
      <c r="M67" s="0" t="s">
        <v>226</v>
      </c>
      <c r="N67" s="0" t="s">
        <v>93</v>
      </c>
      <c r="O67" s="0" t="s">
        <v>564</v>
      </c>
      <c r="Q67" s="0" t="s">
        <v>270</v>
      </c>
      <c r="R67" s="0" t="n">
        <v>1</v>
      </c>
      <c r="S67" s="5" t="n">
        <v>650</v>
      </c>
      <c r="T67" s="0" t="s">
        <v>243</v>
      </c>
      <c r="U67" s="0" t="n">
        <v>0</v>
      </c>
      <c r="V67" s="0" t="s">
        <v>230</v>
      </c>
      <c r="W67" s="0" t="s">
        <v>244</v>
      </c>
      <c r="X67" s="0" t="s">
        <v>232</v>
      </c>
      <c r="Y67" s="0" t="s">
        <v>278</v>
      </c>
      <c r="Z67" s="0" t="s">
        <v>234</v>
      </c>
      <c r="AA67" s="0" t="s">
        <v>235</v>
      </c>
      <c r="AB67" s="32" t="n">
        <v>2600</v>
      </c>
      <c r="AC67" s="32" t="n">
        <v>2600</v>
      </c>
      <c r="AD67" s="26" t="n">
        <f aca="false">IFERROR(AB67/B67,"")</f>
        <v>4</v>
      </c>
      <c r="AE67" s="26" t="n">
        <f aca="false">IFERROR(AC67/B67,"")</f>
        <v>4</v>
      </c>
      <c r="AF67" s="0" t="s">
        <v>230</v>
      </c>
      <c r="AG67" s="0" t="s">
        <v>236</v>
      </c>
      <c r="AH67" s="0" t="s">
        <v>230</v>
      </c>
      <c r="AI67" s="0" t="s">
        <v>565</v>
      </c>
      <c r="AJ67" s="0" t="s">
        <v>566</v>
      </c>
      <c r="AK67" s="0" t="s">
        <v>567</v>
      </c>
      <c r="AL67" s="0" t="s">
        <v>568</v>
      </c>
      <c r="AM67" s="0" t="s">
        <v>94</v>
      </c>
      <c r="AN67" s="26" t="n">
        <f aca="false">IFERROR(E67*(1+IF(AM67="Apartment",Data_Summary!$C$3,0)),"")</f>
        <v>4</v>
      </c>
      <c r="AO67" s="4" t="n">
        <v>46195</v>
      </c>
    </row>
    <row r="68" customFormat="false" ht="15" hidden="false" customHeight="false" outlineLevel="0" collapsed="false">
      <c r="A68" s="0" t="n">
        <f aca="false">IF(AND(ISNUMBER(B68),B68&gt;0,ISNUMBER(AB68),AB68&gt;0,J68&gt;=Data_Summary!$C$1),1,0)</f>
        <v>1</v>
      </c>
      <c r="B68" s="33" t="n">
        <v>492</v>
      </c>
      <c r="C68" s="5" t="n">
        <f aca="false">IF(ISNUMBER(AB68),AB68,"")</f>
        <v>2200</v>
      </c>
      <c r="D68" s="0" t="n">
        <f aca="false">IF(ISNUMBER(C68),C68-U68*Data_Summary!$C$2,"")</f>
        <v>2200</v>
      </c>
      <c r="E68" s="34" t="n">
        <f aca="false">IFERROR(C68/B68,"")</f>
        <v>4.47154471544716</v>
      </c>
      <c r="F68" s="26" t="n">
        <f aca="false">IFERROR(D68/B68,"")</f>
        <v>4.47154471544716</v>
      </c>
      <c r="G68" s="0" t="str">
        <f aca="false">Q68</f>
        <v>1</v>
      </c>
      <c r="H68" s="0" t="str">
        <f aca="false">IFERROR(LEFT(G68,1),"")</f>
        <v>1</v>
      </c>
      <c r="I68" s="0" t="n">
        <f aca="false">IF(LEN(G68)&gt;1,1,0)</f>
        <v>0</v>
      </c>
      <c r="J68" s="4" t="n">
        <v>46085</v>
      </c>
      <c r="K68" s="0" t="s">
        <v>10</v>
      </c>
      <c r="L68" s="0" t="s">
        <v>91</v>
      </c>
      <c r="M68" s="0" t="s">
        <v>226</v>
      </c>
      <c r="N68" s="0" t="s">
        <v>93</v>
      </c>
      <c r="O68" s="0" t="s">
        <v>569</v>
      </c>
      <c r="Q68" s="0" t="s">
        <v>242</v>
      </c>
      <c r="R68" s="0" t="n">
        <v>1</v>
      </c>
      <c r="S68" s="5" t="n">
        <v>492</v>
      </c>
      <c r="T68" s="0" t="s">
        <v>271</v>
      </c>
      <c r="U68" s="0" t="n">
        <v>0</v>
      </c>
      <c r="V68" s="0" t="s">
        <v>230</v>
      </c>
      <c r="W68" s="0" t="s">
        <v>244</v>
      </c>
      <c r="X68" s="0" t="s">
        <v>232</v>
      </c>
      <c r="Y68" s="0" t="s">
        <v>245</v>
      </c>
      <c r="Z68" s="0" t="s">
        <v>234</v>
      </c>
      <c r="AA68" s="0" t="s">
        <v>235</v>
      </c>
      <c r="AB68" s="32" t="n">
        <v>2200</v>
      </c>
      <c r="AC68" s="32" t="n">
        <v>2200</v>
      </c>
      <c r="AD68" s="26" t="n">
        <f aca="false">IFERROR(AB68/B68,"")</f>
        <v>4.47154471544716</v>
      </c>
      <c r="AE68" s="26" t="n">
        <f aca="false">IFERROR(AC68/B68,"")</f>
        <v>4.47154471544716</v>
      </c>
      <c r="AF68" s="0" t="s">
        <v>236</v>
      </c>
      <c r="AG68" s="0" t="s">
        <v>236</v>
      </c>
      <c r="AH68" s="0" t="s">
        <v>230</v>
      </c>
      <c r="AI68" s="0" t="s">
        <v>570</v>
      </c>
      <c r="AJ68" s="0" t="s">
        <v>571</v>
      </c>
      <c r="AK68" s="0" t="s">
        <v>572</v>
      </c>
      <c r="AL68" s="0" t="s">
        <v>573</v>
      </c>
      <c r="AM68" s="0" t="s">
        <v>94</v>
      </c>
      <c r="AN68" s="26" t="n">
        <f aca="false">IFERROR(E68*(1+IF(AM68="Apartment",Data_Summary!$C$3,0)),"")</f>
        <v>4.47154471544716</v>
      </c>
      <c r="AO68" s="4" t="n">
        <v>46195</v>
      </c>
    </row>
    <row r="69" customFormat="false" ht="15" hidden="false" customHeight="false" outlineLevel="0" collapsed="false">
      <c r="A69" s="0" t="n">
        <f aca="false">IF(AND(ISNUMBER(B69),B69&gt;0,ISNUMBER(AB69),AB69&gt;0,J69&gt;=Data_Summary!$C$1),1,0)</f>
        <v>1</v>
      </c>
      <c r="B69" s="33" t="n">
        <v>492</v>
      </c>
      <c r="C69" s="5" t="n">
        <f aca="false">IF(ISNUMBER(AB69),AB69,"")</f>
        <v>2200</v>
      </c>
      <c r="D69" s="0" t="n">
        <f aca="false">IF(ISNUMBER(C69),C69-U69*Data_Summary!$C$2,"")</f>
        <v>2200</v>
      </c>
      <c r="E69" s="34" t="n">
        <f aca="false">IFERROR(C69/B69,"")</f>
        <v>4.47154471544716</v>
      </c>
      <c r="F69" s="26" t="n">
        <f aca="false">IFERROR(D69/B69,"")</f>
        <v>4.47154471544716</v>
      </c>
      <c r="G69" s="0" t="str">
        <f aca="false">Q69</f>
        <v>1</v>
      </c>
      <c r="H69" s="0" t="str">
        <f aca="false">IFERROR(LEFT(G69,1),"")</f>
        <v>1</v>
      </c>
      <c r="I69" s="0" t="n">
        <f aca="false">IF(LEN(G69)&gt;1,1,0)</f>
        <v>0</v>
      </c>
      <c r="J69" s="4" t="n">
        <v>46083</v>
      </c>
      <c r="K69" s="0" t="s">
        <v>10</v>
      </c>
      <c r="L69" s="0" t="s">
        <v>91</v>
      </c>
      <c r="M69" s="0" t="s">
        <v>226</v>
      </c>
      <c r="N69" s="0" t="s">
        <v>93</v>
      </c>
      <c r="O69" s="0" t="s">
        <v>574</v>
      </c>
      <c r="Q69" s="0" t="s">
        <v>242</v>
      </c>
      <c r="R69" s="0" t="n">
        <v>1</v>
      </c>
      <c r="S69" s="5" t="n">
        <v>492</v>
      </c>
      <c r="T69" s="0" t="s">
        <v>243</v>
      </c>
      <c r="U69" s="0" t="n">
        <v>0</v>
      </c>
      <c r="V69" s="0" t="s">
        <v>230</v>
      </c>
      <c r="W69" s="0" t="s">
        <v>244</v>
      </c>
      <c r="X69" s="0" t="s">
        <v>232</v>
      </c>
      <c r="Y69" s="0" t="s">
        <v>253</v>
      </c>
      <c r="Z69" s="0" t="s">
        <v>234</v>
      </c>
      <c r="AA69" s="0" t="s">
        <v>235</v>
      </c>
      <c r="AB69" s="32" t="n">
        <v>2200</v>
      </c>
      <c r="AC69" s="32" t="n">
        <v>2200</v>
      </c>
      <c r="AD69" s="26" t="n">
        <f aca="false">IFERROR(AB69/B69,"")</f>
        <v>4.47154471544716</v>
      </c>
      <c r="AE69" s="26" t="n">
        <f aca="false">IFERROR(AC69/B69,"")</f>
        <v>4.47154471544716</v>
      </c>
      <c r="AF69" s="0" t="s">
        <v>236</v>
      </c>
      <c r="AG69" s="0" t="s">
        <v>236</v>
      </c>
      <c r="AH69" s="0" t="s">
        <v>230</v>
      </c>
      <c r="AI69" s="0" t="s">
        <v>575</v>
      </c>
      <c r="AJ69" s="0" t="s">
        <v>576</v>
      </c>
      <c r="AK69" s="0" t="s">
        <v>577</v>
      </c>
      <c r="AL69" s="0" t="s">
        <v>578</v>
      </c>
      <c r="AM69" s="0" t="s">
        <v>94</v>
      </c>
      <c r="AN69" s="26" t="n">
        <f aca="false">IFERROR(E69*(1+IF(AM69="Apartment",Data_Summary!$C$3,0)),"")</f>
        <v>4.47154471544716</v>
      </c>
      <c r="AO69" s="4" t="n">
        <v>46195</v>
      </c>
    </row>
    <row r="70" customFormat="false" ht="15" hidden="false" customHeight="false" outlineLevel="0" collapsed="false">
      <c r="A70" s="0" t="n">
        <f aca="false">IF(AND(ISNUMBER(B70),B70&gt;0,ISNUMBER(AB70),AB70&gt;0,J70&gt;=Data_Summary!$C$1),1,0)</f>
        <v>1</v>
      </c>
      <c r="B70" s="33" t="n">
        <v>920</v>
      </c>
      <c r="C70" s="5" t="n">
        <f aca="false">IF(ISNUMBER(AB70),AB70,"")</f>
        <v>3300</v>
      </c>
      <c r="D70" s="0" t="n">
        <f aca="false">IF(ISNUMBER(C70),C70-U70*Data_Summary!$C$2,"")</f>
        <v>3300</v>
      </c>
      <c r="E70" s="34" t="n">
        <f aca="false">IFERROR(C70/B70,"")</f>
        <v>3.58695652173913</v>
      </c>
      <c r="F70" s="26" t="n">
        <f aca="false">IFERROR(D70/B70,"")</f>
        <v>3.58695652173913</v>
      </c>
      <c r="G70" s="0" t="str">
        <f aca="false">Q70</f>
        <v>2</v>
      </c>
      <c r="H70" s="0" t="str">
        <f aca="false">IFERROR(LEFT(G70,1),"")</f>
        <v>2</v>
      </c>
      <c r="I70" s="0" t="n">
        <f aca="false">IF(LEN(G70)&gt;1,1,0)</f>
        <v>0</v>
      </c>
      <c r="J70" s="4" t="n">
        <v>46082</v>
      </c>
      <c r="K70" s="0" t="s">
        <v>10</v>
      </c>
      <c r="L70" s="0" t="s">
        <v>91</v>
      </c>
      <c r="M70" s="0" t="s">
        <v>226</v>
      </c>
      <c r="N70" s="0" t="s">
        <v>93</v>
      </c>
      <c r="O70" s="0" t="s">
        <v>579</v>
      </c>
      <c r="Q70" s="0" t="s">
        <v>251</v>
      </c>
      <c r="R70" s="0" t="n">
        <v>2</v>
      </c>
      <c r="S70" s="5" t="n">
        <v>920</v>
      </c>
      <c r="T70" s="0" t="s">
        <v>252</v>
      </c>
      <c r="U70" s="0" t="n">
        <v>0</v>
      </c>
      <c r="V70" s="0" t="s">
        <v>230</v>
      </c>
      <c r="W70" s="0" t="s">
        <v>231</v>
      </c>
      <c r="X70" s="0" t="s">
        <v>232</v>
      </c>
      <c r="Y70" s="0" t="s">
        <v>297</v>
      </c>
      <c r="Z70" s="0" t="s">
        <v>234</v>
      </c>
      <c r="AA70" s="0" t="s">
        <v>235</v>
      </c>
      <c r="AB70" s="32" t="n">
        <v>3300</v>
      </c>
      <c r="AC70" s="32" t="n">
        <v>3300</v>
      </c>
      <c r="AD70" s="26" t="n">
        <f aca="false">IFERROR(AB70/B70,"")</f>
        <v>3.58695652173913</v>
      </c>
      <c r="AE70" s="26" t="n">
        <f aca="false">IFERROR(AC70/B70,"")</f>
        <v>3.58695652173913</v>
      </c>
      <c r="AF70" s="0" t="s">
        <v>236</v>
      </c>
      <c r="AG70" s="0" t="s">
        <v>236</v>
      </c>
      <c r="AH70" s="0" t="s">
        <v>230</v>
      </c>
      <c r="AI70" s="0" t="s">
        <v>580</v>
      </c>
      <c r="AJ70" s="0" t="s">
        <v>581</v>
      </c>
      <c r="AK70" s="0" t="s">
        <v>582</v>
      </c>
      <c r="AL70" s="0" t="s">
        <v>583</v>
      </c>
      <c r="AM70" s="0" t="s">
        <v>94</v>
      </c>
      <c r="AN70" s="26" t="n">
        <f aca="false">IFERROR(E70*(1+IF(AM70="Apartment",Data_Summary!$C$3,0)),"")</f>
        <v>3.58695652173913</v>
      </c>
      <c r="AO70" s="4" t="n">
        <v>46195</v>
      </c>
    </row>
    <row r="71" customFormat="false" ht="15" hidden="false" customHeight="false" outlineLevel="0" collapsed="false">
      <c r="A71" s="0" t="n">
        <f aca="false">IF(AND(ISNUMBER(B71),B71&gt;0,ISNUMBER(AB71),AB71&gt;0,J71&gt;=Data_Summary!$C$1),1,0)</f>
        <v>1</v>
      </c>
      <c r="B71" s="33" t="n">
        <v>535</v>
      </c>
      <c r="C71" s="5" t="n">
        <f aca="false">IF(ISNUMBER(AB71),AB71,"")</f>
        <v>2650</v>
      </c>
      <c r="D71" s="0" t="n">
        <f aca="false">IF(ISNUMBER(C71),C71-U71*Data_Summary!$C$2,"")</f>
        <v>2650</v>
      </c>
      <c r="E71" s="34" t="n">
        <f aca="false">IFERROR(C71/B71,"")</f>
        <v>4.95327102803738</v>
      </c>
      <c r="F71" s="26" t="n">
        <f aca="false">IFERROR(D71/B71,"")</f>
        <v>4.95327102803738</v>
      </c>
      <c r="G71" s="0" t="str">
        <f aca="false">Q71</f>
        <v>1+1</v>
      </c>
      <c r="H71" s="0" t="str">
        <f aca="false">IFERROR(LEFT(G71,1),"")</f>
        <v>1</v>
      </c>
      <c r="I71" s="0" t="n">
        <f aca="false">IF(LEN(G71)&gt;1,1,0)</f>
        <v>1</v>
      </c>
      <c r="J71" s="4" t="n">
        <v>46081</v>
      </c>
      <c r="K71" s="0" t="s">
        <v>10</v>
      </c>
      <c r="L71" s="0" t="s">
        <v>91</v>
      </c>
      <c r="M71" s="0" t="s">
        <v>226</v>
      </c>
      <c r="N71" s="0" t="s">
        <v>93</v>
      </c>
      <c r="O71" s="0" t="s">
        <v>584</v>
      </c>
      <c r="Q71" s="0" t="s">
        <v>270</v>
      </c>
      <c r="R71" s="0" t="n">
        <v>2</v>
      </c>
      <c r="S71" s="5" t="n">
        <v>535</v>
      </c>
      <c r="T71" s="0" t="s">
        <v>271</v>
      </c>
      <c r="U71" s="0" t="n">
        <v>0</v>
      </c>
      <c r="V71" s="0" t="s">
        <v>230</v>
      </c>
      <c r="W71" s="0" t="s">
        <v>231</v>
      </c>
      <c r="X71" s="0" t="s">
        <v>232</v>
      </c>
      <c r="Y71" s="0" t="s">
        <v>278</v>
      </c>
      <c r="Z71" s="0" t="s">
        <v>234</v>
      </c>
      <c r="AA71" s="0" t="s">
        <v>235</v>
      </c>
      <c r="AB71" s="32" t="n">
        <v>2650</v>
      </c>
      <c r="AC71" s="32" t="n">
        <v>2650</v>
      </c>
      <c r="AD71" s="26" t="n">
        <f aca="false">IFERROR(AB71/B71,"")</f>
        <v>4.95327102803738</v>
      </c>
      <c r="AE71" s="26" t="n">
        <f aca="false">IFERROR(AC71/B71,"")</f>
        <v>4.95327102803738</v>
      </c>
      <c r="AF71" s="0" t="s">
        <v>236</v>
      </c>
      <c r="AG71" s="0" t="s">
        <v>236</v>
      </c>
      <c r="AH71" s="0" t="s">
        <v>230</v>
      </c>
      <c r="AI71" s="0" t="s">
        <v>585</v>
      </c>
      <c r="AJ71" s="0" t="s">
        <v>586</v>
      </c>
      <c r="AK71" s="0" t="s">
        <v>587</v>
      </c>
      <c r="AL71" s="0" t="s">
        <v>588</v>
      </c>
      <c r="AM71" s="0" t="s">
        <v>94</v>
      </c>
      <c r="AN71" s="26" t="n">
        <f aca="false">IFERROR(E71*(1+IF(AM71="Apartment",Data_Summary!$C$3,0)),"")</f>
        <v>4.95327102803738</v>
      </c>
      <c r="AO71" s="4" t="n">
        <v>46195</v>
      </c>
    </row>
    <row r="72" customFormat="false" ht="15" hidden="false" customHeight="false" outlineLevel="0" collapsed="false">
      <c r="A72" s="0" t="n">
        <f aca="false">IF(AND(ISNUMBER(B72),B72&gt;0,ISNUMBER(AB72),AB72&gt;0,J72&gt;=Data_Summary!$C$1),1,0)</f>
        <v>1</v>
      </c>
      <c r="B72" s="30" t="n">
        <v>738</v>
      </c>
      <c r="C72" s="5" t="n">
        <f aca="false">IF(ISNUMBER(AB72),AB72,"")</f>
        <v>2900</v>
      </c>
      <c r="D72" s="0" t="n">
        <f aca="false">IF(ISNUMBER(C72),C72-U72*Data_Summary!$C$2,"")</f>
        <v>2900</v>
      </c>
      <c r="E72" s="31" t="n">
        <f aca="false">IFERROR(C72/B72,"")</f>
        <v>3.92953929539295</v>
      </c>
      <c r="F72" s="26" t="n">
        <f aca="false">IFERROR(D72/B72,"")</f>
        <v>3.92953929539295</v>
      </c>
      <c r="G72" s="0" t="str">
        <f aca="false">Q72</f>
        <v>2</v>
      </c>
      <c r="H72" s="0" t="str">
        <f aca="false">IFERROR(LEFT(G72,1),"")</f>
        <v>2</v>
      </c>
      <c r="I72" s="0" t="n">
        <f aca="false">IF(LEN(G72)&gt;1,1,0)</f>
        <v>0</v>
      </c>
      <c r="J72" s="4" t="n">
        <v>46080</v>
      </c>
      <c r="K72" s="0" t="s">
        <v>10</v>
      </c>
      <c r="L72" s="0" t="s">
        <v>91</v>
      </c>
      <c r="M72" s="0" t="s">
        <v>226</v>
      </c>
      <c r="N72" s="0" t="s">
        <v>93</v>
      </c>
      <c r="O72" s="0" t="s">
        <v>589</v>
      </c>
      <c r="Q72" s="0" t="s">
        <v>251</v>
      </c>
      <c r="R72" s="0" t="n">
        <v>2</v>
      </c>
      <c r="S72" s="5" t="n">
        <v>738</v>
      </c>
      <c r="T72" s="0" t="s">
        <v>252</v>
      </c>
      <c r="U72" s="0" t="n">
        <v>0</v>
      </c>
      <c r="V72" s="0" t="s">
        <v>230</v>
      </c>
      <c r="W72" s="0" t="s">
        <v>231</v>
      </c>
      <c r="X72" s="0" t="s">
        <v>232</v>
      </c>
      <c r="Y72" s="0" t="s">
        <v>278</v>
      </c>
      <c r="Z72" s="0" t="s">
        <v>234</v>
      </c>
      <c r="AA72" s="0" t="s">
        <v>235</v>
      </c>
      <c r="AB72" s="32" t="n">
        <v>2900</v>
      </c>
      <c r="AC72" s="32" t="n">
        <v>2900</v>
      </c>
      <c r="AD72" s="26" t="n">
        <f aca="false">IFERROR(AB72/B72,"")</f>
        <v>3.92953929539295</v>
      </c>
      <c r="AE72" s="26" t="n">
        <f aca="false">IFERROR(AC72/B72,"")</f>
        <v>3.92953929539295</v>
      </c>
      <c r="AF72" s="0" t="s">
        <v>236</v>
      </c>
      <c r="AG72" s="0" t="s">
        <v>236</v>
      </c>
      <c r="AH72" s="0" t="s">
        <v>230</v>
      </c>
      <c r="AI72" s="0" t="s">
        <v>590</v>
      </c>
      <c r="AJ72" s="0" t="s">
        <v>591</v>
      </c>
      <c r="AK72" s="0" t="s">
        <v>592</v>
      </c>
      <c r="AL72" s="0" t="s">
        <v>593</v>
      </c>
      <c r="AM72" s="0" t="s">
        <v>94</v>
      </c>
      <c r="AN72" s="26" t="n">
        <f aca="false">IFERROR(E72*(1+IF(AM72="Apartment",Data_Summary!$C$3,0)),"")</f>
        <v>3.92953929539295</v>
      </c>
      <c r="AO72" s="4" t="n">
        <v>46195</v>
      </c>
    </row>
    <row r="73" customFormat="false" ht="15" hidden="false" customHeight="false" outlineLevel="0" collapsed="false">
      <c r="A73" s="0" t="n">
        <f aca="false">IF(AND(ISNUMBER(B73),B73&gt;0,ISNUMBER(AB73),AB73&gt;0,J73&gt;=Data_Summary!$C$1),1,0)</f>
        <v>1</v>
      </c>
      <c r="B73" s="33" t="n">
        <v>920</v>
      </c>
      <c r="C73" s="5" t="n">
        <f aca="false">IF(ISNUMBER(AB73),AB73,"")</f>
        <v>2350</v>
      </c>
      <c r="D73" s="0" t="n">
        <f aca="false">IF(ISNUMBER(C73),C73-U73*Data_Summary!$C$2,"")</f>
        <v>2350</v>
      </c>
      <c r="E73" s="34" t="n">
        <f aca="false">IFERROR(C73/B73,"")</f>
        <v>2.55434782608696</v>
      </c>
      <c r="F73" s="26" t="n">
        <f aca="false">IFERROR(D73/B73,"")</f>
        <v>2.55434782608696</v>
      </c>
      <c r="G73" s="0" t="str">
        <f aca="false">Q73</f>
        <v>1</v>
      </c>
      <c r="H73" s="0" t="str">
        <f aca="false">IFERROR(LEFT(G73,1),"")</f>
        <v>1</v>
      </c>
      <c r="I73" s="0" t="n">
        <f aca="false">IF(LEN(G73)&gt;1,1,0)</f>
        <v>0</v>
      </c>
      <c r="J73" s="4" t="n">
        <v>46079</v>
      </c>
      <c r="K73" s="0" t="s">
        <v>10</v>
      </c>
      <c r="L73" s="0" t="s">
        <v>91</v>
      </c>
      <c r="M73" s="0" t="s">
        <v>226</v>
      </c>
      <c r="N73" s="0" t="s">
        <v>93</v>
      </c>
      <c r="O73" s="0" t="s">
        <v>594</v>
      </c>
      <c r="Q73" s="0" t="s">
        <v>242</v>
      </c>
      <c r="R73" s="0" t="n">
        <v>1</v>
      </c>
      <c r="S73" s="5" t="n">
        <v>920</v>
      </c>
      <c r="T73" s="0" t="s">
        <v>243</v>
      </c>
      <c r="U73" s="0" t="n">
        <v>0</v>
      </c>
      <c r="V73" s="0" t="s">
        <v>230</v>
      </c>
      <c r="W73" s="0" t="s">
        <v>244</v>
      </c>
      <c r="X73" s="0" t="s">
        <v>232</v>
      </c>
      <c r="Y73" s="0" t="s">
        <v>278</v>
      </c>
      <c r="Z73" s="0" t="s">
        <v>234</v>
      </c>
      <c r="AA73" s="0" t="s">
        <v>235</v>
      </c>
      <c r="AB73" s="32" t="n">
        <v>2350</v>
      </c>
      <c r="AC73" s="32" t="n">
        <v>2350</v>
      </c>
      <c r="AD73" s="26" t="n">
        <f aca="false">IFERROR(AB73/B73,"")</f>
        <v>2.55434782608696</v>
      </c>
      <c r="AE73" s="26" t="n">
        <f aca="false">IFERROR(AC73/B73,"")</f>
        <v>2.55434782608696</v>
      </c>
      <c r="AF73" s="0" t="s">
        <v>236</v>
      </c>
      <c r="AG73" s="0" t="s">
        <v>236</v>
      </c>
      <c r="AH73" s="0" t="s">
        <v>230</v>
      </c>
      <c r="AI73" s="0" t="s">
        <v>595</v>
      </c>
      <c r="AJ73" s="0" t="s">
        <v>596</v>
      </c>
      <c r="AK73" s="0" t="s">
        <v>597</v>
      </c>
      <c r="AL73" s="0" t="s">
        <v>598</v>
      </c>
      <c r="AM73" s="0" t="s">
        <v>94</v>
      </c>
      <c r="AN73" s="26" t="n">
        <f aca="false">IFERROR(E73*(1+IF(AM73="Apartment",Data_Summary!$C$3,0)),"")</f>
        <v>2.55434782608696</v>
      </c>
      <c r="AO73" s="4" t="n">
        <v>46195</v>
      </c>
    </row>
    <row r="74" customFormat="false" ht="15" hidden="false" customHeight="false" outlineLevel="0" collapsed="false">
      <c r="A74" s="0" t="n">
        <f aca="false">IF(AND(ISNUMBER(B74),B74&gt;0,ISNUMBER(AB74),AB74&gt;0,J74&gt;=Data_Summary!$C$1),1,0)</f>
        <v>1</v>
      </c>
      <c r="B74" s="33" t="n">
        <v>545</v>
      </c>
      <c r="C74" s="5" t="n">
        <f aca="false">IF(ISNUMBER(AB74),AB74,"")</f>
        <v>3900</v>
      </c>
      <c r="D74" s="0" t="n">
        <f aca="false">IF(ISNUMBER(C74),C74-U74*Data_Summary!$C$2,"")</f>
        <v>3750</v>
      </c>
      <c r="E74" s="34" t="n">
        <f aca="false">IFERROR(C74/B74,"")</f>
        <v>7.15596330275229</v>
      </c>
      <c r="F74" s="26" t="n">
        <f aca="false">IFERROR(D74/B74,"")</f>
        <v>6.88073394495413</v>
      </c>
      <c r="G74" s="0" t="str">
        <f aca="false">Q74</f>
        <v>3</v>
      </c>
      <c r="H74" s="0" t="str">
        <f aca="false">IFERROR(LEFT(G74,1),"")</f>
        <v>3</v>
      </c>
      <c r="I74" s="0" t="n">
        <f aca="false">IF(LEN(G74)&gt;1,1,0)</f>
        <v>0</v>
      </c>
      <c r="J74" s="4" t="n">
        <v>46079</v>
      </c>
      <c r="K74" s="0" t="s">
        <v>10</v>
      </c>
      <c r="L74" s="0" t="s">
        <v>91</v>
      </c>
      <c r="M74" s="0" t="s">
        <v>226</v>
      </c>
      <c r="N74" s="0" t="s">
        <v>93</v>
      </c>
      <c r="O74" s="0" t="s">
        <v>599</v>
      </c>
      <c r="Q74" s="0" t="s">
        <v>228</v>
      </c>
      <c r="R74" s="0" t="n">
        <v>2</v>
      </c>
      <c r="S74" s="5" t="n">
        <v>545</v>
      </c>
      <c r="T74" s="0" t="s">
        <v>259</v>
      </c>
      <c r="U74" s="0" t="n">
        <v>1</v>
      </c>
      <c r="V74" s="0" t="s">
        <v>230</v>
      </c>
      <c r="W74" s="0" t="s">
        <v>244</v>
      </c>
      <c r="X74" s="0" t="s">
        <v>232</v>
      </c>
      <c r="Y74" s="0" t="s">
        <v>260</v>
      </c>
      <c r="Z74" s="0" t="s">
        <v>234</v>
      </c>
      <c r="AA74" s="0" t="s">
        <v>235</v>
      </c>
      <c r="AB74" s="32" t="n">
        <v>3900</v>
      </c>
      <c r="AC74" s="32" t="n">
        <v>3950</v>
      </c>
      <c r="AD74" s="26" t="n">
        <f aca="false">IFERROR(AB74/B74,"")</f>
        <v>7.15596330275229</v>
      </c>
      <c r="AE74" s="26" t="n">
        <f aca="false">IFERROR(AC74/B74,"")</f>
        <v>7.24770642201835</v>
      </c>
      <c r="AF74" s="0" t="s">
        <v>236</v>
      </c>
      <c r="AG74" s="0" t="s">
        <v>236</v>
      </c>
      <c r="AH74" s="0" t="s">
        <v>230</v>
      </c>
      <c r="AI74" s="0" t="s">
        <v>595</v>
      </c>
      <c r="AJ74" s="0" t="s">
        <v>600</v>
      </c>
      <c r="AK74" s="0" t="s">
        <v>601</v>
      </c>
      <c r="AL74" s="0" t="s">
        <v>602</v>
      </c>
      <c r="AM74" s="0" t="s">
        <v>94</v>
      </c>
      <c r="AN74" s="26" t="n">
        <f aca="false">IFERROR(E74*(1+IF(AM74="Apartment",Data_Summary!$C$3,0)),"")</f>
        <v>7.15596330275229</v>
      </c>
      <c r="AO74" s="4" t="n">
        <v>46195</v>
      </c>
    </row>
    <row r="75" customFormat="false" ht="15" hidden="false" customHeight="false" outlineLevel="0" collapsed="false">
      <c r="A75" s="0" t="n">
        <f aca="false">IF(AND(ISNUMBER(B75),B75&gt;0,ISNUMBER(AB75),AB75&gt;0,J75&gt;=Data_Summary!$C$1),1,0)</f>
        <v>1</v>
      </c>
      <c r="B75" s="33" t="n">
        <v>600</v>
      </c>
      <c r="C75" s="5" t="n">
        <f aca="false">IF(ISNUMBER(AB75),AB75,"")</f>
        <v>2450</v>
      </c>
      <c r="D75" s="0" t="n">
        <f aca="false">IF(ISNUMBER(C75),C75-U75*Data_Summary!$C$2,"")</f>
        <v>2450</v>
      </c>
      <c r="E75" s="34" t="n">
        <f aca="false">IFERROR(C75/B75,"")</f>
        <v>4.08333333333333</v>
      </c>
      <c r="F75" s="26" t="n">
        <f aca="false">IFERROR(D75/B75,"")</f>
        <v>4.08333333333333</v>
      </c>
      <c r="G75" s="0" t="str">
        <f aca="false">Q75</f>
        <v>1+1</v>
      </c>
      <c r="H75" s="0" t="str">
        <f aca="false">IFERROR(LEFT(G75,1),"")</f>
        <v>1</v>
      </c>
      <c r="I75" s="0" t="n">
        <f aca="false">IF(LEN(G75)&gt;1,1,0)</f>
        <v>1</v>
      </c>
      <c r="J75" s="4" t="n">
        <v>46076</v>
      </c>
      <c r="K75" s="0" t="s">
        <v>10</v>
      </c>
      <c r="L75" s="0" t="s">
        <v>91</v>
      </c>
      <c r="M75" s="0" t="s">
        <v>226</v>
      </c>
      <c r="N75" s="0" t="s">
        <v>93</v>
      </c>
      <c r="O75" s="0" t="s">
        <v>603</v>
      </c>
      <c r="Q75" s="0" t="s">
        <v>270</v>
      </c>
      <c r="R75" s="0" t="n">
        <v>1</v>
      </c>
      <c r="S75" s="5" t="n">
        <v>600</v>
      </c>
      <c r="T75" s="0" t="s">
        <v>243</v>
      </c>
      <c r="U75" s="0" t="n">
        <v>0</v>
      </c>
      <c r="V75" s="0" t="s">
        <v>230</v>
      </c>
      <c r="W75" s="0" t="s">
        <v>231</v>
      </c>
      <c r="X75" s="0" t="s">
        <v>232</v>
      </c>
      <c r="Y75" s="0" t="s">
        <v>278</v>
      </c>
      <c r="Z75" s="0" t="s">
        <v>234</v>
      </c>
      <c r="AA75" s="0" t="s">
        <v>235</v>
      </c>
      <c r="AB75" s="32" t="n">
        <v>2450</v>
      </c>
      <c r="AC75" s="32" t="n">
        <v>2400</v>
      </c>
      <c r="AD75" s="26" t="n">
        <f aca="false">IFERROR(AB75/B75,"")</f>
        <v>4.08333333333333</v>
      </c>
      <c r="AE75" s="26" t="n">
        <f aca="false">IFERROR(AC75/B75,"")</f>
        <v>4</v>
      </c>
      <c r="AF75" s="0" t="s">
        <v>236</v>
      </c>
      <c r="AG75" s="0" t="s">
        <v>236</v>
      </c>
      <c r="AH75" s="0" t="s">
        <v>230</v>
      </c>
      <c r="AI75" s="0" t="s">
        <v>604</v>
      </c>
      <c r="AJ75" s="0" t="s">
        <v>605</v>
      </c>
      <c r="AK75" s="0" t="s">
        <v>606</v>
      </c>
      <c r="AL75" s="0" t="s">
        <v>607</v>
      </c>
      <c r="AM75" s="0" t="s">
        <v>94</v>
      </c>
      <c r="AN75" s="26" t="n">
        <f aca="false">IFERROR(E75*(1+IF(AM75="Apartment",Data_Summary!$C$3,0)),"")</f>
        <v>4.08333333333333</v>
      </c>
      <c r="AO75" s="4" t="n">
        <v>46195</v>
      </c>
    </row>
    <row r="76" customFormat="false" ht="15" hidden="false" customHeight="false" outlineLevel="0" collapsed="false">
      <c r="A76" s="0" t="n">
        <f aca="false">IF(AND(ISNUMBER(B76),B76&gt;0,ISNUMBER(AB76),AB76&gt;0,J76&gt;=Data_Summary!$C$1),1,0)</f>
        <v>1</v>
      </c>
      <c r="B76" s="33" t="n">
        <v>920</v>
      </c>
      <c r="C76" s="5" t="n">
        <f aca="false">IF(ISNUMBER(AB76),AB76,"")</f>
        <v>3500</v>
      </c>
      <c r="D76" s="0" t="n">
        <f aca="false">IF(ISNUMBER(C76),C76-U76*Data_Summary!$C$2,"")</f>
        <v>3350</v>
      </c>
      <c r="E76" s="34" t="n">
        <f aca="false">IFERROR(C76/B76,"")</f>
        <v>3.80434782608696</v>
      </c>
      <c r="F76" s="26" t="n">
        <f aca="false">IFERROR(D76/B76,"")</f>
        <v>3.64130434782609</v>
      </c>
      <c r="G76" s="0" t="str">
        <f aca="false">Q76</f>
        <v>2+1</v>
      </c>
      <c r="H76" s="0" t="str">
        <f aca="false">IFERROR(LEFT(G76,1),"")</f>
        <v>2</v>
      </c>
      <c r="I76" s="0" t="n">
        <f aca="false">IF(LEN(G76)&gt;1,1,0)</f>
        <v>1</v>
      </c>
      <c r="J76" s="4" t="n">
        <v>46076</v>
      </c>
      <c r="K76" s="0" t="s">
        <v>10</v>
      </c>
      <c r="L76" s="0" t="s">
        <v>91</v>
      </c>
      <c r="M76" s="0" t="s">
        <v>226</v>
      </c>
      <c r="N76" s="0" t="s">
        <v>93</v>
      </c>
      <c r="O76" s="0" t="s">
        <v>608</v>
      </c>
      <c r="Q76" s="0" t="s">
        <v>451</v>
      </c>
      <c r="R76" s="0" t="n">
        <v>2</v>
      </c>
      <c r="S76" s="5" t="n">
        <v>920</v>
      </c>
      <c r="T76" s="0" t="s">
        <v>252</v>
      </c>
      <c r="U76" s="0" t="n">
        <v>1</v>
      </c>
      <c r="V76" s="0" t="s">
        <v>230</v>
      </c>
      <c r="W76" s="0" t="s">
        <v>244</v>
      </c>
      <c r="X76" s="0" t="s">
        <v>232</v>
      </c>
      <c r="Y76" s="0" t="s">
        <v>297</v>
      </c>
      <c r="Z76" s="0" t="s">
        <v>234</v>
      </c>
      <c r="AA76" s="0" t="s">
        <v>235</v>
      </c>
      <c r="AB76" s="32" t="n">
        <v>3500</v>
      </c>
      <c r="AC76" s="32" t="n">
        <v>3500</v>
      </c>
      <c r="AD76" s="26" t="n">
        <f aca="false">IFERROR(AB76/B76,"")</f>
        <v>3.80434782608696</v>
      </c>
      <c r="AE76" s="26" t="n">
        <f aca="false">IFERROR(AC76/B76,"")</f>
        <v>3.80434782608696</v>
      </c>
      <c r="AF76" s="0" t="s">
        <v>236</v>
      </c>
      <c r="AG76" s="0" t="s">
        <v>236</v>
      </c>
      <c r="AH76" s="0" t="s">
        <v>230</v>
      </c>
      <c r="AI76" s="0" t="s">
        <v>604</v>
      </c>
      <c r="AJ76" s="0" t="s">
        <v>609</v>
      </c>
      <c r="AK76" s="0" t="s">
        <v>610</v>
      </c>
      <c r="AL76" s="0" t="s">
        <v>611</v>
      </c>
      <c r="AM76" s="0" t="s">
        <v>94</v>
      </c>
      <c r="AN76" s="26" t="n">
        <f aca="false">IFERROR(E76*(1+IF(AM76="Apartment",Data_Summary!$C$3,0)),"")</f>
        <v>3.80434782608696</v>
      </c>
      <c r="AO76" s="4" t="n">
        <v>46195</v>
      </c>
    </row>
    <row r="77" customFormat="false" ht="15" hidden="false" customHeight="false" outlineLevel="0" collapsed="false">
      <c r="A77" s="0" t="n">
        <f aca="false">IF(AND(ISNUMBER(B77),B77&gt;0,ISNUMBER(AB77),AB77&gt;0,J77&gt;=Data_Summary!$C$1),1,0)</f>
        <v>1</v>
      </c>
      <c r="B77" s="30" t="n">
        <v>740</v>
      </c>
      <c r="C77" s="5" t="n">
        <f aca="false">IF(ISNUMBER(AB77),AB77,"")</f>
        <v>3600</v>
      </c>
      <c r="D77" s="0" t="n">
        <f aca="false">IF(ISNUMBER(C77),C77-U77*Data_Summary!$C$2,"")</f>
        <v>3450</v>
      </c>
      <c r="E77" s="31" t="n">
        <f aca="false">IFERROR(C77/B77,"")</f>
        <v>4.86486486486487</v>
      </c>
      <c r="F77" s="26" t="n">
        <f aca="false">IFERROR(D77/B77,"")</f>
        <v>4.66216216216216</v>
      </c>
      <c r="G77" s="0" t="str">
        <f aca="false">Q77</f>
        <v>2</v>
      </c>
      <c r="H77" s="0" t="str">
        <f aca="false">IFERROR(LEFT(G77,1),"")</f>
        <v>2</v>
      </c>
      <c r="I77" s="0" t="n">
        <f aca="false">IF(LEN(G77)&gt;1,1,0)</f>
        <v>0</v>
      </c>
      <c r="J77" s="4" t="n">
        <v>46075</v>
      </c>
      <c r="K77" s="0" t="s">
        <v>10</v>
      </c>
      <c r="L77" s="0" t="s">
        <v>91</v>
      </c>
      <c r="M77" s="0" t="s">
        <v>226</v>
      </c>
      <c r="N77" s="0" t="s">
        <v>93</v>
      </c>
      <c r="O77" s="0" t="s">
        <v>612</v>
      </c>
      <c r="Q77" s="0" t="s">
        <v>251</v>
      </c>
      <c r="R77" s="0" t="n">
        <v>2</v>
      </c>
      <c r="S77" s="5" t="n">
        <v>740</v>
      </c>
      <c r="T77" s="0" t="s">
        <v>252</v>
      </c>
      <c r="U77" s="0" t="n">
        <v>1</v>
      </c>
      <c r="V77" s="0" t="s">
        <v>230</v>
      </c>
      <c r="W77" s="0" t="s">
        <v>231</v>
      </c>
      <c r="X77" s="0" t="s">
        <v>232</v>
      </c>
      <c r="Y77" s="0" t="s">
        <v>308</v>
      </c>
      <c r="Z77" s="0" t="s">
        <v>234</v>
      </c>
      <c r="AA77" s="0" t="s">
        <v>235</v>
      </c>
      <c r="AB77" s="32" t="n">
        <v>3600</v>
      </c>
      <c r="AC77" s="32" t="n">
        <v>3600</v>
      </c>
      <c r="AD77" s="26" t="n">
        <f aca="false">IFERROR(AB77/B77,"")</f>
        <v>4.86486486486487</v>
      </c>
      <c r="AE77" s="26" t="n">
        <f aca="false">IFERROR(AC77/B77,"")</f>
        <v>4.86486486486487</v>
      </c>
      <c r="AF77" s="0" t="s">
        <v>236</v>
      </c>
      <c r="AG77" s="0" t="s">
        <v>236</v>
      </c>
      <c r="AH77" s="0" t="s">
        <v>230</v>
      </c>
      <c r="AI77" s="0" t="s">
        <v>613</v>
      </c>
      <c r="AJ77" s="0" t="s">
        <v>614</v>
      </c>
      <c r="AK77" s="0" t="s">
        <v>615</v>
      </c>
      <c r="AL77" s="0" t="s">
        <v>616</v>
      </c>
      <c r="AM77" s="0" t="s">
        <v>94</v>
      </c>
      <c r="AN77" s="26" t="n">
        <f aca="false">IFERROR(E77*(1+IF(AM77="Apartment",Data_Summary!$C$3,0)),"")</f>
        <v>4.86486486486487</v>
      </c>
      <c r="AO77" s="4" t="n">
        <v>46195</v>
      </c>
    </row>
    <row r="78" customFormat="false" ht="15" hidden="false" customHeight="false" outlineLevel="0" collapsed="false">
      <c r="A78" s="0" t="n">
        <f aca="false">IF(AND(ISNUMBER(B78),B78&gt;0,ISNUMBER(AB78),AB78&gt;0,J78&gt;=Data_Summary!$C$1),1,0)</f>
        <v>1</v>
      </c>
      <c r="B78" s="30" t="n">
        <v>585</v>
      </c>
      <c r="C78" s="5" t="n">
        <f aca="false">IF(ISNUMBER(AB78),AB78,"")</f>
        <v>2450</v>
      </c>
      <c r="D78" s="0" t="n">
        <f aca="false">IF(ISNUMBER(C78),C78-U78*Data_Summary!$C$2,"")</f>
        <v>2450</v>
      </c>
      <c r="E78" s="31" t="n">
        <f aca="false">IFERROR(C78/B78,"")</f>
        <v>4.18803418803419</v>
      </c>
      <c r="F78" s="26" t="n">
        <f aca="false">IFERROR(D78/B78,"")</f>
        <v>4.18803418803419</v>
      </c>
      <c r="G78" s="0" t="str">
        <f aca="false">Q78</f>
        <v>1+1</v>
      </c>
      <c r="H78" s="0" t="str">
        <f aca="false">IFERROR(LEFT(G78,1),"")</f>
        <v>1</v>
      </c>
      <c r="I78" s="0" t="n">
        <f aca="false">IF(LEN(G78)&gt;1,1,0)</f>
        <v>1</v>
      </c>
      <c r="J78" s="4" t="n">
        <v>46072</v>
      </c>
      <c r="K78" s="0" t="s">
        <v>10</v>
      </c>
      <c r="L78" s="0" t="s">
        <v>91</v>
      </c>
      <c r="M78" s="0" t="s">
        <v>226</v>
      </c>
      <c r="N78" s="0" t="s">
        <v>93</v>
      </c>
      <c r="O78" s="0" t="s">
        <v>617</v>
      </c>
      <c r="Q78" s="0" t="s">
        <v>270</v>
      </c>
      <c r="R78" s="0" t="n">
        <v>1</v>
      </c>
      <c r="S78" s="5" t="n">
        <v>585</v>
      </c>
      <c r="T78" s="0" t="s">
        <v>243</v>
      </c>
      <c r="U78" s="0" t="n">
        <v>0</v>
      </c>
      <c r="V78" s="0" t="s">
        <v>230</v>
      </c>
      <c r="W78" s="0" t="s">
        <v>244</v>
      </c>
      <c r="X78" s="0" t="s">
        <v>232</v>
      </c>
      <c r="Y78" s="0" t="s">
        <v>253</v>
      </c>
      <c r="Z78" s="0" t="s">
        <v>234</v>
      </c>
      <c r="AA78" s="0" t="s">
        <v>235</v>
      </c>
      <c r="AB78" s="32" t="n">
        <v>2450</v>
      </c>
      <c r="AC78" s="32" t="n">
        <v>2450</v>
      </c>
      <c r="AD78" s="26" t="n">
        <f aca="false">IFERROR(AB78/B78,"")</f>
        <v>4.18803418803419</v>
      </c>
      <c r="AE78" s="26" t="n">
        <f aca="false">IFERROR(AC78/B78,"")</f>
        <v>4.18803418803419</v>
      </c>
      <c r="AF78" s="0" t="s">
        <v>236</v>
      </c>
      <c r="AG78" s="0" t="s">
        <v>236</v>
      </c>
      <c r="AH78" s="0" t="s">
        <v>230</v>
      </c>
      <c r="AI78" s="0" t="s">
        <v>618</v>
      </c>
      <c r="AJ78" s="0" t="s">
        <v>619</v>
      </c>
      <c r="AK78" s="0" t="s">
        <v>620</v>
      </c>
      <c r="AL78" s="0" t="s">
        <v>621</v>
      </c>
      <c r="AM78" s="0" t="s">
        <v>94</v>
      </c>
      <c r="AN78" s="26" t="n">
        <f aca="false">IFERROR(E78*(1+IF(AM78="Apartment",Data_Summary!$C$3,0)),"")</f>
        <v>4.18803418803419</v>
      </c>
      <c r="AO78" s="4" t="n">
        <v>46195</v>
      </c>
    </row>
    <row r="79" customFormat="false" ht="15" hidden="false" customHeight="false" outlineLevel="0" collapsed="false">
      <c r="A79" s="0" t="n">
        <f aca="false">IF(AND(ISNUMBER(B79),B79&gt;0,ISNUMBER(AB79),AB79&gt;0,J79&gt;=Data_Summary!$C$1),1,0)</f>
        <v>1</v>
      </c>
      <c r="B79" s="30" t="n">
        <v>550</v>
      </c>
      <c r="C79" s="5" t="n">
        <f aca="false">IF(ISNUMBER(AB79),AB79,"")</f>
        <v>2295</v>
      </c>
      <c r="D79" s="0" t="n">
        <f aca="false">IF(ISNUMBER(C79),C79-U79*Data_Summary!$C$2,"")</f>
        <v>2295</v>
      </c>
      <c r="E79" s="31" t="n">
        <f aca="false">IFERROR(C79/B79,"")</f>
        <v>4.17272727272727</v>
      </c>
      <c r="F79" s="26" t="n">
        <f aca="false">IFERROR(D79/B79,"")</f>
        <v>4.17272727272727</v>
      </c>
      <c r="G79" s="0" t="str">
        <f aca="false">Q79</f>
        <v>1+1</v>
      </c>
      <c r="H79" s="0" t="str">
        <f aca="false">IFERROR(LEFT(G79,1),"")</f>
        <v>1</v>
      </c>
      <c r="I79" s="0" t="n">
        <f aca="false">IF(LEN(G79)&gt;1,1,0)</f>
        <v>1</v>
      </c>
      <c r="J79" s="4" t="n">
        <v>46071</v>
      </c>
      <c r="K79" s="0" t="s">
        <v>10</v>
      </c>
      <c r="L79" s="0" t="s">
        <v>91</v>
      </c>
      <c r="M79" s="0" t="s">
        <v>226</v>
      </c>
      <c r="N79" s="0" t="s">
        <v>93</v>
      </c>
      <c r="O79" s="0" t="s">
        <v>622</v>
      </c>
      <c r="Q79" s="0" t="s">
        <v>270</v>
      </c>
      <c r="R79" s="0" t="n">
        <v>1</v>
      </c>
      <c r="S79" s="5" t="n">
        <v>550</v>
      </c>
      <c r="T79" s="0" t="s">
        <v>243</v>
      </c>
      <c r="U79" s="0" t="n">
        <v>0</v>
      </c>
      <c r="V79" s="0" t="s">
        <v>230</v>
      </c>
      <c r="W79" s="0" t="s">
        <v>244</v>
      </c>
      <c r="X79" s="0" t="s">
        <v>232</v>
      </c>
      <c r="Y79" s="0" t="s">
        <v>253</v>
      </c>
      <c r="Z79" s="0" t="s">
        <v>234</v>
      </c>
      <c r="AA79" s="0" t="s">
        <v>235</v>
      </c>
      <c r="AB79" s="32" t="n">
        <v>2295</v>
      </c>
      <c r="AC79" s="32" t="n">
        <v>2295</v>
      </c>
      <c r="AD79" s="26" t="n">
        <f aca="false">IFERROR(AB79/B79,"")</f>
        <v>4.17272727272727</v>
      </c>
      <c r="AE79" s="26" t="n">
        <f aca="false">IFERROR(AC79/B79,"")</f>
        <v>4.17272727272727</v>
      </c>
      <c r="AF79" s="0" t="s">
        <v>236</v>
      </c>
      <c r="AG79" s="0" t="s">
        <v>236</v>
      </c>
      <c r="AH79" s="0" t="s">
        <v>230</v>
      </c>
      <c r="AI79" s="0" t="s">
        <v>623</v>
      </c>
      <c r="AJ79" s="0" t="s">
        <v>624</v>
      </c>
      <c r="AK79" s="0" t="s">
        <v>625</v>
      </c>
      <c r="AL79" s="0" t="s">
        <v>626</v>
      </c>
      <c r="AM79" s="0" t="s">
        <v>94</v>
      </c>
      <c r="AN79" s="26" t="n">
        <f aca="false">IFERROR(E79*(1+IF(AM79="Apartment",Data_Summary!$C$3,0)),"")</f>
        <v>4.17272727272727</v>
      </c>
      <c r="AO79" s="4" t="n">
        <v>46195</v>
      </c>
    </row>
    <row r="80" customFormat="false" ht="15" hidden="false" customHeight="false" outlineLevel="0" collapsed="false">
      <c r="A80" s="0" t="n">
        <f aca="false">IF(AND(ISNUMBER(B80),B80&gt;0,ISNUMBER(AB80),AB80&gt;0,J80&gt;=Data_Summary!$C$1),1,0)</f>
        <v>1</v>
      </c>
      <c r="B80" s="30" t="n">
        <v>740</v>
      </c>
      <c r="C80" s="5" t="n">
        <f aca="false">IF(ISNUMBER(AB80),AB80,"")</f>
        <v>3200</v>
      </c>
      <c r="D80" s="0" t="n">
        <f aca="false">IF(ISNUMBER(C80),C80-U80*Data_Summary!$C$2,"")</f>
        <v>3200</v>
      </c>
      <c r="E80" s="31" t="n">
        <f aca="false">IFERROR(C80/B80,"")</f>
        <v>4.32432432432433</v>
      </c>
      <c r="F80" s="26" t="n">
        <f aca="false">IFERROR(D80/B80,"")</f>
        <v>4.32432432432433</v>
      </c>
      <c r="G80" s="0" t="str">
        <f aca="false">Q80</f>
        <v>2</v>
      </c>
      <c r="H80" s="0" t="str">
        <f aca="false">IFERROR(LEFT(G80,1),"")</f>
        <v>2</v>
      </c>
      <c r="I80" s="0" t="n">
        <f aca="false">IF(LEN(G80)&gt;1,1,0)</f>
        <v>0</v>
      </c>
      <c r="J80" s="4" t="n">
        <v>46064</v>
      </c>
      <c r="K80" s="0" t="s">
        <v>10</v>
      </c>
      <c r="L80" s="0" t="s">
        <v>91</v>
      </c>
      <c r="M80" s="0" t="s">
        <v>226</v>
      </c>
      <c r="N80" s="0" t="s">
        <v>93</v>
      </c>
      <c r="O80" s="0" t="s">
        <v>627</v>
      </c>
      <c r="Q80" s="0" t="s">
        <v>251</v>
      </c>
      <c r="R80" s="0" t="n">
        <v>2</v>
      </c>
      <c r="S80" s="5" t="n">
        <v>740</v>
      </c>
      <c r="T80" s="0" t="s">
        <v>252</v>
      </c>
      <c r="U80" s="0" t="n">
        <v>0</v>
      </c>
      <c r="V80" s="0" t="s">
        <v>230</v>
      </c>
      <c r="W80" s="0" t="s">
        <v>244</v>
      </c>
      <c r="X80" s="0" t="s">
        <v>232</v>
      </c>
      <c r="Y80" s="0" t="s">
        <v>308</v>
      </c>
      <c r="Z80" s="0" t="s">
        <v>234</v>
      </c>
      <c r="AA80" s="0" t="s">
        <v>235</v>
      </c>
      <c r="AB80" s="32" t="n">
        <v>3200</v>
      </c>
      <c r="AC80" s="32" t="n">
        <v>3300</v>
      </c>
      <c r="AD80" s="26" t="n">
        <f aca="false">IFERROR(AB80/B80,"")</f>
        <v>4.32432432432433</v>
      </c>
      <c r="AE80" s="26" t="n">
        <f aca="false">IFERROR(AC80/B80,"")</f>
        <v>4.45945945945946</v>
      </c>
      <c r="AF80" s="0" t="s">
        <v>236</v>
      </c>
      <c r="AG80" s="0" t="s">
        <v>236</v>
      </c>
      <c r="AH80" s="0" t="s">
        <v>230</v>
      </c>
      <c r="AI80" s="0" t="s">
        <v>628</v>
      </c>
      <c r="AJ80" s="0" t="s">
        <v>629</v>
      </c>
      <c r="AK80" s="0" t="s">
        <v>630</v>
      </c>
      <c r="AL80" s="0" t="s">
        <v>631</v>
      </c>
      <c r="AM80" s="0" t="s">
        <v>94</v>
      </c>
      <c r="AN80" s="26" t="n">
        <f aca="false">IFERROR(E80*(1+IF(AM80="Apartment",Data_Summary!$C$3,0)),"")</f>
        <v>4.32432432432433</v>
      </c>
      <c r="AO80" s="4" t="n">
        <v>46195</v>
      </c>
    </row>
    <row r="81" customFormat="false" ht="15" hidden="false" customHeight="false" outlineLevel="0" collapsed="false">
      <c r="A81" s="0" t="n">
        <f aca="false">IF(AND(ISNUMBER(B81),B81&gt;0,ISNUMBER(AB81),AB81&gt;0,J81&gt;=Data_Summary!$C$1),1,0)</f>
        <v>1</v>
      </c>
      <c r="B81" s="30" t="n">
        <v>535</v>
      </c>
      <c r="C81" s="5" t="n">
        <f aca="false">IF(ISNUMBER(AB81),AB81,"")</f>
        <v>2300</v>
      </c>
      <c r="D81" s="0" t="n">
        <f aca="false">IF(ISNUMBER(C81),C81-U81*Data_Summary!$C$2,"")</f>
        <v>2300</v>
      </c>
      <c r="E81" s="31" t="n">
        <f aca="false">IFERROR(C81/B81,"")</f>
        <v>4.29906542056075</v>
      </c>
      <c r="F81" s="26" t="n">
        <f aca="false">IFERROR(D81/B81,"")</f>
        <v>4.29906542056075</v>
      </c>
      <c r="G81" s="0" t="str">
        <f aca="false">Q81</f>
        <v>1</v>
      </c>
      <c r="H81" s="0" t="str">
        <f aca="false">IFERROR(LEFT(G81,1),"")</f>
        <v>1</v>
      </c>
      <c r="I81" s="0" t="n">
        <f aca="false">IF(LEN(G81)&gt;1,1,0)</f>
        <v>0</v>
      </c>
      <c r="J81" s="4" t="n">
        <v>46061</v>
      </c>
      <c r="K81" s="0" t="s">
        <v>10</v>
      </c>
      <c r="L81" s="0" t="s">
        <v>91</v>
      </c>
      <c r="M81" s="0" t="s">
        <v>226</v>
      </c>
      <c r="N81" s="0" t="s">
        <v>93</v>
      </c>
      <c r="O81" s="0" t="s">
        <v>632</v>
      </c>
      <c r="Q81" s="0" t="s">
        <v>242</v>
      </c>
      <c r="R81" s="0" t="n">
        <v>1</v>
      </c>
      <c r="S81" s="5" t="n">
        <v>535</v>
      </c>
      <c r="T81" s="0" t="s">
        <v>243</v>
      </c>
      <c r="U81" s="0" t="n">
        <v>0</v>
      </c>
      <c r="V81" s="0" t="s">
        <v>230</v>
      </c>
      <c r="W81" s="0" t="s">
        <v>244</v>
      </c>
      <c r="X81" s="0" t="s">
        <v>232</v>
      </c>
      <c r="Y81" s="0" t="s">
        <v>272</v>
      </c>
      <c r="Z81" s="0" t="s">
        <v>234</v>
      </c>
      <c r="AA81" s="0" t="s">
        <v>235</v>
      </c>
      <c r="AB81" s="32" t="n">
        <v>2300</v>
      </c>
      <c r="AC81" s="32" t="n">
        <v>2300</v>
      </c>
      <c r="AD81" s="26" t="n">
        <f aca="false">IFERROR(AB81/B81,"")</f>
        <v>4.29906542056075</v>
      </c>
      <c r="AE81" s="26" t="n">
        <f aca="false">IFERROR(AC81/B81,"")</f>
        <v>4.29906542056075</v>
      </c>
      <c r="AF81" s="0" t="s">
        <v>236</v>
      </c>
      <c r="AG81" s="0" t="s">
        <v>236</v>
      </c>
      <c r="AH81" s="0" t="s">
        <v>236</v>
      </c>
      <c r="AI81" s="0" t="s">
        <v>633</v>
      </c>
      <c r="AJ81" s="0" t="s">
        <v>634</v>
      </c>
      <c r="AK81" s="0" t="s">
        <v>635</v>
      </c>
      <c r="AL81" s="0" t="s">
        <v>636</v>
      </c>
      <c r="AM81" s="0" t="s">
        <v>94</v>
      </c>
      <c r="AN81" s="26" t="n">
        <f aca="false">IFERROR(E81*(1+IF(AM81="Apartment",Data_Summary!$C$3,0)),"")</f>
        <v>4.29906542056075</v>
      </c>
      <c r="AO81" s="4" t="n">
        <v>46195</v>
      </c>
    </row>
    <row r="82" customFormat="false" ht="15" hidden="false" customHeight="false" outlineLevel="0" collapsed="false">
      <c r="A82" s="0" t="n">
        <f aca="false">IF(AND(ISNUMBER(B82),B82&gt;0,ISNUMBER(AB82),AB82&gt;0,J82&gt;=Data_Summary!$C$1),1,0)</f>
        <v>1</v>
      </c>
      <c r="B82" s="30" t="n">
        <v>1051</v>
      </c>
      <c r="C82" s="5" t="n">
        <f aca="false">IF(ISNUMBER(AB82),AB82,"")</f>
        <v>3800</v>
      </c>
      <c r="D82" s="0" t="n">
        <f aca="false">IF(ISNUMBER(C82),C82-U82*Data_Summary!$C$2,"")</f>
        <v>3800</v>
      </c>
      <c r="E82" s="31" t="n">
        <f aca="false">IFERROR(C82/B82,"")</f>
        <v>3.61560418648906</v>
      </c>
      <c r="F82" s="26" t="n">
        <f aca="false">IFERROR(D82/B82,"")</f>
        <v>3.61560418648906</v>
      </c>
      <c r="G82" s="0" t="str">
        <f aca="false">Q82</f>
        <v>3</v>
      </c>
      <c r="H82" s="0" t="str">
        <f aca="false">IFERROR(LEFT(G82,1),"")</f>
        <v>3</v>
      </c>
      <c r="I82" s="0" t="n">
        <f aca="false">IF(LEN(G82)&gt;1,1,0)</f>
        <v>0</v>
      </c>
      <c r="J82" s="4" t="n">
        <v>46058</v>
      </c>
      <c r="K82" s="0" t="s">
        <v>10</v>
      </c>
      <c r="L82" s="0" t="s">
        <v>91</v>
      </c>
      <c r="M82" s="0" t="s">
        <v>226</v>
      </c>
      <c r="N82" s="0" t="s">
        <v>93</v>
      </c>
      <c r="O82" s="0" t="s">
        <v>637</v>
      </c>
      <c r="Q82" s="0" t="s">
        <v>228</v>
      </c>
      <c r="R82" s="0" t="n">
        <v>2</v>
      </c>
      <c r="S82" s="5" t="n">
        <v>1051</v>
      </c>
      <c r="T82" s="0" t="s">
        <v>265</v>
      </c>
      <c r="U82" s="0" t="n">
        <v>0</v>
      </c>
      <c r="V82" s="0" t="s">
        <v>230</v>
      </c>
      <c r="W82" s="0" t="s">
        <v>244</v>
      </c>
      <c r="X82" s="0" t="s">
        <v>232</v>
      </c>
      <c r="Y82" s="0" t="s">
        <v>253</v>
      </c>
      <c r="Z82" s="0" t="s">
        <v>234</v>
      </c>
      <c r="AA82" s="0" t="s">
        <v>235</v>
      </c>
      <c r="AB82" s="32" t="n">
        <v>3800</v>
      </c>
      <c r="AC82" s="32" t="n">
        <v>4000</v>
      </c>
      <c r="AD82" s="26" t="n">
        <f aca="false">IFERROR(AB82/B82,"")</f>
        <v>3.61560418648906</v>
      </c>
      <c r="AE82" s="26" t="n">
        <f aca="false">IFERROR(AC82/B82,"")</f>
        <v>3.80589914367269</v>
      </c>
      <c r="AF82" s="0" t="s">
        <v>236</v>
      </c>
      <c r="AG82" s="0" t="s">
        <v>236</v>
      </c>
      <c r="AH82" s="0" t="s">
        <v>230</v>
      </c>
      <c r="AI82" s="0" t="s">
        <v>638</v>
      </c>
      <c r="AJ82" s="0" t="s">
        <v>639</v>
      </c>
      <c r="AK82" s="0" t="s">
        <v>640</v>
      </c>
      <c r="AL82" s="0" t="s">
        <v>641</v>
      </c>
      <c r="AM82" s="0" t="s">
        <v>94</v>
      </c>
      <c r="AN82" s="26" t="n">
        <f aca="false">IFERROR(E82*(1+IF(AM82="Apartment",Data_Summary!$C$3,0)),"")</f>
        <v>3.61560418648906</v>
      </c>
      <c r="AO82" s="4" t="n">
        <v>46195</v>
      </c>
    </row>
    <row r="83" customFormat="false" ht="15" hidden="false" customHeight="false" outlineLevel="0" collapsed="false">
      <c r="A83" s="0" t="n">
        <f aca="false">IF(AND(ISNUMBER(B83),B83&gt;0,ISNUMBER(AB83),AB83&gt;0,J83&gt;=Data_Summary!$C$1),1,0)</f>
        <v>1</v>
      </c>
      <c r="B83" s="30" t="n">
        <v>706</v>
      </c>
      <c r="C83" s="5" t="n">
        <f aca="false">IF(ISNUMBER(AB83),AB83,"")</f>
        <v>2850</v>
      </c>
      <c r="D83" s="0" t="n">
        <f aca="false">IF(ISNUMBER(C83),C83-U83*Data_Summary!$C$2,"")</f>
        <v>2850</v>
      </c>
      <c r="E83" s="31" t="n">
        <f aca="false">IFERROR(C83/B83,"")</f>
        <v>4.03682719546742</v>
      </c>
      <c r="F83" s="26" t="n">
        <f aca="false">IFERROR(D83/B83,"")</f>
        <v>4.03682719546742</v>
      </c>
      <c r="G83" s="0" t="str">
        <f aca="false">Q83</f>
        <v>2</v>
      </c>
      <c r="H83" s="0" t="str">
        <f aca="false">IFERROR(LEFT(G83,1),"")</f>
        <v>2</v>
      </c>
      <c r="I83" s="0" t="n">
        <f aca="false">IF(LEN(G83)&gt;1,1,0)</f>
        <v>0</v>
      </c>
      <c r="J83" s="4" t="n">
        <v>46055</v>
      </c>
      <c r="K83" s="0" t="s">
        <v>10</v>
      </c>
      <c r="L83" s="0" t="s">
        <v>91</v>
      </c>
      <c r="M83" s="0" t="s">
        <v>226</v>
      </c>
      <c r="N83" s="0" t="s">
        <v>93</v>
      </c>
      <c r="O83" s="0" t="s">
        <v>642</v>
      </c>
      <c r="Q83" s="0" t="s">
        <v>251</v>
      </c>
      <c r="R83" s="0" t="n">
        <v>1</v>
      </c>
      <c r="S83" s="5" t="n">
        <v>706</v>
      </c>
      <c r="T83" s="0" t="s">
        <v>252</v>
      </c>
      <c r="U83" s="0" t="n">
        <v>0</v>
      </c>
      <c r="V83" s="0" t="s">
        <v>230</v>
      </c>
      <c r="W83" s="0" t="s">
        <v>244</v>
      </c>
      <c r="X83" s="0" t="s">
        <v>232</v>
      </c>
      <c r="Y83" s="0" t="s">
        <v>272</v>
      </c>
      <c r="Z83" s="0" t="s">
        <v>234</v>
      </c>
      <c r="AA83" s="0" t="s">
        <v>235</v>
      </c>
      <c r="AB83" s="32" t="n">
        <v>2850</v>
      </c>
      <c r="AC83" s="32" t="n">
        <v>2850</v>
      </c>
      <c r="AD83" s="26" t="n">
        <f aca="false">IFERROR(AB83/B83,"")</f>
        <v>4.03682719546742</v>
      </c>
      <c r="AE83" s="26" t="n">
        <f aca="false">IFERROR(AC83/B83,"")</f>
        <v>4.03682719546742</v>
      </c>
      <c r="AF83" s="0" t="s">
        <v>236</v>
      </c>
      <c r="AG83" s="0" t="s">
        <v>236</v>
      </c>
      <c r="AH83" s="0" t="s">
        <v>236</v>
      </c>
      <c r="AI83" s="0" t="s">
        <v>643</v>
      </c>
      <c r="AJ83" s="0" t="s">
        <v>644</v>
      </c>
      <c r="AK83" s="0" t="s">
        <v>645</v>
      </c>
      <c r="AL83" s="0" t="s">
        <v>646</v>
      </c>
      <c r="AM83" s="0" t="s">
        <v>94</v>
      </c>
      <c r="AN83" s="26" t="n">
        <f aca="false">IFERROR(E83*(1+IF(AM83="Apartment",Data_Summary!$C$3,0)),"")</f>
        <v>4.03682719546742</v>
      </c>
      <c r="AO83" s="4" t="n">
        <v>46195</v>
      </c>
    </row>
    <row r="84" customFormat="false" ht="15" hidden="false" customHeight="false" outlineLevel="0" collapsed="false">
      <c r="A84" s="0" t="n">
        <f aca="false">IF(AND(ISNUMBER(B84),B84&gt;0,ISNUMBER(AB84),AB84&gt;0,J84&gt;=Data_Summary!$C$1),1,0)</f>
        <v>1</v>
      </c>
      <c r="B84" s="30" t="n">
        <v>535</v>
      </c>
      <c r="C84" s="5" t="n">
        <f aca="false">IF(ISNUMBER(AB84),AB84,"")</f>
        <v>2180</v>
      </c>
      <c r="D84" s="0" t="n">
        <f aca="false">IF(ISNUMBER(C84),C84-U84*Data_Summary!$C$2,"")</f>
        <v>2180</v>
      </c>
      <c r="E84" s="31" t="n">
        <f aca="false">IFERROR(C84/B84,"")</f>
        <v>4.07476635514019</v>
      </c>
      <c r="F84" s="26" t="n">
        <f aca="false">IFERROR(D84/B84,"")</f>
        <v>4.07476635514019</v>
      </c>
      <c r="G84" s="0" t="str">
        <f aca="false">Q84</f>
        <v>1</v>
      </c>
      <c r="H84" s="0" t="str">
        <f aca="false">IFERROR(LEFT(G84,1),"")</f>
        <v>1</v>
      </c>
      <c r="I84" s="0" t="n">
        <f aca="false">IF(LEN(G84)&gt;1,1,0)</f>
        <v>0</v>
      </c>
      <c r="J84" s="4" t="n">
        <v>46051</v>
      </c>
      <c r="K84" s="0" t="s">
        <v>10</v>
      </c>
      <c r="L84" s="0" t="s">
        <v>91</v>
      </c>
      <c r="M84" s="0" t="s">
        <v>226</v>
      </c>
      <c r="N84" s="0" t="s">
        <v>93</v>
      </c>
      <c r="O84" s="0" t="s">
        <v>647</v>
      </c>
      <c r="Q84" s="0" t="s">
        <v>242</v>
      </c>
      <c r="R84" s="0" t="n">
        <v>1</v>
      </c>
      <c r="S84" s="5" t="n">
        <v>535</v>
      </c>
      <c r="T84" s="0" t="s">
        <v>243</v>
      </c>
      <c r="U84" s="0" t="n">
        <v>0</v>
      </c>
      <c r="V84" s="0" t="s">
        <v>230</v>
      </c>
      <c r="W84" s="0" t="s">
        <v>244</v>
      </c>
      <c r="X84" s="0" t="s">
        <v>232</v>
      </c>
      <c r="Y84" s="0" t="s">
        <v>272</v>
      </c>
      <c r="Z84" s="0" t="s">
        <v>234</v>
      </c>
      <c r="AA84" s="0" t="s">
        <v>235</v>
      </c>
      <c r="AB84" s="32" t="n">
        <v>2180</v>
      </c>
      <c r="AC84" s="32" t="n">
        <v>2280</v>
      </c>
      <c r="AD84" s="26" t="n">
        <f aca="false">IFERROR(AB84/B84,"")</f>
        <v>4.07476635514019</v>
      </c>
      <c r="AE84" s="26" t="n">
        <f aca="false">IFERROR(AC84/B84,"")</f>
        <v>4.26168224299065</v>
      </c>
      <c r="AF84" s="0" t="s">
        <v>236</v>
      </c>
      <c r="AG84" s="0" t="s">
        <v>236</v>
      </c>
      <c r="AH84" s="0" t="s">
        <v>230</v>
      </c>
      <c r="AI84" s="0" t="s">
        <v>648</v>
      </c>
      <c r="AJ84" s="0" t="s">
        <v>649</v>
      </c>
      <c r="AK84" s="0" t="s">
        <v>650</v>
      </c>
      <c r="AL84" s="0" t="s">
        <v>651</v>
      </c>
      <c r="AM84" s="0" t="s">
        <v>94</v>
      </c>
      <c r="AN84" s="26" t="n">
        <f aca="false">IFERROR(E84*(1+IF(AM84="Apartment",Data_Summary!$C$3,0)),"")</f>
        <v>4.07476635514019</v>
      </c>
      <c r="AO84" s="4" t="n">
        <v>46195</v>
      </c>
    </row>
    <row r="85" customFormat="false" ht="15" hidden="false" customHeight="false" outlineLevel="0" collapsed="false">
      <c r="A85" s="0" t="n">
        <f aca="false">IF(AND(ISNUMBER(B85),B85&gt;0,ISNUMBER(AB85),AB85&gt;0,J85&gt;=Data_Summary!$C$1),1,0)</f>
        <v>1</v>
      </c>
      <c r="B85" s="33" t="n">
        <v>660</v>
      </c>
      <c r="C85" s="5" t="n">
        <f aca="false">IF(ISNUMBER(AB85),AB85,"")</f>
        <v>2400</v>
      </c>
      <c r="D85" s="0" t="n">
        <f aca="false">IF(ISNUMBER(C85),C85-U85*Data_Summary!$C$2,"")</f>
        <v>2400</v>
      </c>
      <c r="E85" s="34" t="n">
        <f aca="false">IFERROR(C85/B85,"")</f>
        <v>3.63636363636364</v>
      </c>
      <c r="F85" s="26" t="n">
        <f aca="false">IFERROR(D85/B85,"")</f>
        <v>3.63636363636364</v>
      </c>
      <c r="G85" s="0" t="str">
        <f aca="false">Q85</f>
        <v>1</v>
      </c>
      <c r="H85" s="0" t="str">
        <f aca="false">IFERROR(LEFT(G85,1),"")</f>
        <v>1</v>
      </c>
      <c r="I85" s="0" t="n">
        <f aca="false">IF(LEN(G85)&gt;1,1,0)</f>
        <v>0</v>
      </c>
      <c r="J85" s="4" t="n">
        <v>46042</v>
      </c>
      <c r="K85" s="0" t="s">
        <v>10</v>
      </c>
      <c r="L85" s="0" t="s">
        <v>91</v>
      </c>
      <c r="M85" s="0" t="s">
        <v>226</v>
      </c>
      <c r="N85" s="0" t="s">
        <v>93</v>
      </c>
      <c r="O85" s="0" t="s">
        <v>652</v>
      </c>
      <c r="Q85" s="0" t="s">
        <v>242</v>
      </c>
      <c r="R85" s="0" t="n">
        <v>1</v>
      </c>
      <c r="S85" s="5" t="n">
        <v>660</v>
      </c>
      <c r="T85" s="0" t="s">
        <v>252</v>
      </c>
      <c r="U85" s="0" t="n">
        <v>0</v>
      </c>
      <c r="V85" s="0" t="s">
        <v>230</v>
      </c>
      <c r="W85" s="0" t="s">
        <v>244</v>
      </c>
      <c r="X85" s="0" t="s">
        <v>232</v>
      </c>
      <c r="Y85" s="0" t="s">
        <v>272</v>
      </c>
      <c r="Z85" s="0" t="s">
        <v>234</v>
      </c>
      <c r="AA85" s="0" t="s">
        <v>235</v>
      </c>
      <c r="AB85" s="32" t="n">
        <v>2400</v>
      </c>
      <c r="AC85" s="32" t="n">
        <v>2400</v>
      </c>
      <c r="AD85" s="26" t="n">
        <f aca="false">IFERROR(AB85/B85,"")</f>
        <v>3.63636363636364</v>
      </c>
      <c r="AE85" s="26" t="n">
        <f aca="false">IFERROR(AC85/B85,"")</f>
        <v>3.63636363636364</v>
      </c>
      <c r="AF85" s="0" t="s">
        <v>236</v>
      </c>
      <c r="AG85" s="0" t="s">
        <v>236</v>
      </c>
      <c r="AH85" s="0" t="s">
        <v>230</v>
      </c>
      <c r="AI85" s="0" t="s">
        <v>653</v>
      </c>
      <c r="AJ85" s="0" t="s">
        <v>654</v>
      </c>
      <c r="AK85" s="0" t="s">
        <v>655</v>
      </c>
      <c r="AL85" s="0" t="s">
        <v>656</v>
      </c>
      <c r="AM85" s="0" t="s">
        <v>94</v>
      </c>
      <c r="AN85" s="26" t="n">
        <f aca="false">IFERROR(E85*(1+IF(AM85="Apartment",Data_Summary!$C$3,0)),"")</f>
        <v>3.63636363636364</v>
      </c>
      <c r="AO85" s="4" t="n">
        <v>46195</v>
      </c>
    </row>
    <row r="86" customFormat="false" ht="15" hidden="false" customHeight="false" outlineLevel="0" collapsed="false">
      <c r="A86" s="0" t="n">
        <f aca="false">IF(AND(ISNUMBER(B86),B86&gt;0,ISNUMBER(AB86),AB86&gt;0,J86&gt;=Data_Summary!$C$1),1,0)</f>
        <v>1</v>
      </c>
      <c r="B86" s="30" t="n">
        <v>585</v>
      </c>
      <c r="C86" s="5" t="n">
        <f aca="false">IF(ISNUMBER(AB86),AB86,"")</f>
        <v>2400</v>
      </c>
      <c r="D86" s="0" t="n">
        <f aca="false">IF(ISNUMBER(C86),C86-U86*Data_Summary!$C$2,"")</f>
        <v>2400</v>
      </c>
      <c r="E86" s="31" t="n">
        <f aca="false">IFERROR(C86/B86,"")</f>
        <v>4.1025641025641</v>
      </c>
      <c r="F86" s="26" t="n">
        <f aca="false">IFERROR(D86/B86,"")</f>
        <v>4.1025641025641</v>
      </c>
      <c r="G86" s="0" t="str">
        <f aca="false">Q86</f>
        <v>1+1</v>
      </c>
      <c r="H86" s="0" t="str">
        <f aca="false">IFERROR(LEFT(G86,1),"")</f>
        <v>1</v>
      </c>
      <c r="I86" s="0" t="n">
        <f aca="false">IF(LEN(G86)&gt;1,1,0)</f>
        <v>1</v>
      </c>
      <c r="J86" s="4" t="n">
        <v>46041</v>
      </c>
      <c r="K86" s="0" t="s">
        <v>10</v>
      </c>
      <c r="L86" s="0" t="s">
        <v>91</v>
      </c>
      <c r="M86" s="0" t="s">
        <v>226</v>
      </c>
      <c r="N86" s="0" t="s">
        <v>93</v>
      </c>
      <c r="O86" s="0" t="s">
        <v>657</v>
      </c>
      <c r="Q86" s="0" t="s">
        <v>270</v>
      </c>
      <c r="R86" s="0" t="n">
        <v>1</v>
      </c>
      <c r="S86" s="5" t="n">
        <v>585</v>
      </c>
      <c r="T86" s="0" t="s">
        <v>243</v>
      </c>
      <c r="U86" s="0" t="n">
        <v>0</v>
      </c>
      <c r="V86" s="0" t="s">
        <v>230</v>
      </c>
      <c r="W86" s="0" t="s">
        <v>244</v>
      </c>
      <c r="X86" s="0" t="s">
        <v>232</v>
      </c>
      <c r="Y86" s="0" t="s">
        <v>272</v>
      </c>
      <c r="Z86" s="0" t="s">
        <v>234</v>
      </c>
      <c r="AA86" s="0" t="s">
        <v>235</v>
      </c>
      <c r="AB86" s="32" t="n">
        <v>2400</v>
      </c>
      <c r="AC86" s="32" t="n">
        <v>2500</v>
      </c>
      <c r="AD86" s="26" t="n">
        <f aca="false">IFERROR(AB86/B86,"")</f>
        <v>4.1025641025641</v>
      </c>
      <c r="AE86" s="26" t="n">
        <f aca="false">IFERROR(AC86/B86,"")</f>
        <v>4.27350427350427</v>
      </c>
      <c r="AF86" s="0" t="s">
        <v>236</v>
      </c>
      <c r="AG86" s="0" t="s">
        <v>236</v>
      </c>
      <c r="AH86" s="0" t="s">
        <v>230</v>
      </c>
      <c r="AI86" s="0" t="s">
        <v>658</v>
      </c>
      <c r="AJ86" s="0" t="s">
        <v>659</v>
      </c>
      <c r="AK86" s="0" t="s">
        <v>660</v>
      </c>
      <c r="AL86" s="0" t="s">
        <v>661</v>
      </c>
      <c r="AM86" s="0" t="s">
        <v>94</v>
      </c>
      <c r="AN86" s="26" t="n">
        <f aca="false">IFERROR(E86*(1+IF(AM86="Apartment",Data_Summary!$C$3,0)),"")</f>
        <v>4.1025641025641</v>
      </c>
      <c r="AO86" s="4" t="n">
        <v>46195</v>
      </c>
    </row>
    <row r="87" customFormat="false" ht="15" hidden="false" customHeight="false" outlineLevel="0" collapsed="false">
      <c r="A87" s="0" t="n">
        <f aca="false">IF(AND(ISNUMBER(B87),B87&gt;0,ISNUMBER(AB87),AB87&gt;0,J87&gt;=Data_Summary!$C$1),1,0)</f>
        <v>1</v>
      </c>
      <c r="B87" s="30" t="n">
        <v>585</v>
      </c>
      <c r="C87" s="5" t="n">
        <f aca="false">IF(ISNUMBER(AB87),AB87,"")</f>
        <v>2300</v>
      </c>
      <c r="D87" s="0" t="n">
        <f aca="false">IF(ISNUMBER(C87),C87-U87*Data_Summary!$C$2,"")</f>
        <v>2300</v>
      </c>
      <c r="E87" s="31" t="n">
        <f aca="false">IFERROR(C87/B87,"")</f>
        <v>3.93162393162393</v>
      </c>
      <c r="F87" s="26" t="n">
        <f aca="false">IFERROR(D87/B87,"")</f>
        <v>3.93162393162393</v>
      </c>
      <c r="G87" s="0" t="str">
        <f aca="false">Q87</f>
        <v>1+1</v>
      </c>
      <c r="H87" s="0" t="str">
        <f aca="false">IFERROR(LEFT(G87,1),"")</f>
        <v>1</v>
      </c>
      <c r="I87" s="0" t="n">
        <f aca="false">IF(LEN(G87)&gt;1,1,0)</f>
        <v>1</v>
      </c>
      <c r="J87" s="4" t="n">
        <v>46038</v>
      </c>
      <c r="K87" s="0" t="s">
        <v>10</v>
      </c>
      <c r="L87" s="0" t="s">
        <v>91</v>
      </c>
      <c r="M87" s="0" t="s">
        <v>226</v>
      </c>
      <c r="N87" s="0" t="s">
        <v>93</v>
      </c>
      <c r="O87" s="0" t="s">
        <v>662</v>
      </c>
      <c r="Q87" s="0" t="s">
        <v>270</v>
      </c>
      <c r="R87" s="0" t="n">
        <v>1</v>
      </c>
      <c r="S87" s="5" t="n">
        <v>585</v>
      </c>
      <c r="T87" s="0" t="s">
        <v>243</v>
      </c>
      <c r="U87" s="0" t="n">
        <v>0</v>
      </c>
      <c r="V87" s="0" t="s">
        <v>230</v>
      </c>
      <c r="W87" s="0" t="s">
        <v>244</v>
      </c>
      <c r="X87" s="0" t="s">
        <v>232</v>
      </c>
      <c r="Y87" s="0" t="s">
        <v>272</v>
      </c>
      <c r="Z87" s="0" t="s">
        <v>234</v>
      </c>
      <c r="AA87" s="0" t="s">
        <v>235</v>
      </c>
      <c r="AB87" s="32" t="n">
        <v>2300</v>
      </c>
      <c r="AC87" s="32" t="n">
        <v>2300</v>
      </c>
      <c r="AD87" s="26" t="n">
        <f aca="false">IFERROR(AB87/B87,"")</f>
        <v>3.93162393162393</v>
      </c>
      <c r="AE87" s="26" t="n">
        <f aca="false">IFERROR(AC87/B87,"")</f>
        <v>3.93162393162393</v>
      </c>
      <c r="AF87" s="0" t="s">
        <v>236</v>
      </c>
      <c r="AG87" s="0" t="s">
        <v>236</v>
      </c>
      <c r="AH87" s="0" t="s">
        <v>230</v>
      </c>
      <c r="AI87" s="0" t="s">
        <v>663</v>
      </c>
      <c r="AJ87" s="0" t="s">
        <v>664</v>
      </c>
      <c r="AK87" s="0" t="s">
        <v>665</v>
      </c>
      <c r="AL87" s="0" t="s">
        <v>666</v>
      </c>
      <c r="AM87" s="0" t="s">
        <v>94</v>
      </c>
      <c r="AN87" s="26" t="n">
        <f aca="false">IFERROR(E87*(1+IF(AM87="Apartment",Data_Summary!$C$3,0)),"")</f>
        <v>3.93162393162393</v>
      </c>
      <c r="AO87" s="4" t="n">
        <v>46195</v>
      </c>
    </row>
    <row r="88" customFormat="false" ht="15" hidden="false" customHeight="false" outlineLevel="0" collapsed="false">
      <c r="A88" s="0" t="n">
        <f aca="false">IF(AND(ISNUMBER(B88),B88&gt;0,ISNUMBER(AB88),AB88&gt;0,J88&gt;=Data_Summary!$C$1),1,0)</f>
        <v>1</v>
      </c>
      <c r="B88" s="30" t="n">
        <v>585</v>
      </c>
      <c r="C88" s="5" t="n">
        <f aca="false">IF(ISNUMBER(AB88),AB88,"")</f>
        <v>2400</v>
      </c>
      <c r="D88" s="0" t="n">
        <f aca="false">IF(ISNUMBER(C88),C88-U88*Data_Summary!$C$2,"")</f>
        <v>2400</v>
      </c>
      <c r="E88" s="31" t="n">
        <f aca="false">IFERROR(C88/B88,"")</f>
        <v>4.1025641025641</v>
      </c>
      <c r="F88" s="26" t="n">
        <f aca="false">IFERROR(D88/B88,"")</f>
        <v>4.1025641025641</v>
      </c>
      <c r="G88" s="0" t="str">
        <f aca="false">Q88</f>
        <v>1+1</v>
      </c>
      <c r="H88" s="0" t="str">
        <f aca="false">IFERROR(LEFT(G88,1),"")</f>
        <v>1</v>
      </c>
      <c r="I88" s="0" t="n">
        <f aca="false">IF(LEN(G88)&gt;1,1,0)</f>
        <v>1</v>
      </c>
      <c r="J88" s="4" t="n">
        <v>46036</v>
      </c>
      <c r="K88" s="0" t="s">
        <v>10</v>
      </c>
      <c r="L88" s="0" t="s">
        <v>91</v>
      </c>
      <c r="M88" s="0" t="s">
        <v>226</v>
      </c>
      <c r="N88" s="0" t="s">
        <v>93</v>
      </c>
      <c r="O88" s="0" t="s">
        <v>667</v>
      </c>
      <c r="Q88" s="0" t="s">
        <v>270</v>
      </c>
      <c r="R88" s="0" t="n">
        <v>1</v>
      </c>
      <c r="S88" s="5" t="n">
        <v>585</v>
      </c>
      <c r="T88" s="0" t="s">
        <v>243</v>
      </c>
      <c r="U88" s="0" t="n">
        <v>0</v>
      </c>
      <c r="V88" s="0" t="s">
        <v>230</v>
      </c>
      <c r="W88" s="0" t="s">
        <v>244</v>
      </c>
      <c r="X88" s="0" t="s">
        <v>232</v>
      </c>
      <c r="Y88" s="0" t="s">
        <v>272</v>
      </c>
      <c r="Z88" s="0" t="s">
        <v>234</v>
      </c>
      <c r="AA88" s="0" t="s">
        <v>235</v>
      </c>
      <c r="AB88" s="32" t="n">
        <v>2400</v>
      </c>
      <c r="AC88" s="32" t="n">
        <v>2400</v>
      </c>
      <c r="AD88" s="26" t="n">
        <f aca="false">IFERROR(AB88/B88,"")</f>
        <v>4.1025641025641</v>
      </c>
      <c r="AE88" s="26" t="n">
        <f aca="false">IFERROR(AC88/B88,"")</f>
        <v>4.1025641025641</v>
      </c>
      <c r="AF88" s="0" t="s">
        <v>236</v>
      </c>
      <c r="AG88" s="0" t="s">
        <v>236</v>
      </c>
      <c r="AH88" s="0" t="s">
        <v>230</v>
      </c>
      <c r="AI88" s="0" t="s">
        <v>668</v>
      </c>
      <c r="AJ88" s="0" t="s">
        <v>669</v>
      </c>
      <c r="AK88" s="0" t="s">
        <v>670</v>
      </c>
      <c r="AL88" s="0" t="s">
        <v>671</v>
      </c>
      <c r="AM88" s="0" t="s">
        <v>94</v>
      </c>
      <c r="AN88" s="26" t="n">
        <f aca="false">IFERROR(E88*(1+IF(AM88="Apartment",Data_Summary!$C$3,0)),"")</f>
        <v>4.1025641025641</v>
      </c>
      <c r="AO88" s="4" t="n">
        <v>46195</v>
      </c>
    </row>
    <row r="89" customFormat="false" ht="15" hidden="false" customHeight="false" outlineLevel="0" collapsed="false">
      <c r="A89" s="0" t="n">
        <f aca="false">IF(AND(ISNUMBER(B89),B89&gt;0,ISNUMBER(AB89),AB89&gt;0,J89&gt;=Data_Summary!$C$1),1,0)</f>
        <v>1</v>
      </c>
      <c r="B89" s="30" t="n">
        <v>492</v>
      </c>
      <c r="C89" s="5" t="n">
        <f aca="false">IF(ISNUMBER(AB89),AB89,"")</f>
        <v>2230</v>
      </c>
      <c r="D89" s="0" t="n">
        <f aca="false">IF(ISNUMBER(C89),C89-U89*Data_Summary!$C$2,"")</f>
        <v>2230</v>
      </c>
      <c r="E89" s="31" t="n">
        <f aca="false">IFERROR(C89/B89,"")</f>
        <v>4.53252032520325</v>
      </c>
      <c r="F89" s="26" t="n">
        <f aca="false">IFERROR(D89/B89,"")</f>
        <v>4.53252032520325</v>
      </c>
      <c r="G89" s="0" t="str">
        <f aca="false">Q89</f>
        <v>1</v>
      </c>
      <c r="H89" s="0" t="str">
        <f aca="false">IFERROR(LEFT(G89,1),"")</f>
        <v>1</v>
      </c>
      <c r="I89" s="0" t="n">
        <f aca="false">IF(LEN(G89)&gt;1,1,0)</f>
        <v>0</v>
      </c>
      <c r="J89" s="4" t="n">
        <v>46035</v>
      </c>
      <c r="K89" s="0" t="s">
        <v>10</v>
      </c>
      <c r="L89" s="0" t="s">
        <v>91</v>
      </c>
      <c r="M89" s="0" t="s">
        <v>226</v>
      </c>
      <c r="N89" s="0" t="s">
        <v>93</v>
      </c>
      <c r="O89" s="0" t="s">
        <v>672</v>
      </c>
      <c r="Q89" s="0" t="s">
        <v>242</v>
      </c>
      <c r="R89" s="0" t="n">
        <v>1</v>
      </c>
      <c r="S89" s="5" t="n">
        <v>492</v>
      </c>
      <c r="T89" s="0" t="s">
        <v>303</v>
      </c>
      <c r="U89" s="0" t="n">
        <v>0</v>
      </c>
      <c r="V89" s="0" t="s">
        <v>230</v>
      </c>
      <c r="W89" s="0" t="s">
        <v>244</v>
      </c>
      <c r="X89" s="0" t="s">
        <v>232</v>
      </c>
      <c r="Y89" s="0" t="s">
        <v>253</v>
      </c>
      <c r="Z89" s="0" t="s">
        <v>234</v>
      </c>
      <c r="AA89" s="0" t="s">
        <v>235</v>
      </c>
      <c r="AB89" s="32" t="n">
        <v>2230</v>
      </c>
      <c r="AC89" s="32" t="n">
        <v>2250</v>
      </c>
      <c r="AD89" s="26" t="n">
        <f aca="false">IFERROR(AB89/B89,"")</f>
        <v>4.53252032520325</v>
      </c>
      <c r="AE89" s="26" t="n">
        <f aca="false">IFERROR(AC89/B89,"")</f>
        <v>4.57317073170732</v>
      </c>
      <c r="AF89" s="0" t="s">
        <v>236</v>
      </c>
      <c r="AG89" s="0" t="s">
        <v>236</v>
      </c>
      <c r="AH89" s="0" t="s">
        <v>230</v>
      </c>
      <c r="AI89" s="0" t="s">
        <v>673</v>
      </c>
      <c r="AJ89" s="0" t="s">
        <v>674</v>
      </c>
      <c r="AK89" s="0" t="s">
        <v>675</v>
      </c>
      <c r="AL89" s="0" t="s">
        <v>676</v>
      </c>
      <c r="AM89" s="0" t="s">
        <v>94</v>
      </c>
      <c r="AN89" s="26" t="n">
        <f aca="false">IFERROR(E89*(1+IF(AM89="Apartment",Data_Summary!$C$3,0)),"")</f>
        <v>4.53252032520325</v>
      </c>
      <c r="AO89" s="4" t="n">
        <v>46195</v>
      </c>
    </row>
    <row r="90" customFormat="false" ht="15" hidden="false" customHeight="false" outlineLevel="0" collapsed="false">
      <c r="A90" s="0" t="n">
        <f aca="false">IF(AND(ISNUMBER(B90),B90&gt;0,ISNUMBER(AB90),AB90&gt;0,J90&gt;=Data_Summary!$C$1),1,0)</f>
        <v>1</v>
      </c>
      <c r="B90" s="30" t="n">
        <v>505</v>
      </c>
      <c r="C90" s="5" t="n">
        <f aca="false">IF(ISNUMBER(AB90),AB90,"")</f>
        <v>2300</v>
      </c>
      <c r="D90" s="0" t="n">
        <f aca="false">IF(ISNUMBER(C90),C90-U90*Data_Summary!$C$2,"")</f>
        <v>2300</v>
      </c>
      <c r="E90" s="31" t="n">
        <f aca="false">IFERROR(C90/B90,"")</f>
        <v>4.55445544554455</v>
      </c>
      <c r="F90" s="26" t="n">
        <f aca="false">IFERROR(D90/B90,"")</f>
        <v>4.55445544554455</v>
      </c>
      <c r="G90" s="0" t="str">
        <f aca="false">Q90</f>
        <v>1</v>
      </c>
      <c r="H90" s="0" t="str">
        <f aca="false">IFERROR(LEFT(G90,1),"")</f>
        <v>1</v>
      </c>
      <c r="I90" s="0" t="n">
        <f aca="false">IF(LEN(G90)&gt;1,1,0)</f>
        <v>0</v>
      </c>
      <c r="J90" s="4" t="n">
        <v>46034</v>
      </c>
      <c r="K90" s="0" t="s">
        <v>10</v>
      </c>
      <c r="L90" s="0" t="s">
        <v>91</v>
      </c>
      <c r="M90" s="0" t="s">
        <v>226</v>
      </c>
      <c r="N90" s="0" t="s">
        <v>93</v>
      </c>
      <c r="O90" s="0" t="s">
        <v>677</v>
      </c>
      <c r="Q90" s="0" t="s">
        <v>242</v>
      </c>
      <c r="R90" s="0" t="n">
        <v>1</v>
      </c>
      <c r="S90" s="5" t="n">
        <v>505</v>
      </c>
      <c r="T90" s="0" t="s">
        <v>243</v>
      </c>
      <c r="U90" s="0" t="n">
        <v>0</v>
      </c>
      <c r="V90" s="0" t="s">
        <v>230</v>
      </c>
      <c r="W90" s="0" t="s">
        <v>244</v>
      </c>
      <c r="X90" s="0" t="s">
        <v>232</v>
      </c>
      <c r="Y90" s="0" t="s">
        <v>253</v>
      </c>
      <c r="Z90" s="0" t="s">
        <v>234</v>
      </c>
      <c r="AA90" s="0" t="s">
        <v>235</v>
      </c>
      <c r="AB90" s="32" t="n">
        <v>2300</v>
      </c>
      <c r="AC90" s="32" t="n">
        <v>2320</v>
      </c>
      <c r="AD90" s="26" t="n">
        <f aca="false">IFERROR(AB90/B90,"")</f>
        <v>4.55445544554455</v>
      </c>
      <c r="AE90" s="26" t="n">
        <f aca="false">IFERROR(AC90/B90,"")</f>
        <v>4.59405940594059</v>
      </c>
      <c r="AF90" s="0" t="s">
        <v>236</v>
      </c>
      <c r="AG90" s="0" t="s">
        <v>236</v>
      </c>
      <c r="AH90" s="0" t="s">
        <v>236</v>
      </c>
      <c r="AI90" s="0" t="s">
        <v>678</v>
      </c>
      <c r="AJ90" s="0" t="s">
        <v>679</v>
      </c>
      <c r="AK90" s="0" t="s">
        <v>680</v>
      </c>
      <c r="AL90" s="0" t="s">
        <v>681</v>
      </c>
      <c r="AM90" s="0" t="s">
        <v>94</v>
      </c>
      <c r="AN90" s="26" t="n">
        <f aca="false">IFERROR(E90*(1+IF(AM90="Apartment",Data_Summary!$C$3,0)),"")</f>
        <v>4.55445544554455</v>
      </c>
      <c r="AO90" s="4" t="n">
        <v>46195</v>
      </c>
    </row>
    <row r="91" customFormat="false" ht="15" hidden="false" customHeight="false" outlineLevel="0" collapsed="false">
      <c r="A91" s="0" t="n">
        <f aca="false">IF(AND(ISNUMBER(B91),B91&gt;0,ISNUMBER(AB91),AB91&gt;0,J91&gt;=Data_Summary!$C$1),1,0)</f>
        <v>1</v>
      </c>
      <c r="B91" s="30" t="n">
        <v>492</v>
      </c>
      <c r="C91" s="5" t="n">
        <f aca="false">IF(ISNUMBER(AB91),AB91,"")</f>
        <v>2300</v>
      </c>
      <c r="D91" s="0" t="n">
        <f aca="false">IF(ISNUMBER(C91),C91-U91*Data_Summary!$C$2,"")</f>
        <v>2300</v>
      </c>
      <c r="E91" s="31" t="n">
        <f aca="false">IFERROR(C91/B91,"")</f>
        <v>4.67479674796748</v>
      </c>
      <c r="F91" s="26" t="n">
        <f aca="false">IFERROR(D91/B91,"")</f>
        <v>4.67479674796748</v>
      </c>
      <c r="G91" s="0" t="str">
        <f aca="false">Q91</f>
        <v>1</v>
      </c>
      <c r="H91" s="0" t="str">
        <f aca="false">IFERROR(LEFT(G91,1),"")</f>
        <v>1</v>
      </c>
      <c r="I91" s="0" t="n">
        <f aca="false">IF(LEN(G91)&gt;1,1,0)</f>
        <v>0</v>
      </c>
      <c r="J91" s="4" t="n">
        <v>46033</v>
      </c>
      <c r="K91" s="0" t="s">
        <v>10</v>
      </c>
      <c r="L91" s="0" t="s">
        <v>91</v>
      </c>
      <c r="M91" s="0" t="s">
        <v>226</v>
      </c>
      <c r="N91" s="0" t="s">
        <v>93</v>
      </c>
      <c r="O91" s="0" t="s">
        <v>682</v>
      </c>
      <c r="Q91" s="0" t="s">
        <v>242</v>
      </c>
      <c r="R91" s="0" t="n">
        <v>1</v>
      </c>
      <c r="S91" s="5" t="n">
        <v>492</v>
      </c>
      <c r="T91" s="0" t="s">
        <v>303</v>
      </c>
      <c r="U91" s="0" t="n">
        <v>0</v>
      </c>
      <c r="V91" s="0" t="s">
        <v>230</v>
      </c>
      <c r="W91" s="0" t="s">
        <v>244</v>
      </c>
      <c r="X91" s="0" t="s">
        <v>232</v>
      </c>
      <c r="Y91" s="0" t="s">
        <v>253</v>
      </c>
      <c r="Z91" s="0" t="s">
        <v>234</v>
      </c>
      <c r="AA91" s="0" t="s">
        <v>235</v>
      </c>
      <c r="AB91" s="32" t="n">
        <v>2300</v>
      </c>
      <c r="AC91" s="32" t="n">
        <v>2300</v>
      </c>
      <c r="AD91" s="26" t="n">
        <f aca="false">IFERROR(AB91/B91,"")</f>
        <v>4.67479674796748</v>
      </c>
      <c r="AE91" s="26" t="n">
        <f aca="false">IFERROR(AC91/B91,"")</f>
        <v>4.67479674796748</v>
      </c>
      <c r="AF91" s="0" t="s">
        <v>236</v>
      </c>
      <c r="AG91" s="0" t="s">
        <v>236</v>
      </c>
      <c r="AH91" s="0" t="s">
        <v>236</v>
      </c>
      <c r="AI91" s="0" t="s">
        <v>683</v>
      </c>
      <c r="AJ91" s="0" t="s">
        <v>684</v>
      </c>
      <c r="AK91" s="0" t="s">
        <v>685</v>
      </c>
      <c r="AL91" s="0" t="s">
        <v>686</v>
      </c>
      <c r="AM91" s="0" t="s">
        <v>94</v>
      </c>
      <c r="AN91" s="26" t="n">
        <f aca="false">IFERROR(E91*(1+IF(AM91="Apartment",Data_Summary!$C$3,0)),"")</f>
        <v>4.67479674796748</v>
      </c>
      <c r="AO91" s="4" t="n">
        <v>46195</v>
      </c>
    </row>
    <row r="92" customFormat="false" ht="15" hidden="false" customHeight="false" outlineLevel="0" collapsed="false">
      <c r="A92" s="0" t="n">
        <f aca="false">IF(AND(ISNUMBER(B92),B92&gt;0,ISNUMBER(AB92),AB92&gt;0,J92&gt;=Data_Summary!$C$1),1,0)</f>
        <v>1</v>
      </c>
      <c r="B92" s="30" t="n">
        <v>612</v>
      </c>
      <c r="C92" s="5" t="n">
        <f aca="false">IF(ISNUMBER(AB92),AB92,"")</f>
        <v>2400</v>
      </c>
      <c r="D92" s="0" t="n">
        <f aca="false">IF(ISNUMBER(C92),C92-U92*Data_Summary!$C$2,"")</f>
        <v>2400</v>
      </c>
      <c r="E92" s="31" t="n">
        <f aca="false">IFERROR(C92/B92,"")</f>
        <v>3.92156862745098</v>
      </c>
      <c r="F92" s="26" t="n">
        <f aca="false">IFERROR(D92/B92,"")</f>
        <v>3.92156862745098</v>
      </c>
      <c r="G92" s="0" t="str">
        <f aca="false">Q92</f>
        <v>1+1</v>
      </c>
      <c r="H92" s="0" t="str">
        <f aca="false">IFERROR(LEFT(G92,1),"")</f>
        <v>1</v>
      </c>
      <c r="I92" s="0" t="n">
        <f aca="false">IF(LEN(G92)&gt;1,1,0)</f>
        <v>1</v>
      </c>
      <c r="J92" s="4" t="n">
        <v>46029</v>
      </c>
      <c r="K92" s="0" t="s">
        <v>10</v>
      </c>
      <c r="L92" s="0" t="s">
        <v>91</v>
      </c>
      <c r="M92" s="0" t="s">
        <v>226</v>
      </c>
      <c r="N92" s="0" t="s">
        <v>93</v>
      </c>
      <c r="O92" s="0" t="s">
        <v>687</v>
      </c>
      <c r="Q92" s="0" t="s">
        <v>270</v>
      </c>
      <c r="R92" s="0" t="n">
        <v>1</v>
      </c>
      <c r="S92" s="5" t="n">
        <v>612</v>
      </c>
      <c r="T92" s="0" t="s">
        <v>271</v>
      </c>
      <c r="U92" s="0" t="n">
        <v>0</v>
      </c>
      <c r="V92" s="0" t="s">
        <v>230</v>
      </c>
      <c r="W92" s="0" t="s">
        <v>244</v>
      </c>
      <c r="X92" s="0" t="s">
        <v>232</v>
      </c>
      <c r="Y92" s="0" t="s">
        <v>278</v>
      </c>
      <c r="Z92" s="0" t="s">
        <v>234</v>
      </c>
      <c r="AA92" s="0" t="s">
        <v>235</v>
      </c>
      <c r="AB92" s="32" t="n">
        <v>2400</v>
      </c>
      <c r="AC92" s="32" t="n">
        <v>2450</v>
      </c>
      <c r="AD92" s="26" t="n">
        <f aca="false">IFERROR(AB92/B92,"")</f>
        <v>3.92156862745098</v>
      </c>
      <c r="AE92" s="26" t="n">
        <f aca="false">IFERROR(AC92/B92,"")</f>
        <v>4.00326797385621</v>
      </c>
      <c r="AF92" s="0" t="s">
        <v>236</v>
      </c>
      <c r="AG92" s="0" t="s">
        <v>236</v>
      </c>
      <c r="AH92" s="0" t="s">
        <v>236</v>
      </c>
      <c r="AI92" s="0" t="s">
        <v>688</v>
      </c>
      <c r="AJ92" s="0" t="s">
        <v>689</v>
      </c>
      <c r="AK92" s="0" t="s">
        <v>690</v>
      </c>
      <c r="AL92" s="0" t="s">
        <v>691</v>
      </c>
      <c r="AM92" s="0" t="s">
        <v>94</v>
      </c>
      <c r="AN92" s="26" t="n">
        <f aca="false">IFERROR(E92*(1+IF(AM92="Apartment",Data_Summary!$C$3,0)),"")</f>
        <v>3.92156862745098</v>
      </c>
      <c r="AO92" s="4" t="n">
        <v>46195</v>
      </c>
    </row>
    <row r="93" customFormat="false" ht="15" hidden="false" customHeight="false" outlineLevel="0" collapsed="false">
      <c r="A93" s="0" t="n">
        <f aca="false">IF(AND(ISNUMBER(B93),B93&gt;0,ISNUMBER(AB93),AB93&gt;0,J93&gt;=Data_Summary!$C$1),1,0)</f>
        <v>1</v>
      </c>
      <c r="B93" s="30" t="n">
        <v>585</v>
      </c>
      <c r="C93" s="5" t="n">
        <f aca="false">IF(ISNUMBER(AB93),AB93,"")</f>
        <v>2450</v>
      </c>
      <c r="D93" s="0" t="n">
        <f aca="false">IF(ISNUMBER(C93),C93-U93*Data_Summary!$C$2,"")</f>
        <v>2450</v>
      </c>
      <c r="E93" s="31" t="n">
        <f aca="false">IFERROR(C93/B93,"")</f>
        <v>4.18803418803419</v>
      </c>
      <c r="F93" s="26" t="n">
        <f aca="false">IFERROR(D93/B93,"")</f>
        <v>4.18803418803419</v>
      </c>
      <c r="G93" s="0" t="str">
        <f aca="false">Q93</f>
        <v>1+1</v>
      </c>
      <c r="H93" s="0" t="str">
        <f aca="false">IFERROR(LEFT(G93,1),"")</f>
        <v>1</v>
      </c>
      <c r="I93" s="0" t="n">
        <f aca="false">IF(LEN(G93)&gt;1,1,0)</f>
        <v>1</v>
      </c>
      <c r="J93" s="4" t="n">
        <v>46028</v>
      </c>
      <c r="K93" s="0" t="s">
        <v>10</v>
      </c>
      <c r="L93" s="0" t="s">
        <v>91</v>
      </c>
      <c r="M93" s="0" t="s">
        <v>226</v>
      </c>
      <c r="N93" s="0" t="s">
        <v>93</v>
      </c>
      <c r="O93" s="0" t="s">
        <v>692</v>
      </c>
      <c r="Q93" s="0" t="s">
        <v>270</v>
      </c>
      <c r="R93" s="0" t="n">
        <v>1</v>
      </c>
      <c r="S93" s="5" t="n">
        <v>585</v>
      </c>
      <c r="T93" s="0" t="s">
        <v>243</v>
      </c>
      <c r="U93" s="0" t="n">
        <v>0</v>
      </c>
      <c r="V93" s="0" t="s">
        <v>230</v>
      </c>
      <c r="W93" s="0" t="s">
        <v>244</v>
      </c>
      <c r="X93" s="0" t="s">
        <v>232</v>
      </c>
      <c r="Y93" s="0" t="s">
        <v>253</v>
      </c>
      <c r="Z93" s="0" t="s">
        <v>234</v>
      </c>
      <c r="AA93" s="0" t="s">
        <v>235</v>
      </c>
      <c r="AB93" s="32" t="n">
        <v>2450</v>
      </c>
      <c r="AC93" s="32" t="n">
        <v>2450</v>
      </c>
      <c r="AD93" s="26" t="n">
        <f aca="false">IFERROR(AB93/B93,"")</f>
        <v>4.18803418803419</v>
      </c>
      <c r="AE93" s="26" t="n">
        <f aca="false">IFERROR(AC93/B93,"")</f>
        <v>4.18803418803419</v>
      </c>
      <c r="AF93" s="0" t="s">
        <v>236</v>
      </c>
      <c r="AG93" s="0" t="s">
        <v>236</v>
      </c>
      <c r="AH93" s="0" t="s">
        <v>230</v>
      </c>
      <c r="AI93" s="0" t="s">
        <v>693</v>
      </c>
      <c r="AJ93" s="0" t="s">
        <v>694</v>
      </c>
      <c r="AK93" s="0" t="s">
        <v>695</v>
      </c>
      <c r="AL93" s="0" t="s">
        <v>696</v>
      </c>
      <c r="AM93" s="0" t="s">
        <v>94</v>
      </c>
      <c r="AN93" s="26" t="n">
        <f aca="false">IFERROR(E93*(1+IF(AM93="Apartment",Data_Summary!$C$3,0)),"")</f>
        <v>4.18803418803419</v>
      </c>
      <c r="AO93" s="4" t="n">
        <v>46195</v>
      </c>
    </row>
    <row r="94" customFormat="false" ht="15" hidden="false" customHeight="false" outlineLevel="0" collapsed="false">
      <c r="A94" s="0" t="n">
        <f aca="false">IF(AND(ISNUMBER(B94),B94&gt;0,ISNUMBER(AB94),AB94&gt;0,J94&gt;=Data_Summary!$C$1),1,0)</f>
        <v>1</v>
      </c>
      <c r="B94" s="33" t="n">
        <v>545</v>
      </c>
      <c r="C94" s="5" t="n">
        <f aca="false">IF(ISNUMBER(AB94),AB94,"")</f>
        <v>2650</v>
      </c>
      <c r="D94" s="0" t="n">
        <f aca="false">IF(ISNUMBER(C94),C94-U94*Data_Summary!$C$2,"")</f>
        <v>2650</v>
      </c>
      <c r="E94" s="34" t="n">
        <f aca="false">IFERROR(C94/B94,"")</f>
        <v>4.86238532110092</v>
      </c>
      <c r="F94" s="26" t="n">
        <f aca="false">IFERROR(D94/B94,"")</f>
        <v>4.86238532110092</v>
      </c>
      <c r="G94" s="0" t="str">
        <f aca="false">Q94</f>
        <v>1+1</v>
      </c>
      <c r="H94" s="0" t="str">
        <f aca="false">IFERROR(LEFT(G94,1),"")</f>
        <v>1</v>
      </c>
      <c r="I94" s="0" t="n">
        <f aca="false">IF(LEN(G94)&gt;1,1,0)</f>
        <v>1</v>
      </c>
      <c r="J94" s="4" t="n">
        <v>46024</v>
      </c>
      <c r="K94" s="0" t="s">
        <v>10</v>
      </c>
      <c r="L94" s="0" t="s">
        <v>91</v>
      </c>
      <c r="M94" s="0" t="s">
        <v>226</v>
      </c>
      <c r="N94" s="0" t="s">
        <v>93</v>
      </c>
      <c r="O94" s="0" t="s">
        <v>697</v>
      </c>
      <c r="Q94" s="0" t="s">
        <v>270</v>
      </c>
      <c r="R94" s="0" t="n">
        <v>2</v>
      </c>
      <c r="S94" s="5" t="n">
        <v>545</v>
      </c>
      <c r="T94" s="0" t="s">
        <v>271</v>
      </c>
      <c r="U94" s="0" t="n">
        <v>0</v>
      </c>
      <c r="V94" s="0" t="s">
        <v>230</v>
      </c>
      <c r="W94" s="0" t="s">
        <v>244</v>
      </c>
      <c r="X94" s="0" t="s">
        <v>232</v>
      </c>
      <c r="Y94" s="0" t="s">
        <v>278</v>
      </c>
      <c r="Z94" s="0" t="s">
        <v>234</v>
      </c>
      <c r="AA94" s="0" t="s">
        <v>235</v>
      </c>
      <c r="AB94" s="32" t="n">
        <v>2650</v>
      </c>
      <c r="AC94" s="32" t="n">
        <v>2800</v>
      </c>
      <c r="AD94" s="26" t="n">
        <f aca="false">IFERROR(AB94/B94,"")</f>
        <v>4.86238532110092</v>
      </c>
      <c r="AE94" s="26" t="n">
        <f aca="false">IFERROR(AC94/B94,"")</f>
        <v>5.13761467889908</v>
      </c>
      <c r="AF94" s="0" t="s">
        <v>236</v>
      </c>
      <c r="AG94" s="0" t="s">
        <v>236</v>
      </c>
      <c r="AH94" s="0" t="s">
        <v>230</v>
      </c>
      <c r="AI94" s="0" t="s">
        <v>698</v>
      </c>
      <c r="AJ94" s="0" t="s">
        <v>699</v>
      </c>
      <c r="AK94" s="0" t="s">
        <v>700</v>
      </c>
      <c r="AL94" s="0" t="s">
        <v>701</v>
      </c>
      <c r="AM94" s="0" t="s">
        <v>94</v>
      </c>
      <c r="AN94" s="26" t="n">
        <f aca="false">IFERROR(E94*(1+IF(AM94="Apartment",Data_Summary!$C$3,0)),"")</f>
        <v>4.86238532110092</v>
      </c>
      <c r="AO94" s="4" t="n">
        <v>46195</v>
      </c>
    </row>
    <row r="95" customFormat="false" ht="15" hidden="false" customHeight="false" outlineLevel="0" collapsed="false">
      <c r="A95" s="0" t="n">
        <f aca="false">IF(AND(ISNUMBER(B95),B95&gt;0,ISNUMBER(AB95),AB95&gt;0,J95&gt;=Data_Summary!$C$1),1,0)</f>
        <v>1</v>
      </c>
      <c r="B95" s="33" t="n">
        <v>535</v>
      </c>
      <c r="C95" s="5" t="n">
        <f aca="false">IF(ISNUMBER(AB95),AB95,"")</f>
        <v>2600</v>
      </c>
      <c r="D95" s="0" t="n">
        <f aca="false">IF(ISNUMBER(C95),C95-U95*Data_Summary!$C$2,"")</f>
        <v>2600</v>
      </c>
      <c r="E95" s="34" t="n">
        <f aca="false">IFERROR(C95/B95,"")</f>
        <v>4.85981308411215</v>
      </c>
      <c r="F95" s="26" t="n">
        <f aca="false">IFERROR(D95/B95,"")</f>
        <v>4.85981308411215</v>
      </c>
      <c r="G95" s="0" t="str">
        <f aca="false">Q95</f>
        <v>1+1</v>
      </c>
      <c r="H95" s="0" t="str">
        <f aca="false">IFERROR(LEFT(G95,1),"")</f>
        <v>1</v>
      </c>
      <c r="I95" s="0" t="n">
        <f aca="false">IF(LEN(G95)&gt;1,1,0)</f>
        <v>1</v>
      </c>
      <c r="J95" s="4" t="n">
        <v>46022</v>
      </c>
      <c r="K95" s="0" t="s">
        <v>10</v>
      </c>
      <c r="L95" s="0" t="s">
        <v>91</v>
      </c>
      <c r="M95" s="0" t="s">
        <v>226</v>
      </c>
      <c r="N95" s="0" t="s">
        <v>93</v>
      </c>
      <c r="O95" s="0" t="s">
        <v>702</v>
      </c>
      <c r="Q95" s="0" t="s">
        <v>270</v>
      </c>
      <c r="R95" s="0" t="n">
        <v>2</v>
      </c>
      <c r="S95" s="5" t="n">
        <v>535</v>
      </c>
      <c r="T95" s="0" t="s">
        <v>271</v>
      </c>
      <c r="U95" s="0" t="n">
        <v>0</v>
      </c>
      <c r="V95" s="0" t="s">
        <v>230</v>
      </c>
      <c r="W95" s="0" t="s">
        <v>244</v>
      </c>
      <c r="X95" s="0" t="s">
        <v>232</v>
      </c>
      <c r="Y95" s="0" t="s">
        <v>297</v>
      </c>
      <c r="Z95" s="0" t="s">
        <v>234</v>
      </c>
      <c r="AA95" s="0" t="s">
        <v>235</v>
      </c>
      <c r="AB95" s="32" t="n">
        <v>2600</v>
      </c>
      <c r="AC95" s="32" t="n">
        <v>2700</v>
      </c>
      <c r="AD95" s="26" t="n">
        <f aca="false">IFERROR(AB95/B95,"")</f>
        <v>4.85981308411215</v>
      </c>
      <c r="AE95" s="26" t="n">
        <f aca="false">IFERROR(AC95/B95,"")</f>
        <v>5.04672897196262</v>
      </c>
      <c r="AF95" s="0" t="s">
        <v>236</v>
      </c>
      <c r="AG95" s="0" t="s">
        <v>236</v>
      </c>
      <c r="AH95" s="0" t="s">
        <v>230</v>
      </c>
      <c r="AI95" s="0" t="s">
        <v>703</v>
      </c>
      <c r="AJ95" s="0" t="s">
        <v>704</v>
      </c>
      <c r="AK95" s="0" t="s">
        <v>705</v>
      </c>
      <c r="AL95" s="0" t="s">
        <v>706</v>
      </c>
      <c r="AM95" s="0" t="s">
        <v>94</v>
      </c>
      <c r="AN95" s="26" t="n">
        <f aca="false">IFERROR(E95*(1+IF(AM95="Apartment",Data_Summary!$C$3,0)),"")</f>
        <v>4.85981308411215</v>
      </c>
      <c r="AO95" s="4" t="n">
        <v>46195</v>
      </c>
    </row>
    <row r="96" customFormat="false" ht="15" hidden="false" customHeight="false" outlineLevel="0" collapsed="false">
      <c r="A96" s="0" t="n">
        <f aca="false">IF(AND(ISNUMBER(B96),B96&gt;0,ISNUMBER(AB96),AB96&gt;0,J96&gt;=Data_Summary!$C$1),1,0)</f>
        <v>1</v>
      </c>
      <c r="B96" s="30" t="n">
        <v>740</v>
      </c>
      <c r="C96" s="5" t="n">
        <f aca="false">IF(ISNUMBER(AB96),AB96,"")</f>
        <v>3500</v>
      </c>
      <c r="D96" s="0" t="n">
        <f aca="false">IF(ISNUMBER(C96),C96-U96*Data_Summary!$C$2,"")</f>
        <v>3350</v>
      </c>
      <c r="E96" s="31" t="n">
        <f aca="false">IFERROR(C96/B96,"")</f>
        <v>4.72972972972973</v>
      </c>
      <c r="F96" s="26" t="n">
        <f aca="false">IFERROR(D96/B96,"")</f>
        <v>4.52702702702703</v>
      </c>
      <c r="G96" s="0" t="str">
        <f aca="false">Q96</f>
        <v>2</v>
      </c>
      <c r="H96" s="0" t="str">
        <f aca="false">IFERROR(LEFT(G96,1),"")</f>
        <v>2</v>
      </c>
      <c r="I96" s="0" t="n">
        <f aca="false">IF(LEN(G96)&gt;1,1,0)</f>
        <v>0</v>
      </c>
      <c r="J96" s="4" t="n">
        <v>46021</v>
      </c>
      <c r="K96" s="0" t="s">
        <v>10</v>
      </c>
      <c r="L96" s="0" t="s">
        <v>91</v>
      </c>
      <c r="M96" s="0" t="s">
        <v>226</v>
      </c>
      <c r="N96" s="0" t="s">
        <v>93</v>
      </c>
      <c r="O96" s="0" t="s">
        <v>707</v>
      </c>
      <c r="Q96" s="0" t="s">
        <v>251</v>
      </c>
      <c r="R96" s="0" t="n">
        <v>2</v>
      </c>
      <c r="S96" s="5" t="n">
        <v>740</v>
      </c>
      <c r="T96" s="0" t="s">
        <v>252</v>
      </c>
      <c r="U96" s="0" t="n">
        <v>1</v>
      </c>
      <c r="V96" s="0" t="s">
        <v>230</v>
      </c>
      <c r="W96" s="0" t="s">
        <v>231</v>
      </c>
      <c r="X96" s="0" t="s">
        <v>232</v>
      </c>
      <c r="Y96" s="0" t="s">
        <v>272</v>
      </c>
      <c r="Z96" s="0" t="s">
        <v>234</v>
      </c>
      <c r="AA96" s="0" t="s">
        <v>235</v>
      </c>
      <c r="AB96" s="32" t="n">
        <v>3500</v>
      </c>
      <c r="AC96" s="32" t="n">
        <v>3500</v>
      </c>
      <c r="AD96" s="26" t="n">
        <f aca="false">IFERROR(AB96/B96,"")</f>
        <v>4.72972972972973</v>
      </c>
      <c r="AE96" s="26" t="n">
        <f aca="false">IFERROR(AC96/B96,"")</f>
        <v>4.72972972972973</v>
      </c>
      <c r="AF96" s="0" t="s">
        <v>236</v>
      </c>
      <c r="AG96" s="0" t="s">
        <v>236</v>
      </c>
      <c r="AH96" s="0" t="s">
        <v>230</v>
      </c>
      <c r="AI96" s="0" t="s">
        <v>708</v>
      </c>
      <c r="AJ96" s="0" t="s">
        <v>709</v>
      </c>
      <c r="AK96" s="0" t="s">
        <v>710</v>
      </c>
      <c r="AL96" s="0" t="s">
        <v>711</v>
      </c>
      <c r="AM96" s="0" t="s">
        <v>94</v>
      </c>
      <c r="AN96" s="26" t="n">
        <f aca="false">IFERROR(E96*(1+IF(AM96="Apartment",Data_Summary!$C$3,0)),"")</f>
        <v>4.72972972972973</v>
      </c>
      <c r="AO96" s="4" t="n">
        <v>46195</v>
      </c>
    </row>
    <row r="97" customFormat="false" ht="15" hidden="false" customHeight="false" outlineLevel="0" collapsed="false">
      <c r="A97" s="0" t="n">
        <f aca="false">IF(AND(ISNUMBER(B97),B97&gt;0,ISNUMBER(AB97),AB97&gt;0,J97&gt;=Data_Summary!$C$1),1,0)</f>
        <v>1</v>
      </c>
      <c r="B97" s="30" t="n">
        <v>660</v>
      </c>
      <c r="C97" s="5" t="n">
        <f aca="false">IF(ISNUMBER(AB97),AB97,"")</f>
        <v>2700</v>
      </c>
      <c r="D97" s="0" t="n">
        <f aca="false">IF(ISNUMBER(C97),C97-U97*Data_Summary!$C$2,"")</f>
        <v>2700</v>
      </c>
      <c r="E97" s="31" t="n">
        <f aca="false">IFERROR(C97/B97,"")</f>
        <v>4.09090909090909</v>
      </c>
      <c r="F97" s="26" t="n">
        <f aca="false">IFERROR(D97/B97,"")</f>
        <v>4.09090909090909</v>
      </c>
      <c r="G97" s="0" t="str">
        <f aca="false">Q97</f>
        <v>2</v>
      </c>
      <c r="H97" s="0" t="str">
        <f aca="false">IFERROR(LEFT(G97,1),"")</f>
        <v>2</v>
      </c>
      <c r="I97" s="0" t="n">
        <f aca="false">IF(LEN(G97)&gt;1,1,0)</f>
        <v>0</v>
      </c>
      <c r="J97" s="4" t="n">
        <v>46017</v>
      </c>
      <c r="K97" s="0" t="s">
        <v>10</v>
      </c>
      <c r="L97" s="0" t="s">
        <v>91</v>
      </c>
      <c r="M97" s="0" t="s">
        <v>226</v>
      </c>
      <c r="N97" s="0" t="s">
        <v>93</v>
      </c>
      <c r="O97" s="0" t="s">
        <v>390</v>
      </c>
      <c r="Q97" s="0" t="s">
        <v>251</v>
      </c>
      <c r="R97" s="0" t="n">
        <v>2</v>
      </c>
      <c r="S97" s="5" t="n">
        <v>660</v>
      </c>
      <c r="T97" s="0" t="s">
        <v>271</v>
      </c>
      <c r="U97" s="0" t="n">
        <v>0</v>
      </c>
      <c r="V97" s="0" t="s">
        <v>230</v>
      </c>
      <c r="W97" s="0" t="s">
        <v>244</v>
      </c>
      <c r="X97" s="0" t="s">
        <v>232</v>
      </c>
      <c r="Y97" s="0" t="s">
        <v>253</v>
      </c>
      <c r="Z97" s="0" t="s">
        <v>234</v>
      </c>
      <c r="AA97" s="0" t="s">
        <v>235</v>
      </c>
      <c r="AB97" s="32" t="n">
        <v>2700</v>
      </c>
      <c r="AC97" s="32" t="n">
        <v>2750</v>
      </c>
      <c r="AD97" s="26" t="n">
        <f aca="false">IFERROR(AB97/B97,"")</f>
        <v>4.09090909090909</v>
      </c>
      <c r="AE97" s="26" t="n">
        <f aca="false">IFERROR(AC97/B97,"")</f>
        <v>4.16666666666667</v>
      </c>
      <c r="AF97" s="0" t="s">
        <v>236</v>
      </c>
      <c r="AG97" s="0" t="s">
        <v>236</v>
      </c>
      <c r="AH97" s="0" t="s">
        <v>236</v>
      </c>
      <c r="AI97" s="0" t="s">
        <v>712</v>
      </c>
      <c r="AJ97" s="0" t="s">
        <v>713</v>
      </c>
      <c r="AK97" s="0" t="s">
        <v>714</v>
      </c>
      <c r="AL97" s="0" t="s">
        <v>715</v>
      </c>
      <c r="AM97" s="0" t="s">
        <v>94</v>
      </c>
      <c r="AN97" s="26" t="n">
        <f aca="false">IFERROR(E97*(1+IF(AM97="Apartment",Data_Summary!$C$3,0)),"")</f>
        <v>4.09090909090909</v>
      </c>
      <c r="AO97" s="4" t="n">
        <v>46195</v>
      </c>
    </row>
    <row r="98" customFormat="false" ht="15" hidden="false" customHeight="false" outlineLevel="0" collapsed="false">
      <c r="A98" s="0" t="n">
        <f aca="false">IF(AND(ISNUMBER(B98),B98&gt;0,ISNUMBER(AB98),AB98&gt;0,J98&gt;=Data_Summary!$C$1),1,0)</f>
        <v>1</v>
      </c>
      <c r="B98" s="30" t="n">
        <v>740</v>
      </c>
      <c r="C98" s="5" t="n">
        <f aca="false">IF(ISNUMBER(AB98),AB98,"")</f>
        <v>3400</v>
      </c>
      <c r="D98" s="0" t="n">
        <f aca="false">IF(ISNUMBER(C98),C98-U98*Data_Summary!$C$2,"")</f>
        <v>3250</v>
      </c>
      <c r="E98" s="31" t="n">
        <f aca="false">IFERROR(C98/B98,"")</f>
        <v>4.5945945945946</v>
      </c>
      <c r="F98" s="26" t="n">
        <f aca="false">IFERROR(D98/B98,"")</f>
        <v>4.39189189189189</v>
      </c>
      <c r="G98" s="0" t="str">
        <f aca="false">Q98</f>
        <v>2</v>
      </c>
      <c r="H98" s="0" t="str">
        <f aca="false">IFERROR(LEFT(G98,1),"")</f>
        <v>2</v>
      </c>
      <c r="I98" s="0" t="n">
        <f aca="false">IF(LEN(G98)&gt;1,1,0)</f>
        <v>0</v>
      </c>
      <c r="J98" s="4" t="n">
        <v>46015</v>
      </c>
      <c r="K98" s="0" t="s">
        <v>10</v>
      </c>
      <c r="L98" s="0" t="s">
        <v>91</v>
      </c>
      <c r="M98" s="0" t="s">
        <v>226</v>
      </c>
      <c r="N98" s="0" t="s">
        <v>93</v>
      </c>
      <c r="O98" s="0" t="s">
        <v>716</v>
      </c>
      <c r="Q98" s="0" t="s">
        <v>251</v>
      </c>
      <c r="R98" s="0" t="n">
        <v>2</v>
      </c>
      <c r="S98" s="5" t="n">
        <v>740</v>
      </c>
      <c r="T98" s="0" t="s">
        <v>252</v>
      </c>
      <c r="U98" s="0" t="n">
        <v>1</v>
      </c>
      <c r="V98" s="0" t="s">
        <v>230</v>
      </c>
      <c r="W98" s="0" t="s">
        <v>244</v>
      </c>
      <c r="X98" s="0" t="s">
        <v>232</v>
      </c>
      <c r="Y98" s="0" t="s">
        <v>308</v>
      </c>
      <c r="Z98" s="0" t="s">
        <v>234</v>
      </c>
      <c r="AA98" s="0" t="s">
        <v>235</v>
      </c>
      <c r="AB98" s="32" t="n">
        <v>3400</v>
      </c>
      <c r="AC98" s="32" t="n">
        <v>3400</v>
      </c>
      <c r="AD98" s="26" t="n">
        <f aca="false">IFERROR(AB98/B98,"")</f>
        <v>4.5945945945946</v>
      </c>
      <c r="AE98" s="26" t="n">
        <f aca="false">IFERROR(AC98/B98,"")</f>
        <v>4.5945945945946</v>
      </c>
      <c r="AF98" s="0" t="s">
        <v>236</v>
      </c>
      <c r="AG98" s="0" t="s">
        <v>236</v>
      </c>
      <c r="AH98" s="0" t="s">
        <v>230</v>
      </c>
      <c r="AI98" s="0" t="s">
        <v>717</v>
      </c>
      <c r="AJ98" s="0" t="s">
        <v>718</v>
      </c>
      <c r="AK98" s="0" t="s">
        <v>719</v>
      </c>
      <c r="AL98" s="0" t="s">
        <v>720</v>
      </c>
      <c r="AM98" s="0" t="s">
        <v>94</v>
      </c>
      <c r="AN98" s="26" t="n">
        <f aca="false">IFERROR(E98*(1+IF(AM98="Apartment",Data_Summary!$C$3,0)),"")</f>
        <v>4.5945945945946</v>
      </c>
      <c r="AO98" s="4" t="n">
        <v>46195</v>
      </c>
    </row>
    <row r="99" customFormat="false" ht="15" hidden="false" customHeight="false" outlineLevel="0" collapsed="false">
      <c r="A99" s="0" t="n">
        <f aca="false">IF(AND(ISNUMBER(B99),B99&gt;0,ISNUMBER(AB99),AB99&gt;0,J99&gt;=Data_Summary!$C$1),1,0)</f>
        <v>1</v>
      </c>
      <c r="B99" s="30" t="n">
        <v>763</v>
      </c>
      <c r="C99" s="5" t="n">
        <f aca="false">IF(ISNUMBER(AB99),AB99,"")</f>
        <v>3050</v>
      </c>
      <c r="D99" s="0" t="n">
        <f aca="false">IF(ISNUMBER(C99),C99-U99*Data_Summary!$C$2,"")</f>
        <v>3050</v>
      </c>
      <c r="E99" s="31" t="n">
        <f aca="false">IFERROR(C99/B99,"")</f>
        <v>3.99737876802097</v>
      </c>
      <c r="F99" s="26" t="n">
        <f aca="false">IFERROR(D99/B99,"")</f>
        <v>3.99737876802097</v>
      </c>
      <c r="G99" s="0" t="str">
        <f aca="false">Q99</f>
        <v>2+1</v>
      </c>
      <c r="H99" s="0" t="str">
        <f aca="false">IFERROR(LEFT(G99,1),"")</f>
        <v>2</v>
      </c>
      <c r="I99" s="0" t="n">
        <f aca="false">IF(LEN(G99)&gt;1,1,0)</f>
        <v>1</v>
      </c>
      <c r="J99" s="4" t="n">
        <v>46013</v>
      </c>
      <c r="K99" s="0" t="s">
        <v>10</v>
      </c>
      <c r="L99" s="0" t="s">
        <v>91</v>
      </c>
      <c r="M99" s="0" t="s">
        <v>226</v>
      </c>
      <c r="N99" s="0" t="s">
        <v>93</v>
      </c>
      <c r="O99" s="0" t="s">
        <v>721</v>
      </c>
      <c r="Q99" s="0" t="s">
        <v>451</v>
      </c>
      <c r="R99" s="0" t="n">
        <v>2</v>
      </c>
      <c r="S99" s="5" t="n">
        <v>763</v>
      </c>
      <c r="T99" s="0" t="s">
        <v>252</v>
      </c>
      <c r="U99" s="0" t="n">
        <v>0</v>
      </c>
      <c r="V99" s="0" t="s">
        <v>230</v>
      </c>
      <c r="W99" s="0" t="s">
        <v>244</v>
      </c>
      <c r="X99" s="0" t="s">
        <v>232</v>
      </c>
      <c r="Y99" s="0" t="s">
        <v>308</v>
      </c>
      <c r="Z99" s="0" t="s">
        <v>234</v>
      </c>
      <c r="AA99" s="0" t="s">
        <v>235</v>
      </c>
      <c r="AB99" s="32" t="n">
        <v>3050</v>
      </c>
      <c r="AC99" s="32" t="n">
        <v>3200</v>
      </c>
      <c r="AD99" s="26" t="n">
        <f aca="false">IFERROR(AB99/B99,"")</f>
        <v>3.99737876802097</v>
      </c>
      <c r="AE99" s="26" t="n">
        <f aca="false">IFERROR(AC99/B99,"")</f>
        <v>4.19397116644823</v>
      </c>
      <c r="AF99" s="0" t="s">
        <v>236</v>
      </c>
      <c r="AG99" s="0" t="s">
        <v>236</v>
      </c>
      <c r="AH99" s="0" t="s">
        <v>236</v>
      </c>
      <c r="AI99" s="0" t="s">
        <v>722</v>
      </c>
      <c r="AJ99" s="0" t="s">
        <v>723</v>
      </c>
      <c r="AK99" s="0" t="s">
        <v>724</v>
      </c>
      <c r="AL99" s="0" t="s">
        <v>725</v>
      </c>
      <c r="AM99" s="0" t="s">
        <v>94</v>
      </c>
      <c r="AN99" s="26" t="n">
        <f aca="false">IFERROR(E99*(1+IF(AM99="Apartment",Data_Summary!$C$3,0)),"")</f>
        <v>3.99737876802097</v>
      </c>
      <c r="AO99" s="4" t="n">
        <v>46195</v>
      </c>
    </row>
    <row r="100" customFormat="false" ht="15" hidden="false" customHeight="false" outlineLevel="0" collapsed="false">
      <c r="A100" s="0" t="n">
        <f aca="false">IF(AND(ISNUMBER(B100),B100&gt;0,ISNUMBER(AB100),AB100&gt;0,J100&gt;=Data_Summary!$C$1),1,0)</f>
        <v>1</v>
      </c>
      <c r="B100" s="33" t="n">
        <v>710</v>
      </c>
      <c r="C100" s="5" t="n">
        <f aca="false">IF(ISNUMBER(AB100),AB100,"")</f>
        <v>2800</v>
      </c>
      <c r="D100" s="0" t="n">
        <f aca="false">IF(ISNUMBER(C100),C100-U100*Data_Summary!$C$2,"")</f>
        <v>2800</v>
      </c>
      <c r="E100" s="34" t="n">
        <f aca="false">IFERROR(C100/B100,"")</f>
        <v>3.94366197183099</v>
      </c>
      <c r="F100" s="26" t="n">
        <f aca="false">IFERROR(D100/B100,"")</f>
        <v>3.94366197183099</v>
      </c>
      <c r="G100" s="0" t="str">
        <f aca="false">Q100</f>
        <v>2</v>
      </c>
      <c r="H100" s="0" t="str">
        <f aca="false">IFERROR(LEFT(G100,1),"")</f>
        <v>2</v>
      </c>
      <c r="I100" s="0" t="n">
        <f aca="false">IF(LEN(G100)&gt;1,1,0)</f>
        <v>0</v>
      </c>
      <c r="J100" s="4" t="n">
        <v>46013</v>
      </c>
      <c r="K100" s="0" t="s">
        <v>10</v>
      </c>
      <c r="L100" s="0" t="s">
        <v>91</v>
      </c>
      <c r="M100" s="0" t="s">
        <v>226</v>
      </c>
      <c r="N100" s="0" t="s">
        <v>93</v>
      </c>
      <c r="O100" s="0" t="s">
        <v>726</v>
      </c>
      <c r="Q100" s="0" t="s">
        <v>251</v>
      </c>
      <c r="R100" s="0" t="n">
        <v>2</v>
      </c>
      <c r="S100" s="5" t="n">
        <v>710</v>
      </c>
      <c r="T100" s="0" t="s">
        <v>252</v>
      </c>
      <c r="U100" s="0" t="n">
        <v>0</v>
      </c>
      <c r="V100" s="0" t="s">
        <v>230</v>
      </c>
      <c r="W100" s="0" t="s">
        <v>244</v>
      </c>
      <c r="X100" s="0" t="s">
        <v>232</v>
      </c>
      <c r="Y100" s="0" t="s">
        <v>278</v>
      </c>
      <c r="Z100" s="0" t="s">
        <v>234</v>
      </c>
      <c r="AA100" s="0" t="s">
        <v>235</v>
      </c>
      <c r="AB100" s="32" t="n">
        <v>2800</v>
      </c>
      <c r="AC100" s="32" t="n">
        <v>2800</v>
      </c>
      <c r="AD100" s="26" t="n">
        <f aca="false">IFERROR(AB100/B100,"")</f>
        <v>3.94366197183099</v>
      </c>
      <c r="AE100" s="26" t="n">
        <f aca="false">IFERROR(AC100/B100,"")</f>
        <v>3.94366197183099</v>
      </c>
      <c r="AF100" s="0" t="s">
        <v>421</v>
      </c>
      <c r="AG100" s="0" t="s">
        <v>236</v>
      </c>
      <c r="AH100" s="0" t="s">
        <v>230</v>
      </c>
      <c r="AI100" s="0" t="s">
        <v>722</v>
      </c>
      <c r="AJ100" s="0" t="s">
        <v>727</v>
      </c>
      <c r="AK100" s="0" t="s">
        <v>728</v>
      </c>
      <c r="AL100" s="0" t="s">
        <v>729</v>
      </c>
      <c r="AM100" s="0" t="s">
        <v>94</v>
      </c>
      <c r="AN100" s="26" t="n">
        <f aca="false">IFERROR(E100*(1+IF(AM100="Apartment",Data_Summary!$C$3,0)),"")</f>
        <v>3.94366197183099</v>
      </c>
      <c r="AO100" s="4" t="n">
        <v>46195</v>
      </c>
    </row>
    <row r="101" customFormat="false" ht="15" hidden="false" customHeight="false" outlineLevel="0" collapsed="false">
      <c r="A101" s="0" t="n">
        <f aca="false">IF(AND(ISNUMBER(B101),B101&gt;0,ISNUMBER(AB101),AB101&gt;0,J101&gt;=Data_Summary!$C$1),1,0)</f>
        <v>1</v>
      </c>
      <c r="B101" s="30" t="n">
        <v>492</v>
      </c>
      <c r="C101" s="5" t="n">
        <f aca="false">IF(ISNUMBER(AB101),AB101,"")</f>
        <v>2300</v>
      </c>
      <c r="D101" s="0" t="n">
        <f aca="false">IF(ISNUMBER(C101),C101-U101*Data_Summary!$C$2,"")</f>
        <v>2300</v>
      </c>
      <c r="E101" s="31" t="n">
        <f aca="false">IFERROR(C101/B101,"")</f>
        <v>4.67479674796748</v>
      </c>
      <c r="F101" s="26" t="n">
        <f aca="false">IFERROR(D101/B101,"")</f>
        <v>4.67479674796748</v>
      </c>
      <c r="G101" s="0" t="str">
        <f aca="false">Q101</f>
        <v>1</v>
      </c>
      <c r="H101" s="0" t="str">
        <f aca="false">IFERROR(LEFT(G101,1),"")</f>
        <v>1</v>
      </c>
      <c r="I101" s="0" t="n">
        <f aca="false">IF(LEN(G101)&gt;1,1,0)</f>
        <v>0</v>
      </c>
      <c r="J101" s="4" t="n">
        <v>46010</v>
      </c>
      <c r="K101" s="0" t="s">
        <v>10</v>
      </c>
      <c r="L101" s="0" t="s">
        <v>91</v>
      </c>
      <c r="M101" s="0" t="s">
        <v>226</v>
      </c>
      <c r="N101" s="0" t="s">
        <v>93</v>
      </c>
      <c r="O101" s="0" t="s">
        <v>730</v>
      </c>
      <c r="Q101" s="0" t="s">
        <v>242</v>
      </c>
      <c r="R101" s="0" t="n">
        <v>1</v>
      </c>
      <c r="S101" s="5" t="n">
        <v>492</v>
      </c>
      <c r="T101" s="0" t="s">
        <v>303</v>
      </c>
      <c r="U101" s="0" t="n">
        <v>0</v>
      </c>
      <c r="V101" s="0" t="s">
        <v>230</v>
      </c>
      <c r="W101" s="0" t="s">
        <v>244</v>
      </c>
      <c r="X101" s="0" t="s">
        <v>232</v>
      </c>
      <c r="Y101" s="0" t="s">
        <v>253</v>
      </c>
      <c r="Z101" s="0" t="s">
        <v>234</v>
      </c>
      <c r="AA101" s="0" t="s">
        <v>235</v>
      </c>
      <c r="AB101" s="32" t="n">
        <v>2300</v>
      </c>
      <c r="AC101" s="32" t="n">
        <v>2350</v>
      </c>
      <c r="AD101" s="26" t="n">
        <f aca="false">IFERROR(AB101/B101,"")</f>
        <v>4.67479674796748</v>
      </c>
      <c r="AE101" s="26" t="n">
        <f aca="false">IFERROR(AC101/B101,"")</f>
        <v>4.77642276422764</v>
      </c>
      <c r="AF101" s="0" t="s">
        <v>236</v>
      </c>
      <c r="AG101" s="0" t="s">
        <v>236</v>
      </c>
      <c r="AH101" s="0" t="s">
        <v>230</v>
      </c>
      <c r="AI101" s="0" t="s">
        <v>731</v>
      </c>
      <c r="AJ101" s="0" t="s">
        <v>732</v>
      </c>
      <c r="AK101" s="0" t="s">
        <v>733</v>
      </c>
      <c r="AL101" s="0" t="s">
        <v>734</v>
      </c>
      <c r="AM101" s="0" t="s">
        <v>94</v>
      </c>
      <c r="AN101" s="26" t="n">
        <f aca="false">IFERROR(E101*(1+IF(AM101="Apartment",Data_Summary!$C$3,0)),"")</f>
        <v>4.67479674796748</v>
      </c>
      <c r="AO101" s="4" t="n">
        <v>46195</v>
      </c>
    </row>
    <row r="102" customFormat="false" ht="15" hidden="false" customHeight="false" outlineLevel="0" collapsed="false">
      <c r="A102" s="0" t="n">
        <f aca="false">IF(AND(ISNUMBER(B102),B102&gt;0,ISNUMBER(AB102),AB102&gt;0,J102&gt;=Data_Summary!$C$1),1,0)</f>
        <v>1</v>
      </c>
      <c r="B102" s="30" t="n">
        <v>492</v>
      </c>
      <c r="C102" s="5" t="n">
        <f aca="false">IF(ISNUMBER(AB102),AB102,"")</f>
        <v>2300</v>
      </c>
      <c r="D102" s="0" t="n">
        <f aca="false">IF(ISNUMBER(C102),C102-U102*Data_Summary!$C$2,"")</f>
        <v>2300</v>
      </c>
      <c r="E102" s="31" t="n">
        <f aca="false">IFERROR(C102/B102,"")</f>
        <v>4.67479674796748</v>
      </c>
      <c r="F102" s="26" t="n">
        <f aca="false">IFERROR(D102/B102,"")</f>
        <v>4.67479674796748</v>
      </c>
      <c r="G102" s="0" t="str">
        <f aca="false">Q102</f>
        <v>1</v>
      </c>
      <c r="H102" s="0" t="str">
        <f aca="false">IFERROR(LEFT(G102,1),"")</f>
        <v>1</v>
      </c>
      <c r="I102" s="0" t="n">
        <f aca="false">IF(LEN(G102)&gt;1,1,0)</f>
        <v>0</v>
      </c>
      <c r="J102" s="4" t="n">
        <v>46008</v>
      </c>
      <c r="K102" s="0" t="s">
        <v>10</v>
      </c>
      <c r="L102" s="0" t="s">
        <v>91</v>
      </c>
      <c r="M102" s="0" t="s">
        <v>226</v>
      </c>
      <c r="N102" s="0" t="s">
        <v>93</v>
      </c>
      <c r="O102" s="0" t="s">
        <v>735</v>
      </c>
      <c r="Q102" s="0" t="s">
        <v>242</v>
      </c>
      <c r="R102" s="0" t="n">
        <v>1</v>
      </c>
      <c r="S102" s="5" t="n">
        <v>492</v>
      </c>
      <c r="T102" s="0" t="s">
        <v>303</v>
      </c>
      <c r="U102" s="0" t="n">
        <v>0</v>
      </c>
      <c r="V102" s="0" t="s">
        <v>230</v>
      </c>
      <c r="W102" s="0" t="s">
        <v>244</v>
      </c>
      <c r="X102" s="0" t="s">
        <v>232</v>
      </c>
      <c r="Y102" s="0" t="s">
        <v>253</v>
      </c>
      <c r="Z102" s="0" t="s">
        <v>234</v>
      </c>
      <c r="AA102" s="0" t="s">
        <v>235</v>
      </c>
      <c r="AB102" s="32" t="n">
        <v>2300</v>
      </c>
      <c r="AC102" s="32" t="n">
        <v>2300</v>
      </c>
      <c r="AD102" s="26" t="n">
        <f aca="false">IFERROR(AB102/B102,"")</f>
        <v>4.67479674796748</v>
      </c>
      <c r="AE102" s="26" t="n">
        <f aca="false">IFERROR(AC102/B102,"")</f>
        <v>4.67479674796748</v>
      </c>
      <c r="AF102" s="0" t="s">
        <v>236</v>
      </c>
      <c r="AG102" s="0" t="s">
        <v>236</v>
      </c>
      <c r="AH102" s="0" t="s">
        <v>230</v>
      </c>
      <c r="AI102" s="0" t="s">
        <v>736</v>
      </c>
      <c r="AJ102" s="0" t="s">
        <v>737</v>
      </c>
      <c r="AK102" s="0" t="s">
        <v>738</v>
      </c>
      <c r="AL102" s="0" t="s">
        <v>739</v>
      </c>
      <c r="AM102" s="0" t="s">
        <v>94</v>
      </c>
      <c r="AN102" s="26" t="n">
        <f aca="false">IFERROR(E102*(1+IF(AM102="Apartment",Data_Summary!$C$3,0)),"")</f>
        <v>4.67479674796748</v>
      </c>
      <c r="AO102" s="4" t="n">
        <v>46195</v>
      </c>
    </row>
    <row r="103" customFormat="false" ht="15" hidden="false" customHeight="false" outlineLevel="0" collapsed="false">
      <c r="A103" s="0" t="n">
        <f aca="false">IF(AND(ISNUMBER(B103),B103&gt;0,ISNUMBER(AB103),AB103&gt;0,J103&gt;=Data_Summary!$C$1),1,0)</f>
        <v>1</v>
      </c>
      <c r="B103" s="30" t="n">
        <v>760</v>
      </c>
      <c r="C103" s="5" t="n">
        <f aca="false">IF(ISNUMBER(AB103),AB103,"")</f>
        <v>2800</v>
      </c>
      <c r="D103" s="0" t="n">
        <f aca="false">IF(ISNUMBER(C103),C103-U103*Data_Summary!$C$2,"")</f>
        <v>2800</v>
      </c>
      <c r="E103" s="31" t="n">
        <f aca="false">IFERROR(C103/B103,"")</f>
        <v>3.68421052631579</v>
      </c>
      <c r="F103" s="26" t="n">
        <f aca="false">IFERROR(D103/B103,"")</f>
        <v>3.68421052631579</v>
      </c>
      <c r="G103" s="0" t="str">
        <f aca="false">Q103</f>
        <v>2</v>
      </c>
      <c r="H103" s="0" t="str">
        <f aca="false">IFERROR(LEFT(G103,1),"")</f>
        <v>2</v>
      </c>
      <c r="I103" s="0" t="n">
        <f aca="false">IF(LEN(G103)&gt;1,1,0)</f>
        <v>0</v>
      </c>
      <c r="J103" s="4" t="n">
        <v>46007</v>
      </c>
      <c r="K103" s="0" t="s">
        <v>10</v>
      </c>
      <c r="L103" s="0" t="s">
        <v>91</v>
      </c>
      <c r="M103" s="0" t="s">
        <v>226</v>
      </c>
      <c r="N103" s="0" t="s">
        <v>93</v>
      </c>
      <c r="O103" s="0" t="s">
        <v>740</v>
      </c>
      <c r="Q103" s="0" t="s">
        <v>251</v>
      </c>
      <c r="R103" s="0" t="n">
        <v>2</v>
      </c>
      <c r="S103" s="5" t="n">
        <v>760</v>
      </c>
      <c r="T103" s="0" t="s">
        <v>252</v>
      </c>
      <c r="U103" s="0" t="n">
        <v>0</v>
      </c>
      <c r="V103" s="0" t="s">
        <v>230</v>
      </c>
      <c r="W103" s="0" t="s">
        <v>244</v>
      </c>
      <c r="X103" s="0" t="s">
        <v>232</v>
      </c>
      <c r="Y103" s="0" t="s">
        <v>308</v>
      </c>
      <c r="Z103" s="0" t="s">
        <v>234</v>
      </c>
      <c r="AA103" s="0" t="s">
        <v>235</v>
      </c>
      <c r="AB103" s="32" t="n">
        <v>2800</v>
      </c>
      <c r="AC103" s="32" t="n">
        <v>2950</v>
      </c>
      <c r="AD103" s="26" t="n">
        <f aca="false">IFERROR(AB103/B103,"")</f>
        <v>3.68421052631579</v>
      </c>
      <c r="AE103" s="26" t="n">
        <f aca="false">IFERROR(AC103/B103,"")</f>
        <v>3.88157894736842</v>
      </c>
      <c r="AF103" s="0" t="s">
        <v>236</v>
      </c>
      <c r="AG103" s="0" t="s">
        <v>236</v>
      </c>
      <c r="AH103" s="0" t="s">
        <v>236</v>
      </c>
      <c r="AI103" s="0" t="s">
        <v>741</v>
      </c>
      <c r="AJ103" s="0" t="s">
        <v>742</v>
      </c>
      <c r="AK103" s="0" t="s">
        <v>743</v>
      </c>
      <c r="AL103" s="0" t="s">
        <v>744</v>
      </c>
      <c r="AM103" s="0" t="s">
        <v>94</v>
      </c>
      <c r="AN103" s="26" t="n">
        <f aca="false">IFERROR(E103*(1+IF(AM103="Apartment",Data_Summary!$C$3,0)),"")</f>
        <v>3.68421052631579</v>
      </c>
      <c r="AO103" s="4" t="n">
        <v>46195</v>
      </c>
    </row>
    <row r="104" customFormat="false" ht="15" hidden="false" customHeight="false" outlineLevel="0" collapsed="false">
      <c r="A104" s="0" t="n">
        <f aca="false">IF(AND(ISNUMBER(B104),B104&gt;0,ISNUMBER(AB104),AB104&gt;0,J104&gt;=Data_Summary!$C$1),1,0)</f>
        <v>1</v>
      </c>
      <c r="B104" s="30" t="n">
        <v>740</v>
      </c>
      <c r="C104" s="5" t="n">
        <f aca="false">IF(ISNUMBER(AB104),AB104,"")</f>
        <v>3650</v>
      </c>
      <c r="D104" s="0" t="n">
        <f aca="false">IF(ISNUMBER(C104),C104-U104*Data_Summary!$C$2,"")</f>
        <v>3500</v>
      </c>
      <c r="E104" s="31" t="n">
        <f aca="false">IFERROR(C104/B104,"")</f>
        <v>4.93243243243243</v>
      </c>
      <c r="F104" s="26" t="n">
        <f aca="false">IFERROR(D104/B104,"")</f>
        <v>4.72972972972973</v>
      </c>
      <c r="G104" s="0" t="str">
        <f aca="false">Q104</f>
        <v>2</v>
      </c>
      <c r="H104" s="0" t="str">
        <f aca="false">IFERROR(LEFT(G104,1),"")</f>
        <v>2</v>
      </c>
      <c r="I104" s="0" t="n">
        <f aca="false">IF(LEN(G104)&gt;1,1,0)</f>
        <v>0</v>
      </c>
      <c r="J104" s="4" t="n">
        <v>46001</v>
      </c>
      <c r="K104" s="0" t="s">
        <v>10</v>
      </c>
      <c r="L104" s="0" t="s">
        <v>91</v>
      </c>
      <c r="M104" s="0" t="s">
        <v>226</v>
      </c>
      <c r="N104" s="0" t="s">
        <v>93</v>
      </c>
      <c r="O104" s="0" t="s">
        <v>745</v>
      </c>
      <c r="Q104" s="0" t="s">
        <v>251</v>
      </c>
      <c r="R104" s="0" t="n">
        <v>2</v>
      </c>
      <c r="S104" s="5" t="n">
        <v>740</v>
      </c>
      <c r="T104" s="0" t="s">
        <v>252</v>
      </c>
      <c r="U104" s="0" t="n">
        <v>1</v>
      </c>
      <c r="V104" s="0" t="s">
        <v>230</v>
      </c>
      <c r="W104" s="0" t="s">
        <v>244</v>
      </c>
      <c r="X104" s="0" t="s">
        <v>232</v>
      </c>
      <c r="Y104" s="0" t="s">
        <v>308</v>
      </c>
      <c r="Z104" s="0" t="s">
        <v>234</v>
      </c>
      <c r="AA104" s="0" t="s">
        <v>235</v>
      </c>
      <c r="AB104" s="32" t="n">
        <v>3650</v>
      </c>
      <c r="AC104" s="32" t="n">
        <v>3550</v>
      </c>
      <c r="AD104" s="26" t="n">
        <f aca="false">IFERROR(AB104/B104,"")</f>
        <v>4.93243243243243</v>
      </c>
      <c r="AE104" s="26" t="n">
        <f aca="false">IFERROR(AC104/B104,"")</f>
        <v>4.7972972972973</v>
      </c>
      <c r="AF104" s="0" t="s">
        <v>236</v>
      </c>
      <c r="AG104" s="0" t="s">
        <v>236</v>
      </c>
      <c r="AH104" s="0" t="s">
        <v>230</v>
      </c>
      <c r="AI104" s="0" t="s">
        <v>746</v>
      </c>
      <c r="AJ104" s="0" t="s">
        <v>747</v>
      </c>
      <c r="AK104" s="0" t="s">
        <v>748</v>
      </c>
      <c r="AL104" s="0" t="s">
        <v>749</v>
      </c>
      <c r="AM104" s="0" t="s">
        <v>94</v>
      </c>
      <c r="AN104" s="26" t="n">
        <f aca="false">IFERROR(E104*(1+IF(AM104="Apartment",Data_Summary!$C$3,0)),"")</f>
        <v>4.93243243243243</v>
      </c>
      <c r="AO104" s="4" t="n">
        <v>46195</v>
      </c>
    </row>
    <row r="105" customFormat="false" ht="15" hidden="false" customHeight="false" outlineLevel="0" collapsed="false">
      <c r="A105" s="0" t="n">
        <f aca="false">IF(AND(ISNUMBER(B105),B105&gt;0,ISNUMBER(AB105),AB105&gt;0,J105&gt;=Data_Summary!$C$1),1,0)</f>
        <v>1</v>
      </c>
      <c r="B105" s="30" t="n">
        <v>545</v>
      </c>
      <c r="C105" s="5" t="n">
        <f aca="false">IF(ISNUMBER(AB105),AB105,"")</f>
        <v>2350</v>
      </c>
      <c r="D105" s="0" t="n">
        <f aca="false">IF(ISNUMBER(C105),C105-U105*Data_Summary!$C$2,"")</f>
        <v>2350</v>
      </c>
      <c r="E105" s="31" t="n">
        <f aca="false">IFERROR(C105/B105,"")</f>
        <v>4.31192660550459</v>
      </c>
      <c r="F105" s="26" t="n">
        <f aca="false">IFERROR(D105/B105,"")</f>
        <v>4.31192660550459</v>
      </c>
      <c r="G105" s="0" t="str">
        <f aca="false">Q105</f>
        <v>1</v>
      </c>
      <c r="H105" s="0" t="str">
        <f aca="false">IFERROR(LEFT(G105,1),"")</f>
        <v>1</v>
      </c>
      <c r="I105" s="0" t="n">
        <f aca="false">IF(LEN(G105)&gt;1,1,0)</f>
        <v>0</v>
      </c>
      <c r="J105" s="4" t="n">
        <v>46001</v>
      </c>
      <c r="K105" s="0" t="s">
        <v>10</v>
      </c>
      <c r="L105" s="0" t="s">
        <v>91</v>
      </c>
      <c r="M105" s="0" t="s">
        <v>226</v>
      </c>
      <c r="N105" s="0" t="s">
        <v>93</v>
      </c>
      <c r="O105" s="0" t="s">
        <v>750</v>
      </c>
      <c r="Q105" s="0" t="s">
        <v>242</v>
      </c>
      <c r="R105" s="0" t="n">
        <v>1</v>
      </c>
      <c r="S105" s="5" t="n">
        <v>545</v>
      </c>
      <c r="T105" s="0" t="s">
        <v>243</v>
      </c>
      <c r="U105" s="0" t="n">
        <v>0</v>
      </c>
      <c r="V105" s="0" t="s">
        <v>230</v>
      </c>
      <c r="W105" s="0" t="s">
        <v>244</v>
      </c>
      <c r="X105" s="0" t="s">
        <v>232</v>
      </c>
      <c r="Y105" s="0" t="s">
        <v>278</v>
      </c>
      <c r="Z105" s="0" t="s">
        <v>234</v>
      </c>
      <c r="AA105" s="0" t="s">
        <v>235</v>
      </c>
      <c r="AB105" s="32" t="n">
        <v>2350</v>
      </c>
      <c r="AC105" s="32" t="n">
        <v>2500</v>
      </c>
      <c r="AD105" s="26" t="n">
        <f aca="false">IFERROR(AB105/B105,"")</f>
        <v>4.31192660550459</v>
      </c>
      <c r="AE105" s="26" t="n">
        <f aca="false">IFERROR(AC105/B105,"")</f>
        <v>4.58715596330275</v>
      </c>
      <c r="AF105" s="0" t="s">
        <v>236</v>
      </c>
      <c r="AG105" s="0" t="s">
        <v>236</v>
      </c>
      <c r="AH105" s="0" t="s">
        <v>236</v>
      </c>
      <c r="AI105" s="0" t="s">
        <v>746</v>
      </c>
      <c r="AJ105" s="0" t="s">
        <v>751</v>
      </c>
      <c r="AK105" s="0" t="s">
        <v>752</v>
      </c>
      <c r="AL105" s="0" t="s">
        <v>753</v>
      </c>
      <c r="AM105" s="0" t="s">
        <v>94</v>
      </c>
      <c r="AN105" s="26" t="n">
        <f aca="false">IFERROR(E105*(1+IF(AM105="Apartment",Data_Summary!$C$3,0)),"")</f>
        <v>4.31192660550459</v>
      </c>
      <c r="AO105" s="4" t="n">
        <v>46195</v>
      </c>
    </row>
    <row r="106" customFormat="false" ht="15" hidden="false" customHeight="false" outlineLevel="0" collapsed="false">
      <c r="A106" s="0" t="n">
        <f aca="false">IF(AND(ISNUMBER(B106),B106&gt;0,ISNUMBER(AB106),AB106&gt;0,J106&gt;=Data_Summary!$C$1),1,0)</f>
        <v>1</v>
      </c>
      <c r="B106" s="30" t="n">
        <v>710</v>
      </c>
      <c r="C106" s="5" t="n">
        <f aca="false">IF(ISNUMBER(AB106),AB106,"")</f>
        <v>2800</v>
      </c>
      <c r="D106" s="0" t="n">
        <f aca="false">IF(ISNUMBER(C106),C106-U106*Data_Summary!$C$2,"")</f>
        <v>2800</v>
      </c>
      <c r="E106" s="31" t="n">
        <f aca="false">IFERROR(C106/B106,"")</f>
        <v>3.94366197183099</v>
      </c>
      <c r="F106" s="26" t="n">
        <f aca="false">IFERROR(D106/B106,"")</f>
        <v>3.94366197183099</v>
      </c>
      <c r="G106" s="0" t="str">
        <f aca="false">Q106</f>
        <v>2</v>
      </c>
      <c r="H106" s="0" t="str">
        <f aca="false">IFERROR(LEFT(G106,1),"")</f>
        <v>2</v>
      </c>
      <c r="I106" s="0" t="n">
        <f aca="false">IF(LEN(G106)&gt;1,1,0)</f>
        <v>0</v>
      </c>
      <c r="J106" s="4" t="n">
        <v>46000</v>
      </c>
      <c r="K106" s="0" t="s">
        <v>10</v>
      </c>
      <c r="L106" s="0" t="s">
        <v>91</v>
      </c>
      <c r="M106" s="0" t="s">
        <v>226</v>
      </c>
      <c r="N106" s="0" t="s">
        <v>93</v>
      </c>
      <c r="O106" s="0" t="s">
        <v>754</v>
      </c>
      <c r="Q106" s="0" t="s">
        <v>251</v>
      </c>
      <c r="R106" s="0" t="n">
        <v>2</v>
      </c>
      <c r="S106" s="5" t="n">
        <v>710</v>
      </c>
      <c r="T106" s="0" t="s">
        <v>252</v>
      </c>
      <c r="U106" s="0" t="n">
        <v>0</v>
      </c>
      <c r="V106" s="0" t="s">
        <v>230</v>
      </c>
      <c r="W106" s="0" t="s">
        <v>244</v>
      </c>
      <c r="X106" s="0" t="s">
        <v>232</v>
      </c>
      <c r="Y106" s="0" t="s">
        <v>278</v>
      </c>
      <c r="Z106" s="0" t="s">
        <v>234</v>
      </c>
      <c r="AA106" s="0" t="s">
        <v>235</v>
      </c>
      <c r="AB106" s="32" t="n">
        <v>2800</v>
      </c>
      <c r="AC106" s="32" t="n">
        <v>2800</v>
      </c>
      <c r="AD106" s="26" t="n">
        <f aca="false">IFERROR(AB106/B106,"")</f>
        <v>3.94366197183099</v>
      </c>
      <c r="AE106" s="26" t="n">
        <f aca="false">IFERROR(AC106/B106,"")</f>
        <v>3.94366197183099</v>
      </c>
      <c r="AF106" s="0" t="s">
        <v>236</v>
      </c>
      <c r="AG106" s="0" t="s">
        <v>236</v>
      </c>
      <c r="AH106" s="0" t="s">
        <v>236</v>
      </c>
      <c r="AI106" s="0" t="s">
        <v>755</v>
      </c>
      <c r="AJ106" s="0" t="s">
        <v>756</v>
      </c>
      <c r="AK106" s="0" t="s">
        <v>757</v>
      </c>
      <c r="AL106" s="0" t="s">
        <v>758</v>
      </c>
      <c r="AM106" s="0" t="s">
        <v>94</v>
      </c>
      <c r="AN106" s="26" t="n">
        <f aca="false">IFERROR(E106*(1+IF(AM106="Apartment",Data_Summary!$C$3,0)),"")</f>
        <v>3.94366197183099</v>
      </c>
      <c r="AO106" s="4" t="n">
        <v>46195</v>
      </c>
    </row>
    <row r="107" customFormat="false" ht="15" hidden="false" customHeight="false" outlineLevel="0" collapsed="false">
      <c r="A107" s="0" t="n">
        <f aca="false">IF(AND(ISNUMBER(B107),B107&gt;0,ISNUMBER(AB107),AB107&gt;0,J107&gt;=Data_Summary!$C$1),1,0)</f>
        <v>1</v>
      </c>
      <c r="B107" s="33" t="n">
        <v>920</v>
      </c>
      <c r="C107" s="5" t="n">
        <f aca="false">IF(ISNUMBER(AB107),AB107,"")</f>
        <v>3200</v>
      </c>
      <c r="D107" s="0" t="n">
        <f aca="false">IF(ISNUMBER(C107),C107-U107*Data_Summary!$C$2,"")</f>
        <v>3200</v>
      </c>
      <c r="E107" s="34" t="n">
        <f aca="false">IFERROR(C107/B107,"")</f>
        <v>3.47826086956522</v>
      </c>
      <c r="F107" s="26" t="n">
        <f aca="false">IFERROR(D107/B107,"")</f>
        <v>3.47826086956522</v>
      </c>
      <c r="G107" s="0" t="str">
        <f aca="false">Q107</f>
        <v>2</v>
      </c>
      <c r="H107" s="0" t="str">
        <f aca="false">IFERROR(LEFT(G107,1),"")</f>
        <v>2</v>
      </c>
      <c r="I107" s="0" t="n">
        <f aca="false">IF(LEN(G107)&gt;1,1,0)</f>
        <v>0</v>
      </c>
      <c r="J107" s="4" t="n">
        <v>46000</v>
      </c>
      <c r="K107" s="0" t="s">
        <v>10</v>
      </c>
      <c r="L107" s="0" t="s">
        <v>91</v>
      </c>
      <c r="M107" s="0" t="s">
        <v>226</v>
      </c>
      <c r="N107" s="0" t="s">
        <v>93</v>
      </c>
      <c r="O107" s="0" t="s">
        <v>759</v>
      </c>
      <c r="Q107" s="0" t="s">
        <v>251</v>
      </c>
      <c r="R107" s="0" t="n">
        <v>2</v>
      </c>
      <c r="S107" s="5" t="n">
        <v>920</v>
      </c>
      <c r="T107" s="0" t="s">
        <v>252</v>
      </c>
      <c r="U107" s="0" t="n">
        <v>0</v>
      </c>
      <c r="V107" s="0" t="s">
        <v>230</v>
      </c>
      <c r="W107" s="0" t="s">
        <v>244</v>
      </c>
      <c r="X107" s="0" t="s">
        <v>232</v>
      </c>
      <c r="Y107" s="0" t="s">
        <v>297</v>
      </c>
      <c r="Z107" s="0" t="s">
        <v>234</v>
      </c>
      <c r="AA107" s="0" t="s">
        <v>235</v>
      </c>
      <c r="AB107" s="32" t="n">
        <v>3200</v>
      </c>
      <c r="AC107" s="32" t="n">
        <v>3600</v>
      </c>
      <c r="AD107" s="26" t="n">
        <f aca="false">IFERROR(AB107/B107,"")</f>
        <v>3.47826086956522</v>
      </c>
      <c r="AE107" s="26" t="n">
        <f aca="false">IFERROR(AC107/B107,"")</f>
        <v>3.91304347826087</v>
      </c>
      <c r="AF107" s="0" t="s">
        <v>236</v>
      </c>
      <c r="AG107" s="0" t="s">
        <v>236</v>
      </c>
      <c r="AH107" s="0" t="s">
        <v>230</v>
      </c>
      <c r="AI107" s="0" t="s">
        <v>755</v>
      </c>
      <c r="AJ107" s="0" t="s">
        <v>760</v>
      </c>
      <c r="AK107" s="0" t="s">
        <v>761</v>
      </c>
      <c r="AL107" s="0" t="s">
        <v>762</v>
      </c>
      <c r="AM107" s="0" t="s">
        <v>94</v>
      </c>
      <c r="AN107" s="26" t="n">
        <f aca="false">IFERROR(E107*(1+IF(AM107="Apartment",Data_Summary!$C$3,0)),"")</f>
        <v>3.47826086956522</v>
      </c>
      <c r="AO107" s="4" t="n">
        <v>46195</v>
      </c>
    </row>
    <row r="108" customFormat="false" ht="15" hidden="false" customHeight="false" outlineLevel="0" collapsed="false">
      <c r="A108" s="0" t="n">
        <f aca="false">IF(AND(ISNUMBER(B108),B108&gt;0,ISNUMBER(AB108),AB108&gt;0,J108&gt;=Data_Summary!$C$1),1,0)</f>
        <v>1</v>
      </c>
      <c r="B108" s="30" t="n">
        <v>770</v>
      </c>
      <c r="C108" s="5" t="n">
        <f aca="false">IF(ISNUMBER(AB108),AB108,"")</f>
        <v>3400</v>
      </c>
      <c r="D108" s="0" t="n">
        <f aca="false">IF(ISNUMBER(C108),C108-U108*Data_Summary!$C$2,"")</f>
        <v>3250</v>
      </c>
      <c r="E108" s="31" t="n">
        <f aca="false">IFERROR(C108/B108,"")</f>
        <v>4.41558441558442</v>
      </c>
      <c r="F108" s="26" t="n">
        <f aca="false">IFERROR(D108/B108,"")</f>
        <v>4.22077922077922</v>
      </c>
      <c r="G108" s="0" t="str">
        <f aca="false">Q108</f>
        <v>2+1</v>
      </c>
      <c r="H108" s="0" t="str">
        <f aca="false">IFERROR(LEFT(G108,1),"")</f>
        <v>2</v>
      </c>
      <c r="I108" s="0" t="n">
        <f aca="false">IF(LEN(G108)&gt;1,1,0)</f>
        <v>1</v>
      </c>
      <c r="J108" s="4" t="n">
        <v>45993</v>
      </c>
      <c r="K108" s="0" t="s">
        <v>10</v>
      </c>
      <c r="L108" s="0" t="s">
        <v>91</v>
      </c>
      <c r="M108" s="0" t="s">
        <v>226</v>
      </c>
      <c r="N108" s="0" t="s">
        <v>93</v>
      </c>
      <c r="O108" s="0" t="s">
        <v>763</v>
      </c>
      <c r="Q108" s="0" t="s">
        <v>451</v>
      </c>
      <c r="R108" s="0" t="n">
        <v>2</v>
      </c>
      <c r="S108" s="5" t="n">
        <v>770</v>
      </c>
      <c r="T108" s="0" t="s">
        <v>252</v>
      </c>
      <c r="U108" s="0" t="n">
        <v>1</v>
      </c>
      <c r="V108" s="0" t="s">
        <v>230</v>
      </c>
      <c r="W108" s="0" t="s">
        <v>244</v>
      </c>
      <c r="X108" s="0" t="s">
        <v>232</v>
      </c>
      <c r="Y108" s="0" t="s">
        <v>297</v>
      </c>
      <c r="Z108" s="0" t="s">
        <v>234</v>
      </c>
      <c r="AA108" s="0" t="s">
        <v>235</v>
      </c>
      <c r="AB108" s="32" t="n">
        <v>3400</v>
      </c>
      <c r="AC108" s="32" t="n">
        <v>3500</v>
      </c>
      <c r="AD108" s="26" t="n">
        <f aca="false">IFERROR(AB108/B108,"")</f>
        <v>4.41558441558442</v>
      </c>
      <c r="AE108" s="26" t="n">
        <f aca="false">IFERROR(AC108/B108,"")</f>
        <v>4.54545454545455</v>
      </c>
      <c r="AF108" s="0" t="s">
        <v>236</v>
      </c>
      <c r="AG108" s="0" t="s">
        <v>236</v>
      </c>
      <c r="AH108" s="0" t="s">
        <v>236</v>
      </c>
      <c r="AI108" s="0" t="s">
        <v>764</v>
      </c>
      <c r="AJ108" s="0" t="s">
        <v>765</v>
      </c>
      <c r="AK108" s="0" t="s">
        <v>766</v>
      </c>
      <c r="AL108" s="0" t="s">
        <v>767</v>
      </c>
      <c r="AM108" s="0" t="s">
        <v>94</v>
      </c>
      <c r="AN108" s="26" t="n">
        <f aca="false">IFERROR(E108*(1+IF(AM108="Apartment",Data_Summary!$C$3,0)),"")</f>
        <v>4.41558441558442</v>
      </c>
      <c r="AO108" s="4" t="n">
        <v>46195</v>
      </c>
    </row>
    <row r="109" customFormat="false" ht="15" hidden="false" customHeight="false" outlineLevel="0" collapsed="false">
      <c r="A109" s="0" t="n">
        <f aca="false">IF(AND(ISNUMBER(B109),B109&gt;0,ISNUMBER(AB109),AB109&gt;0,J109&gt;=Data_Summary!$C$1),1,0)</f>
        <v>1</v>
      </c>
      <c r="B109" s="30" t="n">
        <v>763</v>
      </c>
      <c r="C109" s="5" t="n">
        <f aca="false">IF(ISNUMBER(AB109),AB109,"")</f>
        <v>3250</v>
      </c>
      <c r="D109" s="0" t="n">
        <f aca="false">IF(ISNUMBER(C109),C109-U109*Data_Summary!$C$2,"")</f>
        <v>3100</v>
      </c>
      <c r="E109" s="31" t="n">
        <f aca="false">IFERROR(C109/B109,"")</f>
        <v>4.25950196592399</v>
      </c>
      <c r="F109" s="26" t="n">
        <f aca="false">IFERROR(D109/B109,"")</f>
        <v>4.06290956749672</v>
      </c>
      <c r="G109" s="0" t="str">
        <f aca="false">Q109</f>
        <v>2+1</v>
      </c>
      <c r="H109" s="0" t="str">
        <f aca="false">IFERROR(LEFT(G109,1),"")</f>
        <v>2</v>
      </c>
      <c r="I109" s="0" t="n">
        <f aca="false">IF(LEN(G109)&gt;1,1,0)</f>
        <v>1</v>
      </c>
      <c r="J109" s="4" t="n">
        <v>45992</v>
      </c>
      <c r="K109" s="0" t="s">
        <v>10</v>
      </c>
      <c r="L109" s="0" t="s">
        <v>91</v>
      </c>
      <c r="M109" s="0" t="s">
        <v>226</v>
      </c>
      <c r="N109" s="0" t="s">
        <v>93</v>
      </c>
      <c r="O109" s="0" t="s">
        <v>768</v>
      </c>
      <c r="Q109" s="0" t="s">
        <v>451</v>
      </c>
      <c r="R109" s="0" t="n">
        <v>2</v>
      </c>
      <c r="S109" s="5" t="n">
        <v>763</v>
      </c>
      <c r="T109" s="0" t="s">
        <v>252</v>
      </c>
      <c r="U109" s="0" t="n">
        <v>1</v>
      </c>
      <c r="V109" s="0" t="s">
        <v>230</v>
      </c>
      <c r="W109" s="0" t="s">
        <v>244</v>
      </c>
      <c r="X109" s="0" t="s">
        <v>232</v>
      </c>
      <c r="Y109" s="0" t="s">
        <v>308</v>
      </c>
      <c r="Z109" s="0" t="s">
        <v>234</v>
      </c>
      <c r="AA109" s="0" t="s">
        <v>235</v>
      </c>
      <c r="AB109" s="32" t="n">
        <v>3250</v>
      </c>
      <c r="AC109" s="32" t="n">
        <v>3300</v>
      </c>
      <c r="AD109" s="26" t="n">
        <f aca="false">IFERROR(AB109/B109,"")</f>
        <v>4.25950196592399</v>
      </c>
      <c r="AE109" s="26" t="n">
        <f aca="false">IFERROR(AC109/B109,"")</f>
        <v>4.32503276539974</v>
      </c>
      <c r="AF109" s="0" t="s">
        <v>236</v>
      </c>
      <c r="AG109" s="0" t="s">
        <v>236</v>
      </c>
      <c r="AH109" s="0" t="s">
        <v>230</v>
      </c>
      <c r="AI109" s="0" t="s">
        <v>769</v>
      </c>
      <c r="AJ109" s="0" t="s">
        <v>770</v>
      </c>
      <c r="AK109" s="0" t="s">
        <v>771</v>
      </c>
      <c r="AL109" s="0" t="s">
        <v>772</v>
      </c>
      <c r="AM109" s="0" t="s">
        <v>94</v>
      </c>
      <c r="AN109" s="26" t="n">
        <f aca="false">IFERROR(E109*(1+IF(AM109="Apartment",Data_Summary!$C$3,0)),"")</f>
        <v>4.25950196592399</v>
      </c>
      <c r="AO109" s="4" t="n">
        <v>46195</v>
      </c>
    </row>
    <row r="110" customFormat="false" ht="15" hidden="false" customHeight="false" outlineLevel="0" collapsed="false">
      <c r="A110" s="0" t="n">
        <f aca="false">IF(AND(ISNUMBER(B110),B110&gt;0,ISNUMBER(AB110),AB110&gt;0,J110&gt;=Data_Summary!$C$1),1,0)</f>
        <v>1</v>
      </c>
      <c r="B110" s="30" t="n">
        <v>585</v>
      </c>
      <c r="C110" s="5" t="n">
        <f aca="false">IF(ISNUMBER(AB110),AB110,"")</f>
        <v>2500</v>
      </c>
      <c r="D110" s="0" t="n">
        <f aca="false">IF(ISNUMBER(C110),C110-U110*Data_Summary!$C$2,"")</f>
        <v>2500</v>
      </c>
      <c r="E110" s="31" t="n">
        <f aca="false">IFERROR(C110/B110,"")</f>
        <v>4.27350427350427</v>
      </c>
      <c r="F110" s="26" t="n">
        <f aca="false">IFERROR(D110/B110,"")</f>
        <v>4.27350427350427</v>
      </c>
      <c r="G110" s="0" t="str">
        <f aca="false">Q110</f>
        <v>1+1</v>
      </c>
      <c r="H110" s="0" t="str">
        <f aca="false">IFERROR(LEFT(G110,1),"")</f>
        <v>1</v>
      </c>
      <c r="I110" s="0" t="n">
        <f aca="false">IF(LEN(G110)&gt;1,1,0)</f>
        <v>1</v>
      </c>
      <c r="J110" s="4" t="n">
        <v>45990</v>
      </c>
      <c r="K110" s="0" t="s">
        <v>10</v>
      </c>
      <c r="L110" s="0" t="s">
        <v>91</v>
      </c>
      <c r="M110" s="0" t="s">
        <v>226</v>
      </c>
      <c r="N110" s="0" t="s">
        <v>93</v>
      </c>
      <c r="O110" s="0" t="s">
        <v>773</v>
      </c>
      <c r="Q110" s="0" t="s">
        <v>270</v>
      </c>
      <c r="R110" s="0" t="n">
        <v>1</v>
      </c>
      <c r="S110" s="5" t="n">
        <v>585</v>
      </c>
      <c r="T110" s="0" t="s">
        <v>243</v>
      </c>
      <c r="U110" s="0" t="n">
        <v>0</v>
      </c>
      <c r="V110" s="0" t="s">
        <v>230</v>
      </c>
      <c r="W110" s="0" t="s">
        <v>244</v>
      </c>
      <c r="X110" s="0" t="s">
        <v>232</v>
      </c>
      <c r="Y110" s="0" t="s">
        <v>253</v>
      </c>
      <c r="Z110" s="0" t="s">
        <v>234</v>
      </c>
      <c r="AA110" s="0" t="s">
        <v>235</v>
      </c>
      <c r="AB110" s="32" t="n">
        <v>2500</v>
      </c>
      <c r="AC110" s="32" t="n">
        <v>2500</v>
      </c>
      <c r="AD110" s="26" t="n">
        <f aca="false">IFERROR(AB110/B110,"")</f>
        <v>4.27350427350427</v>
      </c>
      <c r="AE110" s="26" t="n">
        <f aca="false">IFERROR(AC110/B110,"")</f>
        <v>4.27350427350427</v>
      </c>
      <c r="AF110" s="0" t="s">
        <v>236</v>
      </c>
      <c r="AG110" s="0" t="s">
        <v>236</v>
      </c>
      <c r="AH110" s="0" t="s">
        <v>236</v>
      </c>
      <c r="AI110" s="0" t="s">
        <v>774</v>
      </c>
      <c r="AJ110" s="0" t="s">
        <v>775</v>
      </c>
      <c r="AK110" s="0" t="s">
        <v>776</v>
      </c>
      <c r="AL110" s="0" t="s">
        <v>777</v>
      </c>
      <c r="AM110" s="0" t="s">
        <v>94</v>
      </c>
      <c r="AN110" s="26" t="n">
        <f aca="false">IFERROR(E110*(1+IF(AM110="Apartment",Data_Summary!$C$3,0)),"")</f>
        <v>4.27350427350427</v>
      </c>
      <c r="AO110" s="4" t="n">
        <v>46195</v>
      </c>
    </row>
    <row r="111" customFormat="false" ht="15" hidden="false" customHeight="false" outlineLevel="0" collapsed="false">
      <c r="A111" s="0" t="n">
        <f aca="false">IF(AND(ISNUMBER(B111),B111&gt;0,ISNUMBER(AB111),AB111&gt;0,J111&gt;=Data_Summary!$C$1),1,0)</f>
        <v>1</v>
      </c>
      <c r="B111" s="33" t="n">
        <v>600</v>
      </c>
      <c r="C111" s="5" t="n">
        <f aca="false">IF(ISNUMBER(AB111),AB111,"")</f>
        <v>2300</v>
      </c>
      <c r="D111" s="0" t="n">
        <f aca="false">IF(ISNUMBER(C111),C111-U111*Data_Summary!$C$2,"")</f>
        <v>2300</v>
      </c>
      <c r="E111" s="34" t="n">
        <f aca="false">IFERROR(C111/B111,"")</f>
        <v>3.83333333333333</v>
      </c>
      <c r="F111" s="26" t="n">
        <f aca="false">IFERROR(D111/B111,"")</f>
        <v>3.83333333333333</v>
      </c>
      <c r="G111" s="0" t="str">
        <f aca="false">Q111</f>
        <v>1</v>
      </c>
      <c r="H111" s="0" t="str">
        <f aca="false">IFERROR(LEFT(G111,1),"")</f>
        <v>1</v>
      </c>
      <c r="I111" s="0" t="n">
        <f aca="false">IF(LEN(G111)&gt;1,1,0)</f>
        <v>0</v>
      </c>
      <c r="J111" s="4" t="n">
        <v>45987</v>
      </c>
      <c r="K111" s="0" t="s">
        <v>10</v>
      </c>
      <c r="L111" s="0" t="s">
        <v>91</v>
      </c>
      <c r="M111" s="0" t="s">
        <v>226</v>
      </c>
      <c r="N111" s="0" t="s">
        <v>93</v>
      </c>
      <c r="O111" s="0" t="s">
        <v>778</v>
      </c>
      <c r="Q111" s="0" t="s">
        <v>242</v>
      </c>
      <c r="R111" s="0" t="n">
        <v>1</v>
      </c>
      <c r="S111" s="5" t="n">
        <v>600</v>
      </c>
      <c r="T111" s="0" t="s">
        <v>243</v>
      </c>
      <c r="U111" s="0" t="n">
        <v>0</v>
      </c>
      <c r="V111" s="0" t="s">
        <v>230</v>
      </c>
      <c r="W111" s="0" t="s">
        <v>244</v>
      </c>
      <c r="X111" s="0" t="s">
        <v>232</v>
      </c>
      <c r="Y111" s="0" t="s">
        <v>278</v>
      </c>
      <c r="Z111" s="0" t="s">
        <v>234</v>
      </c>
      <c r="AA111" s="0" t="s">
        <v>235</v>
      </c>
      <c r="AB111" s="32" t="n">
        <v>2300</v>
      </c>
      <c r="AC111" s="32" t="n">
        <v>2400</v>
      </c>
      <c r="AD111" s="26" t="n">
        <f aca="false">IFERROR(AB111/B111,"")</f>
        <v>3.83333333333333</v>
      </c>
      <c r="AE111" s="26" t="n">
        <f aca="false">IFERROR(AC111/B111,"")</f>
        <v>4</v>
      </c>
      <c r="AF111" s="0" t="s">
        <v>236</v>
      </c>
      <c r="AG111" s="0" t="s">
        <v>236</v>
      </c>
      <c r="AH111" s="0" t="s">
        <v>230</v>
      </c>
      <c r="AI111" s="0" t="s">
        <v>779</v>
      </c>
      <c r="AJ111" s="0" t="s">
        <v>780</v>
      </c>
      <c r="AK111" s="0" t="s">
        <v>781</v>
      </c>
      <c r="AL111" s="0" t="s">
        <v>782</v>
      </c>
      <c r="AM111" s="0" t="s">
        <v>94</v>
      </c>
      <c r="AN111" s="26" t="n">
        <f aca="false">IFERROR(E111*(1+IF(AM111="Apartment",Data_Summary!$C$3,0)),"")</f>
        <v>3.83333333333333</v>
      </c>
      <c r="AO111" s="4" t="n">
        <v>46195</v>
      </c>
    </row>
    <row r="112" customFormat="false" ht="15" hidden="false" customHeight="false" outlineLevel="0" collapsed="false">
      <c r="A112" s="0" t="n">
        <f aca="false">IF(AND(ISNUMBER(B112),B112&gt;0,ISNUMBER(AB112),AB112&gt;0,J112&gt;=Data_Summary!$C$1),1,0)</f>
        <v>1</v>
      </c>
      <c r="B112" s="30" t="n">
        <v>545</v>
      </c>
      <c r="C112" s="5" t="n">
        <f aca="false">IF(ISNUMBER(AB112),AB112,"")</f>
        <v>2600</v>
      </c>
      <c r="D112" s="0" t="n">
        <f aca="false">IF(ISNUMBER(C112),C112-U112*Data_Summary!$C$2,"")</f>
        <v>2600</v>
      </c>
      <c r="E112" s="31" t="n">
        <f aca="false">IFERROR(C112/B112,"")</f>
        <v>4.77064220183486</v>
      </c>
      <c r="F112" s="26" t="n">
        <f aca="false">IFERROR(D112/B112,"")</f>
        <v>4.77064220183486</v>
      </c>
      <c r="G112" s="0" t="str">
        <f aca="false">Q112</f>
        <v>1</v>
      </c>
      <c r="H112" s="0" t="str">
        <f aca="false">IFERROR(LEFT(G112,1),"")</f>
        <v>1</v>
      </c>
      <c r="I112" s="0" t="n">
        <f aca="false">IF(LEN(G112)&gt;1,1,0)</f>
        <v>0</v>
      </c>
      <c r="J112" s="4" t="n">
        <v>45986</v>
      </c>
      <c r="K112" s="0" t="s">
        <v>10</v>
      </c>
      <c r="L112" s="0" t="s">
        <v>91</v>
      </c>
      <c r="M112" s="0" t="s">
        <v>226</v>
      </c>
      <c r="N112" s="0" t="s">
        <v>93</v>
      </c>
      <c r="O112" s="0" t="s">
        <v>431</v>
      </c>
      <c r="Q112" s="0" t="s">
        <v>242</v>
      </c>
      <c r="R112" s="0" t="n">
        <v>1</v>
      </c>
      <c r="S112" s="5" t="n">
        <v>545</v>
      </c>
      <c r="T112" s="0" t="s">
        <v>243</v>
      </c>
      <c r="U112" s="0" t="n">
        <v>0</v>
      </c>
      <c r="V112" s="0" t="s">
        <v>230</v>
      </c>
      <c r="W112" s="0" t="s">
        <v>244</v>
      </c>
      <c r="X112" s="0" t="s">
        <v>232</v>
      </c>
      <c r="Y112" s="0" t="s">
        <v>278</v>
      </c>
      <c r="Z112" s="0" t="s">
        <v>234</v>
      </c>
      <c r="AA112" s="0" t="s">
        <v>235</v>
      </c>
      <c r="AB112" s="32" t="n">
        <v>2600</v>
      </c>
      <c r="AC112" s="32" t="n">
        <v>2599</v>
      </c>
      <c r="AD112" s="26" t="n">
        <f aca="false">IFERROR(AB112/B112,"")</f>
        <v>4.77064220183486</v>
      </c>
      <c r="AE112" s="26" t="n">
        <f aca="false">IFERROR(AC112/B112,"")</f>
        <v>4.76880733944954</v>
      </c>
      <c r="AF112" s="0" t="s">
        <v>236</v>
      </c>
      <c r="AG112" s="0" t="s">
        <v>236</v>
      </c>
      <c r="AH112" s="0" t="s">
        <v>236</v>
      </c>
      <c r="AI112" s="0" t="s">
        <v>783</v>
      </c>
      <c r="AJ112" s="0" t="s">
        <v>784</v>
      </c>
      <c r="AK112" s="0" t="s">
        <v>785</v>
      </c>
      <c r="AL112" s="0" t="s">
        <v>786</v>
      </c>
      <c r="AM112" s="0" t="s">
        <v>94</v>
      </c>
      <c r="AN112" s="26" t="n">
        <f aca="false">IFERROR(E112*(1+IF(AM112="Apartment",Data_Summary!$C$3,0)),"")</f>
        <v>4.77064220183486</v>
      </c>
      <c r="AO112" s="4" t="n">
        <v>46195</v>
      </c>
    </row>
    <row r="113" customFormat="false" ht="15" hidden="false" customHeight="false" outlineLevel="0" collapsed="false">
      <c r="A113" s="0" t="n">
        <f aca="false">IF(AND(ISNUMBER(B113),B113&gt;0,ISNUMBER(AB113),AB113&gt;0,J113&gt;=Data_Summary!$C$1),1,0)</f>
        <v>1</v>
      </c>
      <c r="B113" s="30" t="n">
        <v>492</v>
      </c>
      <c r="C113" s="5" t="n">
        <f aca="false">IF(ISNUMBER(AB113),AB113,"")</f>
        <v>2200</v>
      </c>
      <c r="D113" s="0" t="n">
        <f aca="false">IF(ISNUMBER(C113),C113-U113*Data_Summary!$C$2,"")</f>
        <v>2200</v>
      </c>
      <c r="E113" s="31" t="n">
        <f aca="false">IFERROR(C113/B113,"")</f>
        <v>4.47154471544716</v>
      </c>
      <c r="F113" s="26" t="n">
        <f aca="false">IFERROR(D113/B113,"")</f>
        <v>4.47154471544716</v>
      </c>
      <c r="G113" s="0" t="str">
        <f aca="false">Q113</f>
        <v>1</v>
      </c>
      <c r="H113" s="0" t="str">
        <f aca="false">IFERROR(LEFT(G113,1),"")</f>
        <v>1</v>
      </c>
      <c r="I113" s="0" t="n">
        <f aca="false">IF(LEN(G113)&gt;1,1,0)</f>
        <v>0</v>
      </c>
      <c r="J113" s="4" t="n">
        <v>45983</v>
      </c>
      <c r="K113" s="0" t="s">
        <v>10</v>
      </c>
      <c r="L113" s="0" t="s">
        <v>91</v>
      </c>
      <c r="M113" s="0" t="s">
        <v>226</v>
      </c>
      <c r="N113" s="0" t="s">
        <v>93</v>
      </c>
      <c r="O113" s="0" t="s">
        <v>787</v>
      </c>
      <c r="Q113" s="0" t="s">
        <v>242</v>
      </c>
      <c r="R113" s="0" t="n">
        <v>1</v>
      </c>
      <c r="S113" s="5" t="n">
        <v>492</v>
      </c>
      <c r="T113" s="0" t="s">
        <v>303</v>
      </c>
      <c r="U113" s="0" t="n">
        <v>0</v>
      </c>
      <c r="V113" s="0" t="s">
        <v>230</v>
      </c>
      <c r="W113" s="0" t="s">
        <v>244</v>
      </c>
      <c r="X113" s="0" t="s">
        <v>232</v>
      </c>
      <c r="Y113" s="0" t="s">
        <v>253</v>
      </c>
      <c r="Z113" s="0" t="s">
        <v>234</v>
      </c>
      <c r="AA113" s="0" t="s">
        <v>235</v>
      </c>
      <c r="AB113" s="32" t="n">
        <v>2200</v>
      </c>
      <c r="AC113" s="32" t="n">
        <v>2200</v>
      </c>
      <c r="AD113" s="26" t="n">
        <f aca="false">IFERROR(AB113/B113,"")</f>
        <v>4.47154471544716</v>
      </c>
      <c r="AE113" s="26" t="n">
        <f aca="false">IFERROR(AC113/B113,"")</f>
        <v>4.47154471544716</v>
      </c>
      <c r="AF113" s="0" t="s">
        <v>236</v>
      </c>
      <c r="AG113" s="0" t="s">
        <v>236</v>
      </c>
      <c r="AH113" s="0" t="s">
        <v>230</v>
      </c>
      <c r="AI113" s="0" t="s">
        <v>788</v>
      </c>
      <c r="AJ113" s="0" t="s">
        <v>789</v>
      </c>
      <c r="AK113" s="0" t="s">
        <v>790</v>
      </c>
      <c r="AL113" s="0" t="s">
        <v>791</v>
      </c>
      <c r="AM113" s="0" t="s">
        <v>94</v>
      </c>
      <c r="AN113" s="26" t="n">
        <f aca="false">IFERROR(E113*(1+IF(AM113="Apartment",Data_Summary!$C$3,0)),"")</f>
        <v>4.47154471544716</v>
      </c>
      <c r="AO113" s="4" t="n">
        <v>46195</v>
      </c>
    </row>
    <row r="114" customFormat="false" ht="15" hidden="false" customHeight="false" outlineLevel="0" collapsed="false">
      <c r="A114" s="0" t="n">
        <f aca="false">IF(AND(ISNUMBER(B114),B114&gt;0,ISNUMBER(AB114),AB114&gt;0,J114&gt;=Data_Summary!$C$1),1,0)</f>
        <v>1</v>
      </c>
      <c r="B114" s="30" t="n">
        <v>622</v>
      </c>
      <c r="C114" s="5" t="n">
        <f aca="false">IF(ISNUMBER(AB114),AB114,"")</f>
        <v>2750</v>
      </c>
      <c r="D114" s="0" t="n">
        <f aca="false">IF(ISNUMBER(C114),C114-U114*Data_Summary!$C$2,"")</f>
        <v>2750</v>
      </c>
      <c r="E114" s="31" t="n">
        <f aca="false">IFERROR(C114/B114,"")</f>
        <v>4.42122186495177</v>
      </c>
      <c r="F114" s="26" t="n">
        <f aca="false">IFERROR(D114/B114,"")</f>
        <v>4.42122186495177</v>
      </c>
      <c r="G114" s="0" t="str">
        <f aca="false">Q114</f>
        <v>2</v>
      </c>
      <c r="H114" s="0" t="str">
        <f aca="false">IFERROR(LEFT(G114,1),"")</f>
        <v>2</v>
      </c>
      <c r="I114" s="0" t="n">
        <f aca="false">IF(LEN(G114)&gt;1,1,0)</f>
        <v>0</v>
      </c>
      <c r="J114" s="4" t="n">
        <v>45982</v>
      </c>
      <c r="K114" s="0" t="s">
        <v>10</v>
      </c>
      <c r="L114" s="0" t="s">
        <v>91</v>
      </c>
      <c r="M114" s="0" t="s">
        <v>226</v>
      </c>
      <c r="N114" s="0" t="s">
        <v>93</v>
      </c>
      <c r="O114" s="0" t="s">
        <v>792</v>
      </c>
      <c r="Q114" s="0" t="s">
        <v>251</v>
      </c>
      <c r="R114" s="0" t="n">
        <v>2</v>
      </c>
      <c r="S114" s="5" t="n">
        <v>622</v>
      </c>
      <c r="T114" s="0" t="s">
        <v>271</v>
      </c>
      <c r="U114" s="0" t="n">
        <v>0</v>
      </c>
      <c r="V114" s="0" t="s">
        <v>230</v>
      </c>
      <c r="W114" s="0" t="s">
        <v>244</v>
      </c>
      <c r="X114" s="0" t="s">
        <v>232</v>
      </c>
      <c r="Y114" s="0" t="s">
        <v>278</v>
      </c>
      <c r="Z114" s="0" t="s">
        <v>234</v>
      </c>
      <c r="AA114" s="0" t="s">
        <v>235</v>
      </c>
      <c r="AB114" s="32" t="n">
        <v>2750</v>
      </c>
      <c r="AC114" s="32" t="n">
        <v>2750</v>
      </c>
      <c r="AD114" s="26" t="n">
        <f aca="false">IFERROR(AB114/B114,"")</f>
        <v>4.42122186495177</v>
      </c>
      <c r="AE114" s="26" t="n">
        <f aca="false">IFERROR(AC114/B114,"")</f>
        <v>4.42122186495177</v>
      </c>
      <c r="AF114" s="0" t="s">
        <v>236</v>
      </c>
      <c r="AG114" s="0" t="s">
        <v>236</v>
      </c>
      <c r="AH114" s="0" t="s">
        <v>230</v>
      </c>
      <c r="AI114" s="0" t="s">
        <v>793</v>
      </c>
      <c r="AJ114" s="0" t="s">
        <v>794</v>
      </c>
      <c r="AK114" s="0" t="s">
        <v>795</v>
      </c>
      <c r="AL114" s="0" t="s">
        <v>796</v>
      </c>
      <c r="AM114" s="0" t="s">
        <v>94</v>
      </c>
      <c r="AN114" s="26" t="n">
        <f aca="false">IFERROR(E114*(1+IF(AM114="Apartment",Data_Summary!$C$3,0)),"")</f>
        <v>4.42122186495177</v>
      </c>
      <c r="AO114" s="4" t="n">
        <v>46195</v>
      </c>
    </row>
    <row r="115" customFormat="false" ht="15" hidden="false" customHeight="false" outlineLevel="0" collapsed="false">
      <c r="A115" s="0" t="n">
        <f aca="false">IF(AND(ISNUMBER(B115),B115&gt;0,ISNUMBER(AB115),AB115&gt;0,J115&gt;=Data_Summary!$C$1),1,0)</f>
        <v>1</v>
      </c>
      <c r="B115" s="30" t="n">
        <v>710</v>
      </c>
      <c r="C115" s="5" t="n">
        <f aca="false">IF(ISNUMBER(AB115),AB115,"")</f>
        <v>2800</v>
      </c>
      <c r="D115" s="0" t="n">
        <f aca="false">IF(ISNUMBER(C115),C115-U115*Data_Summary!$C$2,"")</f>
        <v>2800</v>
      </c>
      <c r="E115" s="31" t="n">
        <f aca="false">IFERROR(C115/B115,"")</f>
        <v>3.94366197183099</v>
      </c>
      <c r="F115" s="26" t="n">
        <f aca="false">IFERROR(D115/B115,"")</f>
        <v>3.94366197183099</v>
      </c>
      <c r="G115" s="0" t="str">
        <f aca="false">Q115</f>
        <v>2</v>
      </c>
      <c r="H115" s="0" t="str">
        <f aca="false">IFERROR(LEFT(G115,1),"")</f>
        <v>2</v>
      </c>
      <c r="I115" s="0" t="n">
        <f aca="false">IF(LEN(G115)&gt;1,1,0)</f>
        <v>0</v>
      </c>
      <c r="J115" s="4" t="n">
        <v>45968</v>
      </c>
      <c r="K115" s="0" t="s">
        <v>10</v>
      </c>
      <c r="L115" s="0" t="s">
        <v>91</v>
      </c>
      <c r="M115" s="0" t="s">
        <v>226</v>
      </c>
      <c r="N115" s="0" t="s">
        <v>93</v>
      </c>
      <c r="O115" s="0" t="s">
        <v>797</v>
      </c>
      <c r="Q115" s="0" t="s">
        <v>251</v>
      </c>
      <c r="R115" s="0" t="n">
        <v>2</v>
      </c>
      <c r="S115" s="5" t="n">
        <v>710</v>
      </c>
      <c r="T115" s="0" t="s">
        <v>252</v>
      </c>
      <c r="U115" s="0" t="n">
        <v>0</v>
      </c>
      <c r="V115" s="0" t="s">
        <v>230</v>
      </c>
      <c r="W115" s="0" t="s">
        <v>244</v>
      </c>
      <c r="X115" s="0" t="s">
        <v>232</v>
      </c>
      <c r="Y115" s="0" t="s">
        <v>278</v>
      </c>
      <c r="Z115" s="0" t="s">
        <v>234</v>
      </c>
      <c r="AA115" s="0" t="s">
        <v>235</v>
      </c>
      <c r="AB115" s="32" t="n">
        <v>2800</v>
      </c>
      <c r="AC115" s="32" t="n">
        <v>2800</v>
      </c>
      <c r="AD115" s="26" t="n">
        <f aca="false">IFERROR(AB115/B115,"")</f>
        <v>3.94366197183099</v>
      </c>
      <c r="AE115" s="26" t="n">
        <f aca="false">IFERROR(AC115/B115,"")</f>
        <v>3.94366197183099</v>
      </c>
      <c r="AF115" s="0" t="s">
        <v>236</v>
      </c>
      <c r="AG115" s="0" t="s">
        <v>236</v>
      </c>
      <c r="AH115" s="0" t="s">
        <v>230</v>
      </c>
      <c r="AI115" s="0" t="s">
        <v>798</v>
      </c>
      <c r="AJ115" s="0" t="s">
        <v>799</v>
      </c>
      <c r="AK115" s="0" t="s">
        <v>800</v>
      </c>
      <c r="AL115" s="0" t="s">
        <v>801</v>
      </c>
      <c r="AM115" s="0" t="s">
        <v>94</v>
      </c>
      <c r="AN115" s="26" t="n">
        <f aca="false">IFERROR(E115*(1+IF(AM115="Apartment",Data_Summary!$C$3,0)),"")</f>
        <v>3.94366197183099</v>
      </c>
      <c r="AO115" s="4" t="n">
        <v>46195</v>
      </c>
    </row>
    <row r="116" customFormat="false" ht="15" hidden="false" customHeight="false" outlineLevel="0" collapsed="false">
      <c r="A116" s="0" t="n">
        <f aca="false">IF(AND(ISNUMBER(B116),B116&gt;0,ISNUMBER(AB116),AB116&gt;0,J116&gt;=Data_Summary!$C$1),1,0)</f>
        <v>1</v>
      </c>
      <c r="B116" s="33" t="n">
        <v>692</v>
      </c>
      <c r="C116" s="5" t="n">
        <f aca="false">IF(ISNUMBER(AB116),AB116,"")</f>
        <v>2400</v>
      </c>
      <c r="D116" s="0" t="n">
        <f aca="false">IF(ISNUMBER(C116),C116-U116*Data_Summary!$C$2,"")</f>
        <v>2400</v>
      </c>
      <c r="E116" s="34" t="n">
        <f aca="false">IFERROR(C116/B116,"")</f>
        <v>3.46820809248555</v>
      </c>
      <c r="F116" s="26" t="n">
        <f aca="false">IFERROR(D116/B116,"")</f>
        <v>3.46820809248555</v>
      </c>
      <c r="G116" s="0" t="str">
        <f aca="false">Q116</f>
        <v>1</v>
      </c>
      <c r="H116" s="0" t="str">
        <f aca="false">IFERROR(LEFT(G116,1),"")</f>
        <v>1</v>
      </c>
      <c r="I116" s="0" t="n">
        <f aca="false">IF(LEN(G116)&gt;1,1,0)</f>
        <v>0</v>
      </c>
      <c r="J116" s="4" t="n">
        <v>45967</v>
      </c>
      <c r="K116" s="0" t="s">
        <v>10</v>
      </c>
      <c r="L116" s="0" t="s">
        <v>91</v>
      </c>
      <c r="M116" s="0" t="s">
        <v>226</v>
      </c>
      <c r="N116" s="0" t="s">
        <v>93</v>
      </c>
      <c r="O116" s="0" t="s">
        <v>802</v>
      </c>
      <c r="Q116" s="0" t="s">
        <v>242</v>
      </c>
      <c r="R116" s="0" t="n">
        <v>1</v>
      </c>
      <c r="S116" s="5" t="n">
        <v>692</v>
      </c>
      <c r="T116" s="0" t="s">
        <v>243</v>
      </c>
      <c r="U116" s="0" t="n">
        <v>0</v>
      </c>
      <c r="V116" s="0" t="s">
        <v>230</v>
      </c>
      <c r="W116" s="0" t="s">
        <v>244</v>
      </c>
      <c r="X116" s="0" t="s">
        <v>232</v>
      </c>
      <c r="Y116" s="0" t="s">
        <v>278</v>
      </c>
      <c r="Z116" s="0" t="s">
        <v>234</v>
      </c>
      <c r="AA116" s="0" t="s">
        <v>235</v>
      </c>
      <c r="AB116" s="32" t="n">
        <v>2400</v>
      </c>
      <c r="AC116" s="32" t="n">
        <v>2500</v>
      </c>
      <c r="AD116" s="26" t="n">
        <f aca="false">IFERROR(AB116/B116,"")</f>
        <v>3.46820809248555</v>
      </c>
      <c r="AE116" s="26" t="n">
        <f aca="false">IFERROR(AC116/B116,"")</f>
        <v>3.61271676300578</v>
      </c>
      <c r="AF116" s="0" t="s">
        <v>236</v>
      </c>
      <c r="AG116" s="0" t="s">
        <v>236</v>
      </c>
      <c r="AH116" s="0" t="s">
        <v>230</v>
      </c>
      <c r="AI116" s="0" t="s">
        <v>803</v>
      </c>
      <c r="AJ116" s="0" t="s">
        <v>804</v>
      </c>
      <c r="AK116" s="0" t="s">
        <v>805</v>
      </c>
      <c r="AL116" s="0" t="s">
        <v>806</v>
      </c>
      <c r="AM116" s="0" t="s">
        <v>94</v>
      </c>
      <c r="AN116" s="26" t="n">
        <f aca="false">IFERROR(E116*(1+IF(AM116="Apartment",Data_Summary!$C$3,0)),"")</f>
        <v>3.46820809248555</v>
      </c>
      <c r="AO116" s="4" t="n">
        <v>46195</v>
      </c>
    </row>
    <row r="117" customFormat="false" ht="15" hidden="false" customHeight="false" outlineLevel="0" collapsed="false">
      <c r="A117" s="0" t="n">
        <f aca="false">IF(AND(ISNUMBER(B117),B117&gt;0,ISNUMBER(AB117),AB117&gt;0,J117&gt;=Data_Summary!$C$1),1,0)</f>
        <v>1</v>
      </c>
      <c r="B117" s="30" t="n">
        <v>492</v>
      </c>
      <c r="C117" s="5" t="n">
        <f aca="false">IF(ISNUMBER(AB117),AB117,"")</f>
        <v>2300</v>
      </c>
      <c r="D117" s="0" t="n">
        <f aca="false">IF(ISNUMBER(C117),C117-U117*Data_Summary!$C$2,"")</f>
        <v>2300</v>
      </c>
      <c r="E117" s="31" t="n">
        <f aca="false">IFERROR(C117/B117,"")</f>
        <v>4.67479674796748</v>
      </c>
      <c r="F117" s="26" t="n">
        <f aca="false">IFERROR(D117/B117,"")</f>
        <v>4.67479674796748</v>
      </c>
      <c r="G117" s="0" t="str">
        <f aca="false">Q117</f>
        <v>1</v>
      </c>
      <c r="H117" s="0" t="str">
        <f aca="false">IFERROR(LEFT(G117,1),"")</f>
        <v>1</v>
      </c>
      <c r="I117" s="0" t="n">
        <f aca="false">IF(LEN(G117)&gt;1,1,0)</f>
        <v>0</v>
      </c>
      <c r="J117" s="4" t="n">
        <v>45964</v>
      </c>
      <c r="K117" s="0" t="s">
        <v>10</v>
      </c>
      <c r="L117" s="0" t="s">
        <v>91</v>
      </c>
      <c r="M117" s="0" t="s">
        <v>226</v>
      </c>
      <c r="N117" s="0" t="s">
        <v>93</v>
      </c>
      <c r="O117" s="0" t="s">
        <v>807</v>
      </c>
      <c r="Q117" s="0" t="s">
        <v>242</v>
      </c>
      <c r="R117" s="0" t="n">
        <v>1</v>
      </c>
      <c r="S117" s="5" t="n">
        <v>492</v>
      </c>
      <c r="T117" s="0" t="s">
        <v>303</v>
      </c>
      <c r="U117" s="0" t="n">
        <v>0</v>
      </c>
      <c r="V117" s="0" t="s">
        <v>230</v>
      </c>
      <c r="W117" s="0" t="s">
        <v>244</v>
      </c>
      <c r="X117" s="0" t="s">
        <v>232</v>
      </c>
      <c r="Y117" s="0" t="s">
        <v>253</v>
      </c>
      <c r="Z117" s="0" t="s">
        <v>234</v>
      </c>
      <c r="AA117" s="0" t="s">
        <v>235</v>
      </c>
      <c r="AB117" s="32" t="n">
        <v>2300</v>
      </c>
      <c r="AC117" s="32" t="n">
        <v>2300</v>
      </c>
      <c r="AD117" s="26" t="n">
        <f aca="false">IFERROR(AB117/B117,"")</f>
        <v>4.67479674796748</v>
      </c>
      <c r="AE117" s="26" t="n">
        <f aca="false">IFERROR(AC117/B117,"")</f>
        <v>4.67479674796748</v>
      </c>
      <c r="AF117" s="0" t="s">
        <v>236</v>
      </c>
      <c r="AG117" s="0" t="s">
        <v>236</v>
      </c>
      <c r="AH117" s="0" t="s">
        <v>230</v>
      </c>
      <c r="AI117" s="0" t="s">
        <v>808</v>
      </c>
      <c r="AJ117" s="0" t="s">
        <v>809</v>
      </c>
      <c r="AK117" s="0" t="s">
        <v>810</v>
      </c>
      <c r="AL117" s="0" t="s">
        <v>811</v>
      </c>
      <c r="AM117" s="0" t="s">
        <v>94</v>
      </c>
      <c r="AN117" s="26" t="n">
        <f aca="false">IFERROR(E117*(1+IF(AM117="Apartment",Data_Summary!$C$3,0)),"")</f>
        <v>4.67479674796748</v>
      </c>
      <c r="AO117" s="4" t="n">
        <v>46195</v>
      </c>
    </row>
    <row r="118" customFormat="false" ht="15" hidden="false" customHeight="false" outlineLevel="0" collapsed="false">
      <c r="A118" s="0" t="n">
        <f aca="false">IF(AND(ISNUMBER(B118),B118&gt;0,ISNUMBER(AB118),AB118&gt;0,J118&gt;=Data_Summary!$C$1),1,0)</f>
        <v>1</v>
      </c>
      <c r="B118" s="33" t="n">
        <v>535</v>
      </c>
      <c r="C118" s="5" t="n">
        <f aca="false">IF(ISNUMBER(AB118),AB118,"")</f>
        <v>2900</v>
      </c>
      <c r="D118" s="0" t="n">
        <f aca="false">IF(ISNUMBER(C118),C118-U118*Data_Summary!$C$2,"")</f>
        <v>2900</v>
      </c>
      <c r="E118" s="34" t="n">
        <f aca="false">IFERROR(C118/B118,"")</f>
        <v>5.42056074766355</v>
      </c>
      <c r="F118" s="26" t="n">
        <f aca="false">IFERROR(D118/B118,"")</f>
        <v>5.42056074766355</v>
      </c>
      <c r="G118" s="0" t="str">
        <f aca="false">Q118</f>
        <v>1+1</v>
      </c>
      <c r="H118" s="0" t="str">
        <f aca="false">IFERROR(LEFT(G118,1),"")</f>
        <v>1</v>
      </c>
      <c r="I118" s="0" t="n">
        <f aca="false">IF(LEN(G118)&gt;1,1,0)</f>
        <v>1</v>
      </c>
      <c r="J118" s="4" t="n">
        <v>45959</v>
      </c>
      <c r="K118" s="0" t="s">
        <v>10</v>
      </c>
      <c r="L118" s="0" t="s">
        <v>91</v>
      </c>
      <c r="M118" s="0" t="s">
        <v>226</v>
      </c>
      <c r="N118" s="0" t="s">
        <v>93</v>
      </c>
      <c r="O118" s="0" t="s">
        <v>812</v>
      </c>
      <c r="Q118" s="0" t="s">
        <v>270</v>
      </c>
      <c r="R118" s="0" t="n">
        <v>2</v>
      </c>
      <c r="S118" s="5" t="n">
        <v>535</v>
      </c>
      <c r="T118" s="0" t="s">
        <v>271</v>
      </c>
      <c r="U118" s="0" t="n">
        <v>0</v>
      </c>
      <c r="V118" s="0" t="s">
        <v>230</v>
      </c>
      <c r="W118" s="0" t="s">
        <v>244</v>
      </c>
      <c r="X118" s="0" t="s">
        <v>232</v>
      </c>
      <c r="Y118" s="0" t="s">
        <v>278</v>
      </c>
      <c r="Z118" s="0" t="s">
        <v>234</v>
      </c>
      <c r="AA118" s="0" t="s">
        <v>235</v>
      </c>
      <c r="AB118" s="32" t="n">
        <v>2900</v>
      </c>
      <c r="AC118" s="32" t="n">
        <v>2900</v>
      </c>
      <c r="AD118" s="26" t="n">
        <f aca="false">IFERROR(AB118/B118,"")</f>
        <v>5.42056074766355</v>
      </c>
      <c r="AE118" s="26" t="n">
        <f aca="false">IFERROR(AC118/B118,"")</f>
        <v>5.42056074766355</v>
      </c>
      <c r="AF118" s="0" t="s">
        <v>236</v>
      </c>
      <c r="AG118" s="0" t="s">
        <v>236</v>
      </c>
      <c r="AH118" s="0" t="s">
        <v>230</v>
      </c>
      <c r="AI118" s="0" t="s">
        <v>813</v>
      </c>
      <c r="AJ118" s="0" t="s">
        <v>814</v>
      </c>
      <c r="AK118" s="0" t="s">
        <v>815</v>
      </c>
      <c r="AL118" s="0" t="s">
        <v>816</v>
      </c>
      <c r="AM118" s="0" t="s">
        <v>94</v>
      </c>
      <c r="AN118" s="26" t="n">
        <f aca="false">IFERROR(E118*(1+IF(AM118="Apartment",Data_Summary!$C$3,0)),"")</f>
        <v>5.42056074766355</v>
      </c>
      <c r="AO118" s="4" t="n">
        <v>46195</v>
      </c>
    </row>
    <row r="119" customFormat="false" ht="15" hidden="false" customHeight="false" outlineLevel="0" collapsed="false">
      <c r="A119" s="0" t="n">
        <f aca="false">IF(AND(ISNUMBER(B119),B119&gt;0,ISNUMBER(AB119),AB119&gt;0,J119&gt;=Data_Summary!$C$1),1,0)</f>
        <v>1</v>
      </c>
      <c r="B119" s="30" t="n">
        <v>660</v>
      </c>
      <c r="C119" s="5" t="n">
        <f aca="false">IF(ISNUMBER(AB119),AB119,"")</f>
        <v>2600</v>
      </c>
      <c r="D119" s="0" t="n">
        <f aca="false">IF(ISNUMBER(C119),C119-U119*Data_Summary!$C$2,"")</f>
        <v>2600</v>
      </c>
      <c r="E119" s="31" t="n">
        <f aca="false">IFERROR(C119/B119,"")</f>
        <v>3.93939393939394</v>
      </c>
      <c r="F119" s="26" t="n">
        <f aca="false">IFERROR(D119/B119,"")</f>
        <v>3.93939393939394</v>
      </c>
      <c r="G119" s="0" t="str">
        <f aca="false">Q119</f>
        <v>2</v>
      </c>
      <c r="H119" s="0" t="str">
        <f aca="false">IFERROR(LEFT(G119,1),"")</f>
        <v>2</v>
      </c>
      <c r="I119" s="0" t="n">
        <f aca="false">IF(LEN(G119)&gt;1,1,0)</f>
        <v>0</v>
      </c>
      <c r="J119" s="4" t="n">
        <v>45958</v>
      </c>
      <c r="K119" s="0" t="s">
        <v>10</v>
      </c>
      <c r="L119" s="0" t="s">
        <v>91</v>
      </c>
      <c r="M119" s="0" t="s">
        <v>226</v>
      </c>
      <c r="N119" s="0" t="s">
        <v>93</v>
      </c>
      <c r="O119" s="0" t="s">
        <v>817</v>
      </c>
      <c r="Q119" s="0" t="s">
        <v>251</v>
      </c>
      <c r="R119" s="0" t="n">
        <v>2</v>
      </c>
      <c r="S119" s="5" t="n">
        <v>660</v>
      </c>
      <c r="T119" s="0" t="s">
        <v>271</v>
      </c>
      <c r="U119" s="0" t="n">
        <v>0</v>
      </c>
      <c r="V119" s="0" t="s">
        <v>230</v>
      </c>
      <c r="W119" s="0" t="s">
        <v>244</v>
      </c>
      <c r="X119" s="0" t="s">
        <v>232</v>
      </c>
      <c r="Y119" s="0" t="s">
        <v>253</v>
      </c>
      <c r="Z119" s="0" t="s">
        <v>234</v>
      </c>
      <c r="AA119" s="0" t="s">
        <v>235</v>
      </c>
      <c r="AB119" s="32" t="n">
        <v>2600</v>
      </c>
      <c r="AC119" s="32" t="n">
        <v>2600</v>
      </c>
      <c r="AD119" s="26" t="n">
        <f aca="false">IFERROR(AB119/B119,"")</f>
        <v>3.93939393939394</v>
      </c>
      <c r="AE119" s="26" t="n">
        <f aca="false">IFERROR(AC119/B119,"")</f>
        <v>3.93939393939394</v>
      </c>
      <c r="AF119" s="0" t="s">
        <v>236</v>
      </c>
      <c r="AG119" s="0" t="s">
        <v>236</v>
      </c>
      <c r="AH119" s="0" t="s">
        <v>230</v>
      </c>
      <c r="AI119" s="0" t="s">
        <v>818</v>
      </c>
      <c r="AJ119" s="0" t="s">
        <v>819</v>
      </c>
      <c r="AK119" s="0" t="s">
        <v>820</v>
      </c>
      <c r="AL119" s="0" t="s">
        <v>821</v>
      </c>
      <c r="AM119" s="0" t="s">
        <v>94</v>
      </c>
      <c r="AN119" s="26" t="n">
        <f aca="false">IFERROR(E119*(1+IF(AM119="Apartment",Data_Summary!$C$3,0)),"")</f>
        <v>3.93939393939394</v>
      </c>
      <c r="AO119" s="4" t="n">
        <v>46195</v>
      </c>
    </row>
    <row r="120" customFormat="false" ht="15" hidden="false" customHeight="false" outlineLevel="0" collapsed="false">
      <c r="A120" s="0" t="n">
        <f aca="false">IF(AND(ISNUMBER(B120),B120&gt;0,ISNUMBER(AB120),AB120&gt;0,J120&gt;=Data_Summary!$C$1),1,0)</f>
        <v>1</v>
      </c>
      <c r="B120" s="30" t="n">
        <v>545</v>
      </c>
      <c r="C120" s="5" t="n">
        <f aca="false">IF(ISNUMBER(AB120),AB120,"")</f>
        <v>2450</v>
      </c>
      <c r="D120" s="0" t="n">
        <f aca="false">IF(ISNUMBER(C120),C120-U120*Data_Summary!$C$2,"")</f>
        <v>2450</v>
      </c>
      <c r="E120" s="31" t="n">
        <f aca="false">IFERROR(C120/B120,"")</f>
        <v>4.4954128440367</v>
      </c>
      <c r="F120" s="26" t="n">
        <f aca="false">IFERROR(D120/B120,"")</f>
        <v>4.4954128440367</v>
      </c>
      <c r="G120" s="0" t="str">
        <f aca="false">Q120</f>
        <v>1</v>
      </c>
      <c r="H120" s="0" t="str">
        <f aca="false">IFERROR(LEFT(G120,1),"")</f>
        <v>1</v>
      </c>
      <c r="I120" s="0" t="n">
        <f aca="false">IF(LEN(G120)&gt;1,1,0)</f>
        <v>0</v>
      </c>
      <c r="J120" s="4" t="n">
        <v>45957</v>
      </c>
      <c r="K120" s="0" t="s">
        <v>10</v>
      </c>
      <c r="L120" s="0" t="s">
        <v>91</v>
      </c>
      <c r="M120" s="0" t="s">
        <v>226</v>
      </c>
      <c r="N120" s="0" t="s">
        <v>93</v>
      </c>
      <c r="O120" s="0" t="s">
        <v>822</v>
      </c>
      <c r="Q120" s="0" t="s">
        <v>242</v>
      </c>
      <c r="R120" s="0" t="n">
        <v>1</v>
      </c>
      <c r="S120" s="5" t="n">
        <v>545</v>
      </c>
      <c r="T120" s="0" t="s">
        <v>243</v>
      </c>
      <c r="U120" s="0" t="n">
        <v>0</v>
      </c>
      <c r="V120" s="0" t="s">
        <v>230</v>
      </c>
      <c r="W120" s="0" t="s">
        <v>244</v>
      </c>
      <c r="X120" s="0" t="s">
        <v>232</v>
      </c>
      <c r="Y120" s="0" t="s">
        <v>278</v>
      </c>
      <c r="Z120" s="0" t="s">
        <v>234</v>
      </c>
      <c r="AA120" s="0" t="s">
        <v>235</v>
      </c>
      <c r="AB120" s="32" t="n">
        <v>2450</v>
      </c>
      <c r="AC120" s="32" t="n">
        <v>2490</v>
      </c>
      <c r="AD120" s="26" t="n">
        <f aca="false">IFERROR(AB120/B120,"")</f>
        <v>4.4954128440367</v>
      </c>
      <c r="AE120" s="26" t="n">
        <f aca="false">IFERROR(AC120/B120,"")</f>
        <v>4.56880733944954</v>
      </c>
      <c r="AF120" s="0" t="s">
        <v>236</v>
      </c>
      <c r="AG120" s="0" t="s">
        <v>236</v>
      </c>
      <c r="AH120" s="0" t="s">
        <v>230</v>
      </c>
      <c r="AI120" s="0" t="s">
        <v>823</v>
      </c>
      <c r="AJ120" s="0" t="s">
        <v>824</v>
      </c>
      <c r="AK120" s="0" t="s">
        <v>825</v>
      </c>
      <c r="AL120" s="0" t="s">
        <v>826</v>
      </c>
      <c r="AM120" s="0" t="s">
        <v>94</v>
      </c>
      <c r="AN120" s="26" t="n">
        <f aca="false">IFERROR(E120*(1+IF(AM120="Apartment",Data_Summary!$C$3,0)),"")</f>
        <v>4.4954128440367</v>
      </c>
      <c r="AO120" s="4" t="n">
        <v>46195</v>
      </c>
    </row>
    <row r="121" customFormat="false" ht="15" hidden="false" customHeight="false" outlineLevel="0" collapsed="false">
      <c r="A121" s="0" t="n">
        <f aca="false">IF(AND(ISNUMBER(B121),B121&gt;0,ISNUMBER(AB121),AB121&gt;0,J121&gt;=Data_Summary!$C$1),1,0)</f>
        <v>1</v>
      </c>
      <c r="B121" s="30" t="n">
        <v>740</v>
      </c>
      <c r="C121" s="5" t="n">
        <f aca="false">IF(ISNUMBER(AB121),AB121,"")</f>
        <v>3390</v>
      </c>
      <c r="D121" s="0" t="n">
        <f aca="false">IF(ISNUMBER(C121),C121-U121*Data_Summary!$C$2,"")</f>
        <v>3240</v>
      </c>
      <c r="E121" s="31" t="n">
        <f aca="false">IFERROR(C121/B121,"")</f>
        <v>4.58108108108108</v>
      </c>
      <c r="F121" s="26" t="n">
        <f aca="false">IFERROR(D121/B121,"")</f>
        <v>4.37837837837838</v>
      </c>
      <c r="G121" s="0" t="str">
        <f aca="false">Q121</f>
        <v>2</v>
      </c>
      <c r="H121" s="0" t="str">
        <f aca="false">IFERROR(LEFT(G121,1),"")</f>
        <v>2</v>
      </c>
      <c r="I121" s="0" t="n">
        <f aca="false">IF(LEN(G121)&gt;1,1,0)</f>
        <v>0</v>
      </c>
      <c r="J121" s="4" t="n">
        <v>45955</v>
      </c>
      <c r="K121" s="0" t="s">
        <v>10</v>
      </c>
      <c r="L121" s="0" t="s">
        <v>91</v>
      </c>
      <c r="M121" s="0" t="s">
        <v>226</v>
      </c>
      <c r="N121" s="0" t="s">
        <v>93</v>
      </c>
      <c r="O121" s="0" t="s">
        <v>827</v>
      </c>
      <c r="Q121" s="0" t="s">
        <v>251</v>
      </c>
      <c r="R121" s="0" t="n">
        <v>2</v>
      </c>
      <c r="S121" s="5" t="n">
        <v>740</v>
      </c>
      <c r="T121" s="0" t="s">
        <v>252</v>
      </c>
      <c r="U121" s="0" t="n">
        <v>1</v>
      </c>
      <c r="V121" s="0" t="s">
        <v>230</v>
      </c>
      <c r="W121" s="0" t="s">
        <v>231</v>
      </c>
      <c r="X121" s="0" t="s">
        <v>232</v>
      </c>
      <c r="Y121" s="0" t="s">
        <v>308</v>
      </c>
      <c r="Z121" s="0" t="s">
        <v>234</v>
      </c>
      <c r="AA121" s="0" t="s">
        <v>235</v>
      </c>
      <c r="AB121" s="32" t="n">
        <v>3390</v>
      </c>
      <c r="AC121" s="32" t="n">
        <v>3390</v>
      </c>
      <c r="AD121" s="26" t="n">
        <f aca="false">IFERROR(AB121/B121,"")</f>
        <v>4.58108108108108</v>
      </c>
      <c r="AE121" s="26" t="n">
        <f aca="false">IFERROR(AC121/B121,"")</f>
        <v>4.58108108108108</v>
      </c>
      <c r="AF121" s="0" t="s">
        <v>236</v>
      </c>
      <c r="AG121" s="0" t="s">
        <v>236</v>
      </c>
      <c r="AH121" s="0" t="s">
        <v>230</v>
      </c>
      <c r="AI121" s="0" t="s">
        <v>828</v>
      </c>
      <c r="AJ121" s="0" t="s">
        <v>829</v>
      </c>
      <c r="AK121" s="0" t="s">
        <v>830</v>
      </c>
      <c r="AL121" s="0" t="s">
        <v>831</v>
      </c>
      <c r="AM121" s="0" t="s">
        <v>94</v>
      </c>
      <c r="AN121" s="26" t="n">
        <f aca="false">IFERROR(E121*(1+IF(AM121="Apartment",Data_Summary!$C$3,0)),"")</f>
        <v>4.58108108108108</v>
      </c>
      <c r="AO121" s="4" t="n">
        <v>46195</v>
      </c>
    </row>
    <row r="122" customFormat="false" ht="15" hidden="false" customHeight="false" outlineLevel="0" collapsed="false">
      <c r="A122" s="0" t="n">
        <f aca="false">IF(AND(ISNUMBER(B122),B122&gt;0,ISNUMBER(AB122),AB122&gt;0,J122&gt;=Data_Summary!$C$1),1,0)</f>
        <v>1</v>
      </c>
      <c r="B122" s="30" t="n">
        <v>740</v>
      </c>
      <c r="C122" s="5" t="n">
        <f aca="false">IF(ISNUMBER(AB122),AB122,"")</f>
        <v>3350</v>
      </c>
      <c r="D122" s="0" t="n">
        <f aca="false">IF(ISNUMBER(C122),C122-U122*Data_Summary!$C$2,"")</f>
        <v>3200</v>
      </c>
      <c r="E122" s="31" t="n">
        <f aca="false">IFERROR(C122/B122,"")</f>
        <v>4.52702702702703</v>
      </c>
      <c r="F122" s="26" t="n">
        <f aca="false">IFERROR(D122/B122,"")</f>
        <v>4.32432432432433</v>
      </c>
      <c r="G122" s="0" t="str">
        <f aca="false">Q122</f>
        <v>2</v>
      </c>
      <c r="H122" s="0" t="str">
        <f aca="false">IFERROR(LEFT(G122,1),"")</f>
        <v>2</v>
      </c>
      <c r="I122" s="0" t="n">
        <f aca="false">IF(LEN(G122)&gt;1,1,0)</f>
        <v>0</v>
      </c>
      <c r="J122" s="4" t="n">
        <v>45951</v>
      </c>
      <c r="K122" s="0" t="s">
        <v>10</v>
      </c>
      <c r="L122" s="0" t="s">
        <v>91</v>
      </c>
      <c r="M122" s="0" t="s">
        <v>226</v>
      </c>
      <c r="N122" s="0" t="s">
        <v>93</v>
      </c>
      <c r="O122" s="0" t="s">
        <v>832</v>
      </c>
      <c r="Q122" s="0" t="s">
        <v>251</v>
      </c>
      <c r="R122" s="0" t="n">
        <v>2</v>
      </c>
      <c r="S122" s="5" t="n">
        <v>740</v>
      </c>
      <c r="T122" s="0" t="s">
        <v>252</v>
      </c>
      <c r="U122" s="0" t="n">
        <v>1</v>
      </c>
      <c r="V122" s="0" t="s">
        <v>230</v>
      </c>
      <c r="W122" s="0" t="s">
        <v>244</v>
      </c>
      <c r="X122" s="0" t="s">
        <v>232</v>
      </c>
      <c r="Y122" s="0" t="s">
        <v>308</v>
      </c>
      <c r="Z122" s="0" t="s">
        <v>234</v>
      </c>
      <c r="AA122" s="0" t="s">
        <v>235</v>
      </c>
      <c r="AB122" s="32" t="n">
        <v>3350</v>
      </c>
      <c r="AC122" s="32" t="n">
        <v>3350</v>
      </c>
      <c r="AD122" s="26" t="n">
        <f aca="false">IFERROR(AB122/B122,"")</f>
        <v>4.52702702702703</v>
      </c>
      <c r="AE122" s="26" t="n">
        <f aca="false">IFERROR(AC122/B122,"")</f>
        <v>4.52702702702703</v>
      </c>
      <c r="AF122" s="0" t="s">
        <v>236</v>
      </c>
      <c r="AG122" s="0" t="s">
        <v>236</v>
      </c>
      <c r="AH122" s="0" t="s">
        <v>230</v>
      </c>
      <c r="AI122" s="0" t="s">
        <v>833</v>
      </c>
      <c r="AJ122" s="0" t="s">
        <v>834</v>
      </c>
      <c r="AK122" s="0" t="s">
        <v>835</v>
      </c>
      <c r="AL122" s="0" t="s">
        <v>836</v>
      </c>
      <c r="AM122" s="0" t="s">
        <v>94</v>
      </c>
      <c r="AN122" s="26" t="n">
        <f aca="false">IFERROR(E122*(1+IF(AM122="Apartment",Data_Summary!$C$3,0)),"")</f>
        <v>4.52702702702703</v>
      </c>
      <c r="AO122" s="4" t="n">
        <v>46195</v>
      </c>
    </row>
    <row r="123" customFormat="false" ht="15" hidden="false" customHeight="false" outlineLevel="0" collapsed="false">
      <c r="A123" s="0" t="n">
        <f aca="false">IF(AND(ISNUMBER(B123),B123&gt;0,ISNUMBER(AB123),AB123&gt;0,J123&gt;=Data_Summary!$C$1),1,0)</f>
        <v>1</v>
      </c>
      <c r="B123" s="33" t="n">
        <v>650</v>
      </c>
      <c r="C123" s="5" t="n">
        <f aca="false">IF(ISNUMBER(AB123),AB123,"")</f>
        <v>2550</v>
      </c>
      <c r="D123" s="0" t="n">
        <f aca="false">IF(ISNUMBER(C123),C123-U123*Data_Summary!$C$2,"")</f>
        <v>2550</v>
      </c>
      <c r="E123" s="34" t="n">
        <f aca="false">IFERROR(C123/B123,"")</f>
        <v>3.92307692307692</v>
      </c>
      <c r="F123" s="26" t="n">
        <f aca="false">IFERROR(D123/B123,"")</f>
        <v>3.92307692307692</v>
      </c>
      <c r="G123" s="0" t="str">
        <f aca="false">Q123</f>
        <v>1+1</v>
      </c>
      <c r="H123" s="0" t="str">
        <f aca="false">IFERROR(LEFT(G123,1),"")</f>
        <v>1</v>
      </c>
      <c r="I123" s="0" t="n">
        <f aca="false">IF(LEN(G123)&gt;1,1,0)</f>
        <v>1</v>
      </c>
      <c r="J123" s="4" t="n">
        <v>45941</v>
      </c>
      <c r="K123" s="0" t="s">
        <v>10</v>
      </c>
      <c r="L123" s="0" t="s">
        <v>91</v>
      </c>
      <c r="M123" s="0" t="s">
        <v>226</v>
      </c>
      <c r="N123" s="0" t="s">
        <v>93</v>
      </c>
      <c r="O123" s="0" t="s">
        <v>837</v>
      </c>
      <c r="Q123" s="0" t="s">
        <v>270</v>
      </c>
      <c r="R123" s="0" t="n">
        <v>1</v>
      </c>
      <c r="S123" s="5" t="n">
        <v>650</v>
      </c>
      <c r="T123" s="0" t="s">
        <v>243</v>
      </c>
      <c r="U123" s="0" t="n">
        <v>0</v>
      </c>
      <c r="V123" s="0" t="s">
        <v>230</v>
      </c>
      <c r="W123" s="0" t="s">
        <v>244</v>
      </c>
      <c r="X123" s="0" t="s">
        <v>232</v>
      </c>
      <c r="Y123" s="0" t="s">
        <v>278</v>
      </c>
      <c r="Z123" s="0" t="s">
        <v>234</v>
      </c>
      <c r="AA123" s="0" t="s">
        <v>235</v>
      </c>
      <c r="AB123" s="32" t="n">
        <v>2550</v>
      </c>
      <c r="AC123" s="32" t="n">
        <v>2550</v>
      </c>
      <c r="AD123" s="26" t="n">
        <f aca="false">IFERROR(AB123/B123,"")</f>
        <v>3.92307692307692</v>
      </c>
      <c r="AE123" s="26" t="n">
        <f aca="false">IFERROR(AC123/B123,"")</f>
        <v>3.92307692307692</v>
      </c>
      <c r="AF123" s="0" t="s">
        <v>236</v>
      </c>
      <c r="AG123" s="0" t="s">
        <v>236</v>
      </c>
      <c r="AH123" s="0" t="s">
        <v>230</v>
      </c>
      <c r="AI123" s="0" t="s">
        <v>838</v>
      </c>
      <c r="AJ123" s="0" t="s">
        <v>839</v>
      </c>
      <c r="AK123" s="0" t="s">
        <v>840</v>
      </c>
      <c r="AL123" s="0" t="s">
        <v>841</v>
      </c>
      <c r="AM123" s="0" t="s">
        <v>94</v>
      </c>
      <c r="AN123" s="26" t="n">
        <f aca="false">IFERROR(E123*(1+IF(AM123="Apartment",Data_Summary!$C$3,0)),"")</f>
        <v>3.92307692307692</v>
      </c>
      <c r="AO123" s="4" t="n">
        <v>46195</v>
      </c>
    </row>
    <row r="124" customFormat="false" ht="15" hidden="false" customHeight="false" outlineLevel="0" collapsed="false">
      <c r="A124" s="0" t="n">
        <f aca="false">IF(AND(ISNUMBER(B124),B124&gt;0,ISNUMBER(AB124),AB124&gt;0,J124&gt;=Data_Summary!$C$1),1,0)</f>
        <v>1</v>
      </c>
      <c r="B124" s="33" t="n">
        <v>740</v>
      </c>
      <c r="C124" s="5" t="n">
        <f aca="false">IF(ISNUMBER(AB124),AB124,"")</f>
        <v>3500</v>
      </c>
      <c r="D124" s="0" t="n">
        <f aca="false">IF(ISNUMBER(C124),C124-U124*Data_Summary!$C$2,"")</f>
        <v>3350</v>
      </c>
      <c r="E124" s="34" t="n">
        <f aca="false">IFERROR(C124/B124,"")</f>
        <v>4.72972972972973</v>
      </c>
      <c r="F124" s="26" t="n">
        <f aca="false">IFERROR(D124/B124,"")</f>
        <v>4.52702702702703</v>
      </c>
      <c r="G124" s="0" t="str">
        <f aca="false">Q124</f>
        <v>2</v>
      </c>
      <c r="H124" s="0" t="str">
        <f aca="false">IFERROR(LEFT(G124,1),"")</f>
        <v>2</v>
      </c>
      <c r="I124" s="0" t="n">
        <f aca="false">IF(LEN(G124)&gt;1,1,0)</f>
        <v>0</v>
      </c>
      <c r="J124" s="4" t="n">
        <v>45938</v>
      </c>
      <c r="K124" s="0" t="s">
        <v>10</v>
      </c>
      <c r="L124" s="0" t="s">
        <v>91</v>
      </c>
      <c r="M124" s="0" t="s">
        <v>226</v>
      </c>
      <c r="N124" s="0" t="s">
        <v>93</v>
      </c>
      <c r="O124" s="0" t="s">
        <v>842</v>
      </c>
      <c r="Q124" s="0" t="s">
        <v>251</v>
      </c>
      <c r="R124" s="0" t="n">
        <v>2</v>
      </c>
      <c r="S124" s="5" t="n">
        <v>740</v>
      </c>
      <c r="T124" s="0" t="s">
        <v>229</v>
      </c>
      <c r="U124" s="0" t="n">
        <v>1</v>
      </c>
      <c r="V124" s="0" t="s">
        <v>230</v>
      </c>
      <c r="W124" s="0" t="s">
        <v>231</v>
      </c>
      <c r="X124" s="0" t="s">
        <v>232</v>
      </c>
      <c r="Y124" s="0" t="s">
        <v>308</v>
      </c>
      <c r="Z124" s="0" t="s">
        <v>234</v>
      </c>
      <c r="AA124" s="0" t="s">
        <v>235</v>
      </c>
      <c r="AB124" s="32" t="n">
        <v>3500</v>
      </c>
      <c r="AC124" s="32" t="n">
        <v>3500</v>
      </c>
      <c r="AD124" s="26" t="n">
        <f aca="false">IFERROR(AB124/B124,"")</f>
        <v>4.72972972972973</v>
      </c>
      <c r="AE124" s="26" t="n">
        <f aca="false">IFERROR(AC124/B124,"")</f>
        <v>4.72972972972973</v>
      </c>
      <c r="AF124" s="0" t="s">
        <v>236</v>
      </c>
      <c r="AG124" s="0" t="s">
        <v>236</v>
      </c>
      <c r="AH124" s="0" t="s">
        <v>230</v>
      </c>
      <c r="AI124" s="0" t="s">
        <v>843</v>
      </c>
      <c r="AJ124" s="0" t="s">
        <v>844</v>
      </c>
      <c r="AK124" s="0" t="s">
        <v>845</v>
      </c>
      <c r="AL124" s="0" t="s">
        <v>846</v>
      </c>
      <c r="AM124" s="0" t="s">
        <v>94</v>
      </c>
      <c r="AN124" s="26" t="n">
        <f aca="false">IFERROR(E124*(1+IF(AM124="Apartment",Data_Summary!$C$3,0)),"")</f>
        <v>4.72972972972973</v>
      </c>
      <c r="AO124" s="4" t="n">
        <v>46195</v>
      </c>
    </row>
    <row r="125" customFormat="false" ht="15" hidden="false" customHeight="false" outlineLevel="0" collapsed="false">
      <c r="A125" s="0" t="n">
        <f aca="false">IF(AND(ISNUMBER(B125),B125&gt;0,ISNUMBER(AB125),AB125&gt;0,J125&gt;=Data_Summary!$C$1),1,0)</f>
        <v>1</v>
      </c>
      <c r="B125" s="30" t="n">
        <v>505</v>
      </c>
      <c r="C125" s="5" t="n">
        <f aca="false">IF(ISNUMBER(AB125),AB125,"")</f>
        <v>2350</v>
      </c>
      <c r="D125" s="0" t="n">
        <f aca="false">IF(ISNUMBER(C125),C125-U125*Data_Summary!$C$2,"")</f>
        <v>2350</v>
      </c>
      <c r="E125" s="31" t="n">
        <f aca="false">IFERROR(C125/B125,"")</f>
        <v>4.65346534653465</v>
      </c>
      <c r="F125" s="26" t="n">
        <f aca="false">IFERROR(D125/B125,"")</f>
        <v>4.65346534653465</v>
      </c>
      <c r="G125" s="0" t="str">
        <f aca="false">Q125</f>
        <v>1</v>
      </c>
      <c r="H125" s="0" t="str">
        <f aca="false">IFERROR(LEFT(G125,1),"")</f>
        <v>1</v>
      </c>
      <c r="I125" s="0" t="n">
        <f aca="false">IF(LEN(G125)&gt;1,1,0)</f>
        <v>0</v>
      </c>
      <c r="J125" s="4" t="n">
        <v>45937</v>
      </c>
      <c r="K125" s="0" t="s">
        <v>10</v>
      </c>
      <c r="L125" s="0" t="s">
        <v>91</v>
      </c>
      <c r="M125" s="0" t="s">
        <v>226</v>
      </c>
      <c r="N125" s="0" t="s">
        <v>93</v>
      </c>
      <c r="O125" s="0" t="s">
        <v>847</v>
      </c>
      <c r="Q125" s="0" t="s">
        <v>242</v>
      </c>
      <c r="R125" s="0" t="n">
        <v>1</v>
      </c>
      <c r="S125" s="5" t="n">
        <v>505</v>
      </c>
      <c r="T125" s="0" t="s">
        <v>243</v>
      </c>
      <c r="U125" s="0" t="n">
        <v>0</v>
      </c>
      <c r="V125" s="0" t="s">
        <v>230</v>
      </c>
      <c r="W125" s="0" t="s">
        <v>244</v>
      </c>
      <c r="X125" s="0" t="s">
        <v>232</v>
      </c>
      <c r="Y125" s="0" t="s">
        <v>253</v>
      </c>
      <c r="Z125" s="0" t="s">
        <v>234</v>
      </c>
      <c r="AA125" s="0" t="s">
        <v>235</v>
      </c>
      <c r="AB125" s="32" t="n">
        <v>2350</v>
      </c>
      <c r="AC125" s="32" t="n">
        <v>2350</v>
      </c>
      <c r="AD125" s="26" t="n">
        <f aca="false">IFERROR(AB125/B125,"")</f>
        <v>4.65346534653465</v>
      </c>
      <c r="AE125" s="26" t="n">
        <f aca="false">IFERROR(AC125/B125,"")</f>
        <v>4.65346534653465</v>
      </c>
      <c r="AF125" s="0" t="s">
        <v>236</v>
      </c>
      <c r="AG125" s="0" t="s">
        <v>236</v>
      </c>
      <c r="AH125" s="0" t="s">
        <v>230</v>
      </c>
      <c r="AI125" s="0" t="s">
        <v>848</v>
      </c>
      <c r="AJ125" s="0" t="s">
        <v>849</v>
      </c>
      <c r="AK125" s="0" t="s">
        <v>850</v>
      </c>
      <c r="AL125" s="0" t="s">
        <v>851</v>
      </c>
      <c r="AM125" s="0" t="s">
        <v>94</v>
      </c>
      <c r="AN125" s="26" t="n">
        <f aca="false">IFERROR(E125*(1+IF(AM125="Apartment",Data_Summary!$C$3,0)),"")</f>
        <v>4.65346534653465</v>
      </c>
      <c r="AO125" s="4" t="n">
        <v>46195</v>
      </c>
    </row>
    <row r="126" customFormat="false" ht="15" hidden="false" customHeight="false" outlineLevel="0" collapsed="false">
      <c r="A126" s="0" t="n">
        <f aca="false">IF(AND(ISNUMBER(B126),B126&gt;0,ISNUMBER(AB126),AB126&gt;0,J126&gt;=Data_Summary!$C$1),1,0)</f>
        <v>1</v>
      </c>
      <c r="B126" s="30" t="n">
        <v>740</v>
      </c>
      <c r="C126" s="5" t="n">
        <f aca="false">IF(ISNUMBER(AB126),AB126,"")</f>
        <v>3500</v>
      </c>
      <c r="D126" s="0" t="n">
        <f aca="false">IF(ISNUMBER(C126),C126-U126*Data_Summary!$C$2,"")</f>
        <v>3350</v>
      </c>
      <c r="E126" s="31" t="n">
        <f aca="false">IFERROR(C126/B126,"")</f>
        <v>4.72972972972973</v>
      </c>
      <c r="F126" s="26" t="n">
        <f aca="false">IFERROR(D126/B126,"")</f>
        <v>4.52702702702703</v>
      </c>
      <c r="G126" s="0" t="str">
        <f aca="false">Q126</f>
        <v>2</v>
      </c>
      <c r="H126" s="0" t="str">
        <f aca="false">IFERROR(LEFT(G126,1),"")</f>
        <v>2</v>
      </c>
      <c r="I126" s="0" t="n">
        <f aca="false">IF(LEN(G126)&gt;1,1,0)</f>
        <v>0</v>
      </c>
      <c r="J126" s="4" t="n">
        <v>45929</v>
      </c>
      <c r="K126" s="0" t="s">
        <v>10</v>
      </c>
      <c r="L126" s="0" t="s">
        <v>91</v>
      </c>
      <c r="M126" s="0" t="s">
        <v>226</v>
      </c>
      <c r="N126" s="0" t="s">
        <v>93</v>
      </c>
      <c r="O126" s="0" t="s">
        <v>852</v>
      </c>
      <c r="Q126" s="0" t="s">
        <v>251</v>
      </c>
      <c r="R126" s="0" t="n">
        <v>2</v>
      </c>
      <c r="S126" s="5" t="n">
        <v>740</v>
      </c>
      <c r="T126" s="0" t="s">
        <v>252</v>
      </c>
      <c r="U126" s="0" t="n">
        <v>1</v>
      </c>
      <c r="V126" s="0" t="s">
        <v>230</v>
      </c>
      <c r="W126" s="0" t="s">
        <v>244</v>
      </c>
      <c r="X126" s="0" t="s">
        <v>232</v>
      </c>
      <c r="Y126" s="0" t="s">
        <v>308</v>
      </c>
      <c r="Z126" s="0" t="s">
        <v>234</v>
      </c>
      <c r="AA126" s="0" t="s">
        <v>235</v>
      </c>
      <c r="AB126" s="32" t="n">
        <v>3500</v>
      </c>
      <c r="AC126" s="32" t="n">
        <v>3550</v>
      </c>
      <c r="AD126" s="26" t="n">
        <f aca="false">IFERROR(AB126/B126,"")</f>
        <v>4.72972972972973</v>
      </c>
      <c r="AE126" s="26" t="n">
        <f aca="false">IFERROR(AC126/B126,"")</f>
        <v>4.7972972972973</v>
      </c>
      <c r="AF126" s="0" t="s">
        <v>236</v>
      </c>
      <c r="AG126" s="0" t="s">
        <v>236</v>
      </c>
      <c r="AH126" s="0" t="s">
        <v>230</v>
      </c>
      <c r="AI126" s="0" t="s">
        <v>853</v>
      </c>
      <c r="AJ126" s="0" t="s">
        <v>854</v>
      </c>
      <c r="AK126" s="0" t="s">
        <v>855</v>
      </c>
      <c r="AL126" s="0" t="s">
        <v>856</v>
      </c>
      <c r="AM126" s="0" t="s">
        <v>94</v>
      </c>
      <c r="AN126" s="26" t="n">
        <f aca="false">IFERROR(E126*(1+IF(AM126="Apartment",Data_Summary!$C$3,0)),"")</f>
        <v>4.72972972972973</v>
      </c>
      <c r="AO126" s="4" t="n">
        <v>46195</v>
      </c>
    </row>
    <row r="127" customFormat="false" ht="15" hidden="false" customHeight="false" outlineLevel="0" collapsed="false">
      <c r="A127" s="0" t="n">
        <f aca="false">IF(AND(ISNUMBER(B127),B127&gt;0,ISNUMBER(AB127),AB127&gt;0,J127&gt;=Data_Summary!$C$1),1,0)</f>
        <v>1</v>
      </c>
      <c r="B127" s="30" t="n">
        <v>740</v>
      </c>
      <c r="C127" s="5" t="n">
        <f aca="false">IF(ISNUMBER(AB127),AB127,"")</f>
        <v>3400</v>
      </c>
      <c r="D127" s="0" t="n">
        <f aca="false">IF(ISNUMBER(C127),C127-U127*Data_Summary!$C$2,"")</f>
        <v>3250</v>
      </c>
      <c r="E127" s="31" t="n">
        <f aca="false">IFERROR(C127/B127,"")</f>
        <v>4.5945945945946</v>
      </c>
      <c r="F127" s="26" t="n">
        <f aca="false">IFERROR(D127/B127,"")</f>
        <v>4.39189189189189</v>
      </c>
      <c r="G127" s="0" t="str">
        <f aca="false">Q127</f>
        <v>2</v>
      </c>
      <c r="H127" s="0" t="str">
        <f aca="false">IFERROR(LEFT(G127,1),"")</f>
        <v>2</v>
      </c>
      <c r="I127" s="0" t="n">
        <f aca="false">IF(LEN(G127)&gt;1,1,0)</f>
        <v>0</v>
      </c>
      <c r="J127" s="4" t="n">
        <v>45926</v>
      </c>
      <c r="K127" s="0" t="s">
        <v>10</v>
      </c>
      <c r="L127" s="0" t="s">
        <v>91</v>
      </c>
      <c r="M127" s="0" t="s">
        <v>226</v>
      </c>
      <c r="N127" s="0" t="s">
        <v>93</v>
      </c>
      <c r="O127" s="0" t="s">
        <v>857</v>
      </c>
      <c r="Q127" s="0" t="s">
        <v>251</v>
      </c>
      <c r="R127" s="0" t="n">
        <v>2</v>
      </c>
      <c r="S127" s="5" t="n">
        <v>740</v>
      </c>
      <c r="T127" s="0" t="s">
        <v>252</v>
      </c>
      <c r="U127" s="0" t="n">
        <v>1</v>
      </c>
      <c r="V127" s="0" t="s">
        <v>230</v>
      </c>
      <c r="W127" s="0" t="s">
        <v>244</v>
      </c>
      <c r="X127" s="0" t="s">
        <v>232</v>
      </c>
      <c r="Y127" s="0" t="s">
        <v>308</v>
      </c>
      <c r="Z127" s="0" t="s">
        <v>234</v>
      </c>
      <c r="AA127" s="0" t="s">
        <v>235</v>
      </c>
      <c r="AB127" s="32" t="n">
        <v>3400</v>
      </c>
      <c r="AC127" s="32" t="n">
        <v>3400</v>
      </c>
      <c r="AD127" s="26" t="n">
        <f aca="false">IFERROR(AB127/B127,"")</f>
        <v>4.5945945945946</v>
      </c>
      <c r="AE127" s="26" t="n">
        <f aca="false">IFERROR(AC127/B127,"")</f>
        <v>4.5945945945946</v>
      </c>
      <c r="AF127" s="0" t="s">
        <v>236</v>
      </c>
      <c r="AG127" s="0" t="s">
        <v>236</v>
      </c>
      <c r="AH127" s="0" t="s">
        <v>230</v>
      </c>
      <c r="AI127" s="0" t="s">
        <v>858</v>
      </c>
      <c r="AJ127" s="0" t="s">
        <v>859</v>
      </c>
      <c r="AK127" s="0" t="s">
        <v>860</v>
      </c>
      <c r="AL127" s="0" t="s">
        <v>861</v>
      </c>
      <c r="AM127" s="0" t="s">
        <v>94</v>
      </c>
      <c r="AN127" s="26" t="n">
        <f aca="false">IFERROR(E127*(1+IF(AM127="Apartment",Data_Summary!$C$3,0)),"")</f>
        <v>4.5945945945946</v>
      </c>
      <c r="AO127" s="4" t="n">
        <v>46195</v>
      </c>
    </row>
    <row r="128" customFormat="false" ht="15" hidden="false" customHeight="false" outlineLevel="0" collapsed="false">
      <c r="A128" s="0" t="n">
        <f aca="false">IF(AND(ISNUMBER(B128),B128&gt;0,ISNUMBER(AB128),AB128&gt;0,J128&gt;=Data_Summary!$C$1),1,0)</f>
        <v>1</v>
      </c>
      <c r="B128" s="30" t="n">
        <v>740</v>
      </c>
      <c r="C128" s="5" t="n">
        <f aca="false">IF(ISNUMBER(AB128),AB128,"")</f>
        <v>3400</v>
      </c>
      <c r="D128" s="0" t="n">
        <f aca="false">IF(ISNUMBER(C128),C128-U128*Data_Summary!$C$2,"")</f>
        <v>3400</v>
      </c>
      <c r="E128" s="31" t="n">
        <f aca="false">IFERROR(C128/B128,"")</f>
        <v>4.5945945945946</v>
      </c>
      <c r="F128" s="26" t="n">
        <f aca="false">IFERROR(D128/B128,"")</f>
        <v>4.5945945945946</v>
      </c>
      <c r="G128" s="0" t="str">
        <f aca="false">Q128</f>
        <v>2</v>
      </c>
      <c r="H128" s="0" t="str">
        <f aca="false">IFERROR(LEFT(G128,1),"")</f>
        <v>2</v>
      </c>
      <c r="I128" s="0" t="n">
        <f aca="false">IF(LEN(G128)&gt;1,1,0)</f>
        <v>0</v>
      </c>
      <c r="J128" s="4" t="n">
        <v>45922</v>
      </c>
      <c r="K128" s="0" t="s">
        <v>10</v>
      </c>
      <c r="L128" s="0" t="s">
        <v>91</v>
      </c>
      <c r="M128" s="0" t="s">
        <v>226</v>
      </c>
      <c r="N128" s="0" t="s">
        <v>93</v>
      </c>
      <c r="O128" s="0" t="s">
        <v>862</v>
      </c>
      <c r="Q128" s="0" t="s">
        <v>251</v>
      </c>
      <c r="R128" s="0" t="n">
        <v>2</v>
      </c>
      <c r="S128" s="5" t="n">
        <v>740</v>
      </c>
      <c r="T128" s="0" t="s">
        <v>252</v>
      </c>
      <c r="U128" s="0" t="n">
        <v>0</v>
      </c>
      <c r="V128" s="0" t="s">
        <v>230</v>
      </c>
      <c r="W128" s="0" t="s">
        <v>244</v>
      </c>
      <c r="X128" s="0" t="s">
        <v>232</v>
      </c>
      <c r="Y128" s="0" t="s">
        <v>308</v>
      </c>
      <c r="Z128" s="0" t="s">
        <v>234</v>
      </c>
      <c r="AA128" s="0" t="s">
        <v>235</v>
      </c>
      <c r="AB128" s="32" t="n">
        <v>3400</v>
      </c>
      <c r="AC128" s="32" t="n">
        <v>3650</v>
      </c>
      <c r="AD128" s="26" t="n">
        <f aca="false">IFERROR(AB128/B128,"")</f>
        <v>4.5945945945946</v>
      </c>
      <c r="AE128" s="26" t="n">
        <f aca="false">IFERROR(AC128/B128,"")</f>
        <v>4.93243243243243</v>
      </c>
      <c r="AF128" s="0" t="s">
        <v>236</v>
      </c>
      <c r="AG128" s="0" t="s">
        <v>236</v>
      </c>
      <c r="AH128" s="0" t="s">
        <v>230</v>
      </c>
      <c r="AI128" s="0" t="s">
        <v>863</v>
      </c>
      <c r="AJ128" s="0" t="s">
        <v>864</v>
      </c>
      <c r="AK128" s="0" t="s">
        <v>865</v>
      </c>
      <c r="AL128" s="0" t="s">
        <v>866</v>
      </c>
      <c r="AM128" s="0" t="s">
        <v>94</v>
      </c>
      <c r="AN128" s="26" t="n">
        <f aca="false">IFERROR(E128*(1+IF(AM128="Apartment",Data_Summary!$C$3,0)),"")</f>
        <v>4.5945945945946</v>
      </c>
      <c r="AO128" s="4" t="n">
        <v>46195</v>
      </c>
    </row>
    <row r="129" customFormat="false" ht="15" hidden="false" customHeight="false" outlineLevel="0" collapsed="false">
      <c r="A129" s="0" t="n">
        <f aca="false">IF(AND(ISNUMBER(B129),B129&gt;0,ISNUMBER(AB129),AB129&gt;0,J129&gt;=Data_Summary!$C$1),1,0)</f>
        <v>1</v>
      </c>
      <c r="B129" s="30" t="n">
        <v>740</v>
      </c>
      <c r="C129" s="5" t="n">
        <f aca="false">IF(ISNUMBER(AB129),AB129,"")</f>
        <v>3650</v>
      </c>
      <c r="D129" s="0" t="n">
        <f aca="false">IF(ISNUMBER(C129),C129-U129*Data_Summary!$C$2,"")</f>
        <v>3500</v>
      </c>
      <c r="E129" s="31" t="n">
        <f aca="false">IFERROR(C129/B129,"")</f>
        <v>4.93243243243243</v>
      </c>
      <c r="F129" s="26" t="n">
        <f aca="false">IFERROR(D129/B129,"")</f>
        <v>4.72972972972973</v>
      </c>
      <c r="G129" s="0" t="str">
        <f aca="false">Q129</f>
        <v>2</v>
      </c>
      <c r="H129" s="0" t="str">
        <f aca="false">IFERROR(LEFT(G129,1),"")</f>
        <v>2</v>
      </c>
      <c r="I129" s="0" t="n">
        <f aca="false">IF(LEN(G129)&gt;1,1,0)</f>
        <v>0</v>
      </c>
      <c r="J129" s="4" t="n">
        <v>45918</v>
      </c>
      <c r="K129" s="0" t="s">
        <v>10</v>
      </c>
      <c r="L129" s="0" t="s">
        <v>91</v>
      </c>
      <c r="M129" s="0" t="s">
        <v>226</v>
      </c>
      <c r="N129" s="0" t="s">
        <v>93</v>
      </c>
      <c r="O129" s="0" t="s">
        <v>867</v>
      </c>
      <c r="Q129" s="0" t="s">
        <v>251</v>
      </c>
      <c r="R129" s="0" t="n">
        <v>2</v>
      </c>
      <c r="S129" s="5" t="n">
        <v>740</v>
      </c>
      <c r="T129" s="0" t="s">
        <v>252</v>
      </c>
      <c r="U129" s="0" t="n">
        <v>1</v>
      </c>
      <c r="V129" s="0" t="s">
        <v>230</v>
      </c>
      <c r="W129" s="0" t="s">
        <v>231</v>
      </c>
      <c r="X129" s="0" t="s">
        <v>232</v>
      </c>
      <c r="Y129" s="0" t="s">
        <v>308</v>
      </c>
      <c r="Z129" s="0" t="s">
        <v>234</v>
      </c>
      <c r="AA129" s="0" t="s">
        <v>235</v>
      </c>
      <c r="AB129" s="32" t="n">
        <v>3650</v>
      </c>
      <c r="AC129" s="32" t="n">
        <v>3650</v>
      </c>
      <c r="AD129" s="26" t="n">
        <f aca="false">IFERROR(AB129/B129,"")</f>
        <v>4.93243243243243</v>
      </c>
      <c r="AE129" s="26" t="n">
        <f aca="false">IFERROR(AC129/B129,"")</f>
        <v>4.93243243243243</v>
      </c>
      <c r="AF129" s="0" t="s">
        <v>236</v>
      </c>
      <c r="AG129" s="0" t="s">
        <v>236</v>
      </c>
      <c r="AH129" s="0" t="s">
        <v>230</v>
      </c>
      <c r="AI129" s="0" t="s">
        <v>868</v>
      </c>
      <c r="AJ129" s="0" t="s">
        <v>869</v>
      </c>
      <c r="AK129" s="0" t="s">
        <v>870</v>
      </c>
      <c r="AL129" s="0" t="s">
        <v>871</v>
      </c>
      <c r="AM129" s="0" t="s">
        <v>94</v>
      </c>
      <c r="AN129" s="26" t="n">
        <f aca="false">IFERROR(E129*(1+IF(AM129="Apartment",Data_Summary!$C$3,0)),"")</f>
        <v>4.93243243243243</v>
      </c>
      <c r="AO129" s="4" t="n">
        <v>46195</v>
      </c>
    </row>
    <row r="130" customFormat="false" ht="15" hidden="false" customHeight="false" outlineLevel="0" collapsed="false">
      <c r="A130" s="0" t="n">
        <f aca="false">IF(AND(ISNUMBER(B130),B130&gt;0,ISNUMBER(AB130),AB130&gt;0,J130&gt;=Data_Summary!$C$1),1,0)</f>
        <v>1</v>
      </c>
      <c r="B130" s="30" t="n">
        <v>740</v>
      </c>
      <c r="C130" s="5" t="n">
        <f aca="false">IF(ISNUMBER(AB130),AB130,"")</f>
        <v>3550</v>
      </c>
      <c r="D130" s="0" t="n">
        <f aca="false">IF(ISNUMBER(C130),C130-U130*Data_Summary!$C$2,"")</f>
        <v>3400</v>
      </c>
      <c r="E130" s="31" t="n">
        <f aca="false">IFERROR(C130/B130,"")</f>
        <v>4.7972972972973</v>
      </c>
      <c r="F130" s="26" t="n">
        <f aca="false">IFERROR(D130/B130,"")</f>
        <v>4.5945945945946</v>
      </c>
      <c r="G130" s="0" t="str">
        <f aca="false">Q130</f>
        <v>2</v>
      </c>
      <c r="H130" s="0" t="str">
        <f aca="false">IFERROR(LEFT(G130,1),"")</f>
        <v>2</v>
      </c>
      <c r="I130" s="0" t="n">
        <f aca="false">IF(LEN(G130)&gt;1,1,0)</f>
        <v>0</v>
      </c>
      <c r="J130" s="4" t="n">
        <v>45914</v>
      </c>
      <c r="K130" s="0" t="s">
        <v>10</v>
      </c>
      <c r="L130" s="0" t="s">
        <v>91</v>
      </c>
      <c r="M130" s="0" t="s">
        <v>226</v>
      </c>
      <c r="N130" s="0" t="s">
        <v>93</v>
      </c>
      <c r="O130" s="0" t="s">
        <v>872</v>
      </c>
      <c r="Q130" s="0" t="s">
        <v>251</v>
      </c>
      <c r="R130" s="0" t="n">
        <v>2</v>
      </c>
      <c r="S130" s="5" t="n">
        <v>740</v>
      </c>
      <c r="T130" s="0" t="s">
        <v>252</v>
      </c>
      <c r="U130" s="0" t="n">
        <v>1</v>
      </c>
      <c r="V130" s="0" t="s">
        <v>230</v>
      </c>
      <c r="W130" s="0" t="s">
        <v>244</v>
      </c>
      <c r="X130" s="0" t="s">
        <v>232</v>
      </c>
      <c r="Y130" s="0" t="s">
        <v>308</v>
      </c>
      <c r="Z130" s="0" t="s">
        <v>234</v>
      </c>
      <c r="AA130" s="0" t="s">
        <v>235</v>
      </c>
      <c r="AB130" s="32" t="n">
        <v>3550</v>
      </c>
      <c r="AC130" s="32" t="n">
        <v>3550</v>
      </c>
      <c r="AD130" s="26" t="n">
        <f aca="false">IFERROR(AB130/B130,"")</f>
        <v>4.7972972972973</v>
      </c>
      <c r="AE130" s="26" t="n">
        <f aca="false">IFERROR(AC130/B130,"")</f>
        <v>4.7972972972973</v>
      </c>
      <c r="AF130" s="0" t="s">
        <v>236</v>
      </c>
      <c r="AG130" s="0" t="s">
        <v>236</v>
      </c>
      <c r="AH130" s="0" t="s">
        <v>230</v>
      </c>
      <c r="AI130" s="0" t="s">
        <v>873</v>
      </c>
      <c r="AJ130" s="0" t="s">
        <v>874</v>
      </c>
      <c r="AK130" s="0" t="s">
        <v>875</v>
      </c>
      <c r="AL130" s="0" t="s">
        <v>876</v>
      </c>
      <c r="AM130" s="0" t="s">
        <v>94</v>
      </c>
      <c r="AN130" s="26" t="n">
        <f aca="false">IFERROR(E130*(1+IF(AM130="Apartment",Data_Summary!$C$3,0)),"")</f>
        <v>4.7972972972973</v>
      </c>
      <c r="AO130" s="4" t="n">
        <v>46195</v>
      </c>
    </row>
    <row r="131" customFormat="false" ht="15" hidden="false" customHeight="false" outlineLevel="0" collapsed="false">
      <c r="A131" s="0" t="n">
        <f aca="false">IF(AND(ISNUMBER(B131),B131&gt;0,ISNUMBER(AB131),AB131&gt;0,J131&gt;=Data_Summary!$C$1),1,0)</f>
        <v>1</v>
      </c>
      <c r="B131" s="33" t="n">
        <v>692</v>
      </c>
      <c r="C131" s="5" t="n">
        <f aca="false">IF(ISNUMBER(AB131),AB131,"")</f>
        <v>2600</v>
      </c>
      <c r="D131" s="0" t="n">
        <f aca="false">IF(ISNUMBER(C131),C131-U131*Data_Summary!$C$2,"")</f>
        <v>2600</v>
      </c>
      <c r="E131" s="34" t="n">
        <f aca="false">IFERROR(C131/B131,"")</f>
        <v>3.75722543352601</v>
      </c>
      <c r="F131" s="26" t="n">
        <f aca="false">IFERROR(D131/B131,"")</f>
        <v>3.75722543352601</v>
      </c>
      <c r="G131" s="0" t="str">
        <f aca="false">Q131</f>
        <v>1</v>
      </c>
      <c r="H131" s="0" t="str">
        <f aca="false">IFERROR(LEFT(G131,1),"")</f>
        <v>1</v>
      </c>
      <c r="I131" s="0" t="n">
        <f aca="false">IF(LEN(G131)&gt;1,1,0)</f>
        <v>0</v>
      </c>
      <c r="J131" s="4" t="n">
        <v>45909</v>
      </c>
      <c r="K131" s="0" t="s">
        <v>10</v>
      </c>
      <c r="L131" s="0" t="s">
        <v>91</v>
      </c>
      <c r="M131" s="0" t="s">
        <v>226</v>
      </c>
      <c r="N131" s="0" t="s">
        <v>93</v>
      </c>
      <c r="O131" s="0" t="s">
        <v>877</v>
      </c>
      <c r="Q131" s="0" t="s">
        <v>242</v>
      </c>
      <c r="R131" s="0" t="n">
        <v>1</v>
      </c>
      <c r="S131" s="5" t="n">
        <v>692</v>
      </c>
      <c r="T131" s="0" t="s">
        <v>243</v>
      </c>
      <c r="U131" s="0" t="n">
        <v>0</v>
      </c>
      <c r="V131" s="0" t="s">
        <v>230</v>
      </c>
      <c r="W131" s="0" t="s">
        <v>244</v>
      </c>
      <c r="X131" s="0" t="s">
        <v>232</v>
      </c>
      <c r="Y131" s="0" t="s">
        <v>278</v>
      </c>
      <c r="Z131" s="0" t="s">
        <v>234</v>
      </c>
      <c r="AA131" s="0" t="s">
        <v>235</v>
      </c>
      <c r="AB131" s="32" t="n">
        <v>2600</v>
      </c>
      <c r="AC131" s="32" t="n">
        <v>2600</v>
      </c>
      <c r="AD131" s="26" t="n">
        <f aca="false">IFERROR(AB131/B131,"")</f>
        <v>3.75722543352601</v>
      </c>
      <c r="AE131" s="26" t="n">
        <f aca="false">IFERROR(AC131/B131,"")</f>
        <v>3.75722543352601</v>
      </c>
      <c r="AF131" s="0" t="s">
        <v>236</v>
      </c>
      <c r="AG131" s="0" t="s">
        <v>236</v>
      </c>
      <c r="AH131" s="0" t="s">
        <v>230</v>
      </c>
      <c r="AI131" s="0" t="s">
        <v>878</v>
      </c>
      <c r="AJ131" s="0" t="s">
        <v>879</v>
      </c>
      <c r="AK131" s="0" t="s">
        <v>880</v>
      </c>
      <c r="AL131" s="0" t="s">
        <v>881</v>
      </c>
      <c r="AM131" s="0" t="s">
        <v>94</v>
      </c>
      <c r="AN131" s="26" t="n">
        <f aca="false">IFERROR(E131*(1+IF(AM131="Apartment",Data_Summary!$C$3,0)),"")</f>
        <v>3.75722543352601</v>
      </c>
      <c r="AO131" s="4" t="n">
        <v>46195</v>
      </c>
    </row>
    <row r="132" customFormat="false" ht="15" hidden="false" customHeight="false" outlineLevel="0" collapsed="false">
      <c r="A132" s="0" t="n">
        <f aca="false">IF(AND(ISNUMBER(B132),B132&gt;0,ISNUMBER(AB132),AB132&gt;0,J132&gt;=Data_Summary!$C$1),1,0)</f>
        <v>1</v>
      </c>
      <c r="B132" s="33" t="n">
        <v>550</v>
      </c>
      <c r="C132" s="5" t="n">
        <f aca="false">IF(ISNUMBER(AB132),AB132,"")</f>
        <v>2500</v>
      </c>
      <c r="D132" s="0" t="n">
        <f aca="false">IF(ISNUMBER(C132),C132-U132*Data_Summary!$C$2,"")</f>
        <v>2500</v>
      </c>
      <c r="E132" s="34" t="n">
        <f aca="false">IFERROR(C132/B132,"")</f>
        <v>4.54545454545455</v>
      </c>
      <c r="F132" s="26" t="n">
        <f aca="false">IFERROR(D132/B132,"")</f>
        <v>4.54545454545455</v>
      </c>
      <c r="G132" s="0" t="str">
        <f aca="false">Q132</f>
        <v>1+1</v>
      </c>
      <c r="H132" s="0" t="str">
        <f aca="false">IFERROR(LEFT(G132,1),"")</f>
        <v>1</v>
      </c>
      <c r="I132" s="0" t="n">
        <f aca="false">IF(LEN(G132)&gt;1,1,0)</f>
        <v>1</v>
      </c>
      <c r="J132" s="4" t="n">
        <v>45909</v>
      </c>
      <c r="K132" s="0" t="s">
        <v>10</v>
      </c>
      <c r="L132" s="0" t="s">
        <v>91</v>
      </c>
      <c r="M132" s="0" t="s">
        <v>226</v>
      </c>
      <c r="N132" s="0" t="s">
        <v>93</v>
      </c>
      <c r="O132" s="0" t="s">
        <v>882</v>
      </c>
      <c r="Q132" s="0" t="s">
        <v>270</v>
      </c>
      <c r="R132" s="0" t="n">
        <v>1</v>
      </c>
      <c r="S132" s="5" t="n">
        <v>550</v>
      </c>
      <c r="T132" s="0" t="s">
        <v>271</v>
      </c>
      <c r="U132" s="0" t="n">
        <v>0</v>
      </c>
      <c r="V132" s="0" t="s">
        <v>230</v>
      </c>
      <c r="W132" s="0" t="s">
        <v>244</v>
      </c>
      <c r="X132" s="0" t="s">
        <v>232</v>
      </c>
      <c r="Y132" s="0" t="s">
        <v>253</v>
      </c>
      <c r="Z132" s="0" t="s">
        <v>234</v>
      </c>
      <c r="AA132" s="0" t="s">
        <v>235</v>
      </c>
      <c r="AB132" s="32" t="n">
        <v>2500</v>
      </c>
      <c r="AC132" s="32" t="n">
        <v>2500</v>
      </c>
      <c r="AD132" s="26" t="n">
        <f aca="false">IFERROR(AB132/B132,"")</f>
        <v>4.54545454545455</v>
      </c>
      <c r="AE132" s="26" t="n">
        <f aca="false">IFERROR(AC132/B132,"")</f>
        <v>4.54545454545455</v>
      </c>
      <c r="AF132" s="0" t="s">
        <v>236</v>
      </c>
      <c r="AG132" s="0" t="s">
        <v>236</v>
      </c>
      <c r="AH132" s="0" t="s">
        <v>230</v>
      </c>
      <c r="AI132" s="0" t="s">
        <v>878</v>
      </c>
      <c r="AJ132" s="0" t="s">
        <v>883</v>
      </c>
      <c r="AK132" s="0" t="s">
        <v>884</v>
      </c>
      <c r="AL132" s="0" t="s">
        <v>885</v>
      </c>
      <c r="AM132" s="0" t="s">
        <v>94</v>
      </c>
      <c r="AN132" s="26" t="n">
        <f aca="false">IFERROR(E132*(1+IF(AM132="Apartment",Data_Summary!$C$3,0)),"")</f>
        <v>4.54545454545455</v>
      </c>
      <c r="AO132" s="4" t="n">
        <v>46195</v>
      </c>
    </row>
    <row r="133" customFormat="false" ht="15" hidden="false" customHeight="false" outlineLevel="0" collapsed="false">
      <c r="A133" s="0" t="n">
        <f aca="false">IF(AND(ISNUMBER(B133),B133&gt;0,ISNUMBER(AB133),AB133&gt;0,J133&gt;=Data_Summary!$C$1),1,0)</f>
        <v>1</v>
      </c>
      <c r="B133" s="30" t="n">
        <v>505</v>
      </c>
      <c r="C133" s="5" t="n">
        <f aca="false">IF(ISNUMBER(AB133),AB133,"")</f>
        <v>2200</v>
      </c>
      <c r="D133" s="0" t="n">
        <f aca="false">IF(ISNUMBER(C133),C133-U133*Data_Summary!$C$2,"")</f>
        <v>2200</v>
      </c>
      <c r="E133" s="31" t="n">
        <f aca="false">IFERROR(C133/B133,"")</f>
        <v>4.35643564356436</v>
      </c>
      <c r="F133" s="26" t="n">
        <f aca="false">IFERROR(D133/B133,"")</f>
        <v>4.35643564356436</v>
      </c>
      <c r="G133" s="0" t="str">
        <f aca="false">Q133</f>
        <v>1</v>
      </c>
      <c r="H133" s="0" t="str">
        <f aca="false">IFERROR(LEFT(G133,1),"")</f>
        <v>1</v>
      </c>
      <c r="I133" s="0" t="n">
        <f aca="false">IF(LEN(G133)&gt;1,1,0)</f>
        <v>0</v>
      </c>
      <c r="J133" s="4" t="n">
        <v>45906</v>
      </c>
      <c r="K133" s="0" t="s">
        <v>10</v>
      </c>
      <c r="L133" s="0" t="s">
        <v>91</v>
      </c>
      <c r="M133" s="0" t="s">
        <v>226</v>
      </c>
      <c r="N133" s="0" t="s">
        <v>93</v>
      </c>
      <c r="O133" s="0" t="s">
        <v>886</v>
      </c>
      <c r="Q133" s="0" t="s">
        <v>242</v>
      </c>
      <c r="R133" s="0" t="n">
        <v>1</v>
      </c>
      <c r="S133" s="5" t="n">
        <v>505</v>
      </c>
      <c r="T133" s="0" t="s">
        <v>243</v>
      </c>
      <c r="U133" s="0" t="n">
        <v>0</v>
      </c>
      <c r="V133" s="0" t="s">
        <v>230</v>
      </c>
      <c r="W133" s="0" t="s">
        <v>244</v>
      </c>
      <c r="X133" s="0" t="s">
        <v>232</v>
      </c>
      <c r="Y133" s="0" t="s">
        <v>253</v>
      </c>
      <c r="Z133" s="0" t="s">
        <v>234</v>
      </c>
      <c r="AA133" s="0" t="s">
        <v>235</v>
      </c>
      <c r="AB133" s="32" t="n">
        <v>2200</v>
      </c>
      <c r="AC133" s="32" t="n">
        <v>2200</v>
      </c>
      <c r="AD133" s="26" t="n">
        <f aca="false">IFERROR(AB133/B133,"")</f>
        <v>4.35643564356436</v>
      </c>
      <c r="AE133" s="26" t="n">
        <f aca="false">IFERROR(AC133/B133,"")</f>
        <v>4.35643564356436</v>
      </c>
      <c r="AF133" s="0" t="s">
        <v>236</v>
      </c>
      <c r="AG133" s="0" t="s">
        <v>236</v>
      </c>
      <c r="AH133" s="0" t="s">
        <v>230</v>
      </c>
      <c r="AI133" s="0" t="s">
        <v>887</v>
      </c>
      <c r="AJ133" s="0" t="s">
        <v>888</v>
      </c>
      <c r="AK133" s="0" t="s">
        <v>889</v>
      </c>
      <c r="AL133" s="0" t="s">
        <v>890</v>
      </c>
      <c r="AM133" s="0" t="s">
        <v>94</v>
      </c>
      <c r="AN133" s="26" t="n">
        <f aca="false">IFERROR(E133*(1+IF(AM133="Apartment",Data_Summary!$C$3,0)),"")</f>
        <v>4.35643564356436</v>
      </c>
      <c r="AO133" s="4" t="n">
        <v>46195</v>
      </c>
    </row>
    <row r="134" customFormat="false" ht="15" hidden="false" customHeight="false" outlineLevel="0" collapsed="false">
      <c r="A134" s="0" t="n">
        <f aca="false">IF(AND(ISNUMBER(B134),B134&gt;0,ISNUMBER(AB134),AB134&gt;0,J134&gt;=Data_Summary!$C$1),1,0)</f>
        <v>1</v>
      </c>
      <c r="B134" s="30" t="n">
        <v>738</v>
      </c>
      <c r="C134" s="5" t="n">
        <f aca="false">IF(ISNUMBER(AB134),AB134,"")</f>
        <v>2900</v>
      </c>
      <c r="D134" s="0" t="n">
        <f aca="false">IF(ISNUMBER(C134),C134-U134*Data_Summary!$C$2,"")</f>
        <v>2900</v>
      </c>
      <c r="E134" s="31" t="n">
        <f aca="false">IFERROR(C134/B134,"")</f>
        <v>3.92953929539295</v>
      </c>
      <c r="F134" s="26" t="n">
        <f aca="false">IFERROR(D134/B134,"")</f>
        <v>3.92953929539295</v>
      </c>
      <c r="G134" s="0" t="str">
        <f aca="false">Q134</f>
        <v>2</v>
      </c>
      <c r="H134" s="0" t="str">
        <f aca="false">IFERROR(LEFT(G134,1),"")</f>
        <v>2</v>
      </c>
      <c r="I134" s="0" t="n">
        <f aca="false">IF(LEN(G134)&gt;1,1,0)</f>
        <v>0</v>
      </c>
      <c r="J134" s="4" t="n">
        <v>45898</v>
      </c>
      <c r="K134" s="0" t="s">
        <v>10</v>
      </c>
      <c r="L134" s="0" t="s">
        <v>91</v>
      </c>
      <c r="M134" s="0" t="s">
        <v>226</v>
      </c>
      <c r="N134" s="0" t="s">
        <v>93</v>
      </c>
      <c r="O134" s="0" t="s">
        <v>891</v>
      </c>
      <c r="Q134" s="0" t="s">
        <v>251</v>
      </c>
      <c r="R134" s="0" t="n">
        <v>2</v>
      </c>
      <c r="S134" s="5" t="n">
        <v>738</v>
      </c>
      <c r="T134" s="0" t="s">
        <v>252</v>
      </c>
      <c r="U134" s="0" t="n">
        <v>0</v>
      </c>
      <c r="V134" s="0" t="s">
        <v>230</v>
      </c>
      <c r="W134" s="0" t="s">
        <v>244</v>
      </c>
      <c r="X134" s="0" t="s">
        <v>232</v>
      </c>
      <c r="Y134" s="0" t="s">
        <v>278</v>
      </c>
      <c r="Z134" s="0" t="s">
        <v>234</v>
      </c>
      <c r="AA134" s="0" t="s">
        <v>235</v>
      </c>
      <c r="AB134" s="32" t="n">
        <v>2900</v>
      </c>
      <c r="AC134" s="32" t="n">
        <v>2900</v>
      </c>
      <c r="AD134" s="26" t="n">
        <f aca="false">IFERROR(AB134/B134,"")</f>
        <v>3.92953929539295</v>
      </c>
      <c r="AE134" s="26" t="n">
        <f aca="false">IFERROR(AC134/B134,"")</f>
        <v>3.92953929539295</v>
      </c>
      <c r="AF134" s="0" t="s">
        <v>236</v>
      </c>
      <c r="AG134" s="0" t="s">
        <v>236</v>
      </c>
      <c r="AH134" s="0" t="s">
        <v>230</v>
      </c>
      <c r="AI134" s="0" t="s">
        <v>892</v>
      </c>
      <c r="AJ134" s="0" t="s">
        <v>893</v>
      </c>
      <c r="AK134" s="0" t="s">
        <v>894</v>
      </c>
      <c r="AL134" s="0" t="s">
        <v>895</v>
      </c>
      <c r="AM134" s="0" t="s">
        <v>94</v>
      </c>
      <c r="AN134" s="26" t="n">
        <f aca="false">IFERROR(E134*(1+IF(AM134="Apartment",Data_Summary!$C$3,0)),"")</f>
        <v>3.92953929539295</v>
      </c>
      <c r="AO134" s="4" t="n">
        <v>46195</v>
      </c>
    </row>
    <row r="135" customFormat="false" ht="15" hidden="false" customHeight="false" outlineLevel="0" collapsed="false">
      <c r="A135" s="0" t="n">
        <f aca="false">IF(AND(ISNUMBER(B135),B135&gt;0,ISNUMBER(AB135),AB135&gt;0,J135&gt;=Data_Summary!$C$1),1,0)</f>
        <v>1</v>
      </c>
      <c r="B135" s="30" t="n">
        <v>492</v>
      </c>
      <c r="C135" s="5" t="n">
        <f aca="false">IF(ISNUMBER(AB135),AB135,"")</f>
        <v>2200</v>
      </c>
      <c r="D135" s="0" t="n">
        <f aca="false">IF(ISNUMBER(C135),C135-U135*Data_Summary!$C$2,"")</f>
        <v>2200</v>
      </c>
      <c r="E135" s="31" t="n">
        <f aca="false">IFERROR(C135/B135,"")</f>
        <v>4.47154471544716</v>
      </c>
      <c r="F135" s="26" t="n">
        <f aca="false">IFERROR(D135/B135,"")</f>
        <v>4.47154471544716</v>
      </c>
      <c r="G135" s="0" t="str">
        <f aca="false">Q135</f>
        <v>1</v>
      </c>
      <c r="H135" s="0" t="str">
        <f aca="false">IFERROR(LEFT(G135,1),"")</f>
        <v>1</v>
      </c>
      <c r="I135" s="0" t="n">
        <f aca="false">IF(LEN(G135)&gt;1,1,0)</f>
        <v>0</v>
      </c>
      <c r="J135" s="4" t="n">
        <v>45894</v>
      </c>
      <c r="K135" s="0" t="s">
        <v>10</v>
      </c>
      <c r="L135" s="0" t="s">
        <v>91</v>
      </c>
      <c r="M135" s="0" t="s">
        <v>226</v>
      </c>
      <c r="N135" s="0" t="s">
        <v>93</v>
      </c>
      <c r="O135" s="0" t="s">
        <v>896</v>
      </c>
      <c r="Q135" s="0" t="s">
        <v>242</v>
      </c>
      <c r="R135" s="0" t="n">
        <v>1</v>
      </c>
      <c r="S135" s="5" t="n">
        <v>492</v>
      </c>
      <c r="T135" s="0" t="s">
        <v>303</v>
      </c>
      <c r="U135" s="0" t="n">
        <v>0</v>
      </c>
      <c r="V135" s="0" t="s">
        <v>230</v>
      </c>
      <c r="W135" s="0" t="s">
        <v>244</v>
      </c>
      <c r="X135" s="0" t="s">
        <v>232</v>
      </c>
      <c r="Y135" s="0" t="s">
        <v>253</v>
      </c>
      <c r="Z135" s="0" t="s">
        <v>234</v>
      </c>
      <c r="AA135" s="0" t="s">
        <v>235</v>
      </c>
      <c r="AB135" s="32" t="n">
        <v>2200</v>
      </c>
      <c r="AC135" s="32" t="n">
        <v>2200</v>
      </c>
      <c r="AD135" s="26" t="n">
        <f aca="false">IFERROR(AB135/B135,"")</f>
        <v>4.47154471544716</v>
      </c>
      <c r="AE135" s="26" t="n">
        <f aca="false">IFERROR(AC135/B135,"")</f>
        <v>4.47154471544716</v>
      </c>
      <c r="AF135" s="0" t="s">
        <v>236</v>
      </c>
      <c r="AG135" s="0" t="s">
        <v>236</v>
      </c>
      <c r="AH135" s="0" t="s">
        <v>230</v>
      </c>
      <c r="AI135" s="0" t="s">
        <v>897</v>
      </c>
      <c r="AJ135" s="0" t="s">
        <v>898</v>
      </c>
      <c r="AK135" s="0" t="s">
        <v>899</v>
      </c>
      <c r="AL135" s="0" t="s">
        <v>900</v>
      </c>
      <c r="AM135" s="0" t="s">
        <v>94</v>
      </c>
      <c r="AN135" s="26" t="n">
        <f aca="false">IFERROR(E135*(1+IF(AM135="Apartment",Data_Summary!$C$3,0)),"")</f>
        <v>4.47154471544716</v>
      </c>
      <c r="AO135" s="4" t="n">
        <v>46195</v>
      </c>
    </row>
    <row r="136" customFormat="false" ht="15" hidden="false" customHeight="false" outlineLevel="0" collapsed="false">
      <c r="A136" s="0" t="n">
        <f aca="false">IF(AND(ISNUMBER(B136),B136&gt;0,ISNUMBER(AB136),AB136&gt;0,J136&gt;=Data_Summary!$C$1),1,0)</f>
        <v>1</v>
      </c>
      <c r="B136" s="30" t="n">
        <v>560</v>
      </c>
      <c r="C136" s="5" t="n">
        <f aca="false">IF(ISNUMBER(AB136),AB136,"")</f>
        <v>2400</v>
      </c>
      <c r="D136" s="0" t="n">
        <f aca="false">IF(ISNUMBER(C136),C136-U136*Data_Summary!$C$2,"")</f>
        <v>2400</v>
      </c>
      <c r="E136" s="31" t="n">
        <f aca="false">IFERROR(C136/B136,"")</f>
        <v>4.28571428571429</v>
      </c>
      <c r="F136" s="26" t="n">
        <f aca="false">IFERROR(D136/B136,"")</f>
        <v>4.28571428571429</v>
      </c>
      <c r="G136" s="0" t="str">
        <f aca="false">Q136</f>
        <v>1+1</v>
      </c>
      <c r="H136" s="0" t="str">
        <f aca="false">IFERROR(LEFT(G136,1),"")</f>
        <v>1</v>
      </c>
      <c r="I136" s="0" t="n">
        <f aca="false">IF(LEN(G136)&gt;1,1,0)</f>
        <v>1</v>
      </c>
      <c r="J136" s="4" t="n">
        <v>45892</v>
      </c>
      <c r="K136" s="0" t="s">
        <v>10</v>
      </c>
      <c r="L136" s="0" t="s">
        <v>91</v>
      </c>
      <c r="M136" s="0" t="s">
        <v>226</v>
      </c>
      <c r="N136" s="0" t="s">
        <v>93</v>
      </c>
      <c r="O136" s="0" t="s">
        <v>901</v>
      </c>
      <c r="Q136" s="0" t="s">
        <v>270</v>
      </c>
      <c r="R136" s="0" t="n">
        <v>1</v>
      </c>
      <c r="S136" s="5" t="n">
        <v>560</v>
      </c>
      <c r="T136" s="0" t="s">
        <v>243</v>
      </c>
      <c r="U136" s="0" t="n">
        <v>0</v>
      </c>
      <c r="V136" s="0" t="s">
        <v>230</v>
      </c>
      <c r="W136" s="0" t="s">
        <v>244</v>
      </c>
      <c r="X136" s="0" t="s">
        <v>232</v>
      </c>
      <c r="Y136" s="0" t="s">
        <v>272</v>
      </c>
      <c r="Z136" s="0" t="s">
        <v>234</v>
      </c>
      <c r="AA136" s="0" t="s">
        <v>235</v>
      </c>
      <c r="AB136" s="32" t="n">
        <v>2400</v>
      </c>
      <c r="AC136" s="32" t="n">
        <v>2500</v>
      </c>
      <c r="AD136" s="26" t="n">
        <f aca="false">IFERROR(AB136/B136,"")</f>
        <v>4.28571428571429</v>
      </c>
      <c r="AE136" s="26" t="n">
        <f aca="false">IFERROR(AC136/B136,"")</f>
        <v>4.46428571428571</v>
      </c>
      <c r="AF136" s="0" t="s">
        <v>236</v>
      </c>
      <c r="AG136" s="0" t="s">
        <v>236</v>
      </c>
      <c r="AH136" s="0" t="s">
        <v>230</v>
      </c>
      <c r="AI136" s="0" t="s">
        <v>902</v>
      </c>
      <c r="AJ136" s="0" t="s">
        <v>903</v>
      </c>
      <c r="AK136" s="0" t="s">
        <v>904</v>
      </c>
      <c r="AL136" s="0" t="s">
        <v>905</v>
      </c>
      <c r="AM136" s="0" t="s">
        <v>94</v>
      </c>
      <c r="AN136" s="26" t="n">
        <f aca="false">IFERROR(E136*(1+IF(AM136="Apartment",Data_Summary!$C$3,0)),"")</f>
        <v>4.28571428571429</v>
      </c>
      <c r="AO136" s="4" t="n">
        <v>46195</v>
      </c>
    </row>
    <row r="137" customFormat="false" ht="15" hidden="false" customHeight="false" outlineLevel="0" collapsed="false">
      <c r="A137" s="0" t="n">
        <f aca="false">IF(AND(ISNUMBER(B137),B137&gt;0,ISNUMBER(AB137),AB137&gt;0,J137&gt;=Data_Summary!$C$1),1,0)</f>
        <v>1</v>
      </c>
      <c r="B137" s="30" t="n">
        <v>505</v>
      </c>
      <c r="C137" s="5" t="n">
        <f aca="false">IF(ISNUMBER(AB137),AB137,"")</f>
        <v>2400</v>
      </c>
      <c r="D137" s="0" t="n">
        <f aca="false">IF(ISNUMBER(C137),C137-U137*Data_Summary!$C$2,"")</f>
        <v>2400</v>
      </c>
      <c r="E137" s="31" t="n">
        <f aca="false">IFERROR(C137/B137,"")</f>
        <v>4.75247524752475</v>
      </c>
      <c r="F137" s="26" t="n">
        <f aca="false">IFERROR(D137/B137,"")</f>
        <v>4.75247524752475</v>
      </c>
      <c r="G137" s="0" t="str">
        <f aca="false">Q137</f>
        <v>1</v>
      </c>
      <c r="H137" s="0" t="str">
        <f aca="false">IFERROR(LEFT(G137,1),"")</f>
        <v>1</v>
      </c>
      <c r="I137" s="0" t="n">
        <f aca="false">IF(LEN(G137)&gt;1,1,0)</f>
        <v>0</v>
      </c>
      <c r="J137" s="4" t="n">
        <v>45887</v>
      </c>
      <c r="K137" s="0" t="s">
        <v>10</v>
      </c>
      <c r="L137" s="0" t="s">
        <v>91</v>
      </c>
      <c r="M137" s="0" t="s">
        <v>226</v>
      </c>
      <c r="N137" s="0" t="s">
        <v>93</v>
      </c>
      <c r="O137" s="0" t="s">
        <v>906</v>
      </c>
      <c r="Q137" s="0" t="s">
        <v>242</v>
      </c>
      <c r="R137" s="0" t="n">
        <v>1</v>
      </c>
      <c r="S137" s="5" t="n">
        <v>505</v>
      </c>
      <c r="T137" s="0" t="s">
        <v>243</v>
      </c>
      <c r="U137" s="0" t="n">
        <v>0</v>
      </c>
      <c r="V137" s="0" t="s">
        <v>230</v>
      </c>
      <c r="W137" s="0" t="s">
        <v>231</v>
      </c>
      <c r="X137" s="0" t="s">
        <v>232</v>
      </c>
      <c r="Y137" s="0" t="s">
        <v>253</v>
      </c>
      <c r="Z137" s="0" t="s">
        <v>234</v>
      </c>
      <c r="AA137" s="0" t="s">
        <v>235</v>
      </c>
      <c r="AB137" s="32" t="n">
        <v>2400</v>
      </c>
      <c r="AC137" s="32" t="n">
        <v>2280</v>
      </c>
      <c r="AD137" s="26" t="n">
        <f aca="false">IFERROR(AB137/B137,"")</f>
        <v>4.75247524752475</v>
      </c>
      <c r="AE137" s="26" t="n">
        <f aca="false">IFERROR(AC137/B137,"")</f>
        <v>4.51485148514851</v>
      </c>
      <c r="AF137" s="0" t="s">
        <v>236</v>
      </c>
      <c r="AG137" s="0" t="s">
        <v>236</v>
      </c>
      <c r="AH137" s="0" t="s">
        <v>230</v>
      </c>
      <c r="AI137" s="0" t="s">
        <v>907</v>
      </c>
      <c r="AJ137" s="0" t="s">
        <v>908</v>
      </c>
      <c r="AK137" s="0" t="s">
        <v>909</v>
      </c>
      <c r="AL137" s="0" t="s">
        <v>910</v>
      </c>
      <c r="AM137" s="0" t="s">
        <v>94</v>
      </c>
      <c r="AN137" s="26" t="n">
        <f aca="false">IFERROR(E137*(1+IF(AM137="Apartment",Data_Summary!$C$3,0)),"")</f>
        <v>4.75247524752475</v>
      </c>
      <c r="AO137" s="4" t="n">
        <v>46195</v>
      </c>
    </row>
    <row r="138" customFormat="false" ht="15" hidden="false" customHeight="false" outlineLevel="0" collapsed="false">
      <c r="A138" s="0" t="n">
        <f aca="false">IF(AND(ISNUMBER(B138),B138&gt;0,ISNUMBER(AB138),AB138&gt;0,J138&gt;=Data_Summary!$C$1),1,0)</f>
        <v>1</v>
      </c>
      <c r="B138" s="30" t="n">
        <v>770</v>
      </c>
      <c r="C138" s="5" t="n">
        <f aca="false">IF(ISNUMBER(AB138),AB138,"")</f>
        <v>3350</v>
      </c>
      <c r="D138" s="0" t="n">
        <f aca="false">IF(ISNUMBER(C138),C138-U138*Data_Summary!$C$2,"")</f>
        <v>3200</v>
      </c>
      <c r="E138" s="31" t="n">
        <f aca="false">IFERROR(C138/B138,"")</f>
        <v>4.35064935064935</v>
      </c>
      <c r="F138" s="26" t="n">
        <f aca="false">IFERROR(D138/B138,"")</f>
        <v>4.15584415584416</v>
      </c>
      <c r="G138" s="0" t="str">
        <f aca="false">Q138</f>
        <v>2</v>
      </c>
      <c r="H138" s="0" t="str">
        <f aca="false">IFERROR(LEFT(G138,1),"")</f>
        <v>2</v>
      </c>
      <c r="I138" s="0" t="n">
        <f aca="false">IF(LEN(G138)&gt;1,1,0)</f>
        <v>0</v>
      </c>
      <c r="J138" s="4" t="n">
        <v>45886</v>
      </c>
      <c r="K138" s="0" t="s">
        <v>10</v>
      </c>
      <c r="L138" s="0" t="s">
        <v>91</v>
      </c>
      <c r="M138" s="0" t="s">
        <v>226</v>
      </c>
      <c r="N138" s="0" t="s">
        <v>93</v>
      </c>
      <c r="O138" s="0" t="s">
        <v>911</v>
      </c>
      <c r="Q138" s="0" t="s">
        <v>251</v>
      </c>
      <c r="R138" s="0" t="n">
        <v>2</v>
      </c>
      <c r="S138" s="5" t="n">
        <v>770</v>
      </c>
      <c r="T138" s="0" t="s">
        <v>252</v>
      </c>
      <c r="U138" s="0" t="n">
        <v>1</v>
      </c>
      <c r="V138" s="0" t="s">
        <v>230</v>
      </c>
      <c r="W138" s="0" t="s">
        <v>244</v>
      </c>
      <c r="X138" s="0" t="s">
        <v>232</v>
      </c>
      <c r="Y138" s="0" t="s">
        <v>233</v>
      </c>
      <c r="Z138" s="0" t="s">
        <v>234</v>
      </c>
      <c r="AA138" s="0" t="s">
        <v>235</v>
      </c>
      <c r="AB138" s="32" t="n">
        <v>3350</v>
      </c>
      <c r="AC138" s="32" t="n">
        <v>3300</v>
      </c>
      <c r="AD138" s="26" t="n">
        <f aca="false">IFERROR(AB138/B138,"")</f>
        <v>4.35064935064935</v>
      </c>
      <c r="AE138" s="26" t="n">
        <f aca="false">IFERROR(AC138/B138,"")</f>
        <v>4.28571428571429</v>
      </c>
      <c r="AF138" s="0" t="s">
        <v>236</v>
      </c>
      <c r="AG138" s="0" t="s">
        <v>236</v>
      </c>
      <c r="AH138" s="0" t="s">
        <v>230</v>
      </c>
      <c r="AI138" s="0" t="s">
        <v>912</v>
      </c>
      <c r="AJ138" s="0" t="s">
        <v>913</v>
      </c>
      <c r="AK138" s="0" t="s">
        <v>914</v>
      </c>
      <c r="AL138" s="0" t="s">
        <v>915</v>
      </c>
      <c r="AM138" s="0" t="s">
        <v>94</v>
      </c>
      <c r="AN138" s="26" t="n">
        <f aca="false">IFERROR(E138*(1+IF(AM138="Apartment",Data_Summary!$C$3,0)),"")</f>
        <v>4.35064935064935</v>
      </c>
      <c r="AO138" s="4" t="n">
        <v>46195</v>
      </c>
    </row>
    <row r="139" customFormat="false" ht="15" hidden="false" customHeight="false" outlineLevel="0" collapsed="false">
      <c r="A139" s="0" t="n">
        <f aca="false">IF(AND(ISNUMBER(B139),B139&gt;0,ISNUMBER(AB139),AB139&gt;0,J139&gt;=Data_Summary!$C$1),1,0)</f>
        <v>1</v>
      </c>
      <c r="B139" s="30" t="n">
        <v>505</v>
      </c>
      <c r="C139" s="5" t="n">
        <f aca="false">IF(ISNUMBER(AB139),AB139,"")</f>
        <v>2270</v>
      </c>
      <c r="D139" s="0" t="n">
        <f aca="false">IF(ISNUMBER(C139),C139-U139*Data_Summary!$C$2,"")</f>
        <v>2270</v>
      </c>
      <c r="E139" s="31" t="n">
        <f aca="false">IFERROR(C139/B139,"")</f>
        <v>4.4950495049505</v>
      </c>
      <c r="F139" s="26" t="n">
        <f aca="false">IFERROR(D139/B139,"")</f>
        <v>4.4950495049505</v>
      </c>
      <c r="G139" s="0" t="str">
        <f aca="false">Q139</f>
        <v>1</v>
      </c>
      <c r="H139" s="0" t="str">
        <f aca="false">IFERROR(LEFT(G139,1),"")</f>
        <v>1</v>
      </c>
      <c r="I139" s="0" t="n">
        <f aca="false">IF(LEN(G139)&gt;1,1,0)</f>
        <v>0</v>
      </c>
      <c r="J139" s="4" t="n">
        <v>45883</v>
      </c>
      <c r="K139" s="0" t="s">
        <v>10</v>
      </c>
      <c r="L139" s="0" t="s">
        <v>91</v>
      </c>
      <c r="M139" s="0" t="s">
        <v>226</v>
      </c>
      <c r="N139" s="0" t="s">
        <v>93</v>
      </c>
      <c r="O139" s="0" t="s">
        <v>916</v>
      </c>
      <c r="Q139" s="0" t="s">
        <v>242</v>
      </c>
      <c r="R139" s="0" t="n">
        <v>1</v>
      </c>
      <c r="S139" s="5" t="n">
        <v>505</v>
      </c>
      <c r="T139" s="0" t="s">
        <v>243</v>
      </c>
      <c r="U139" s="0" t="n">
        <v>0</v>
      </c>
      <c r="V139" s="0" t="s">
        <v>230</v>
      </c>
      <c r="W139" s="0" t="s">
        <v>244</v>
      </c>
      <c r="X139" s="0" t="s">
        <v>232</v>
      </c>
      <c r="Y139" s="0" t="s">
        <v>253</v>
      </c>
      <c r="Z139" s="0" t="s">
        <v>234</v>
      </c>
      <c r="AA139" s="0" t="s">
        <v>235</v>
      </c>
      <c r="AB139" s="32" t="n">
        <v>2270</v>
      </c>
      <c r="AC139" s="32" t="n">
        <v>2270</v>
      </c>
      <c r="AD139" s="26" t="n">
        <f aca="false">IFERROR(AB139/B139,"")</f>
        <v>4.4950495049505</v>
      </c>
      <c r="AE139" s="26" t="n">
        <f aca="false">IFERROR(AC139/B139,"")</f>
        <v>4.4950495049505</v>
      </c>
      <c r="AF139" s="0" t="s">
        <v>236</v>
      </c>
      <c r="AG139" s="0" t="s">
        <v>236</v>
      </c>
      <c r="AH139" s="0" t="s">
        <v>230</v>
      </c>
      <c r="AI139" s="0" t="s">
        <v>917</v>
      </c>
      <c r="AJ139" s="0" t="s">
        <v>918</v>
      </c>
      <c r="AK139" s="0" t="s">
        <v>919</v>
      </c>
      <c r="AL139" s="0" t="s">
        <v>920</v>
      </c>
      <c r="AM139" s="0" t="s">
        <v>94</v>
      </c>
      <c r="AN139" s="26" t="n">
        <f aca="false">IFERROR(E139*(1+IF(AM139="Apartment",Data_Summary!$C$3,0)),"")</f>
        <v>4.4950495049505</v>
      </c>
      <c r="AO139" s="4" t="n">
        <v>46195</v>
      </c>
    </row>
    <row r="140" customFormat="false" ht="15" hidden="false" customHeight="false" outlineLevel="0" collapsed="false">
      <c r="A140" s="0" t="n">
        <f aca="false">IF(AND(ISNUMBER(B140),B140&gt;0,ISNUMBER(AB140),AB140&gt;0,J140&gt;=Data_Summary!$C$1),1,0)</f>
        <v>1</v>
      </c>
      <c r="B140" s="30" t="n">
        <v>505</v>
      </c>
      <c r="C140" s="5" t="n">
        <f aca="false">IF(ISNUMBER(AB140),AB140,"")</f>
        <v>2300</v>
      </c>
      <c r="D140" s="0" t="n">
        <f aca="false">IF(ISNUMBER(C140),C140-U140*Data_Summary!$C$2,"")</f>
        <v>2300</v>
      </c>
      <c r="E140" s="31" t="n">
        <f aca="false">IFERROR(C140/B140,"")</f>
        <v>4.55445544554455</v>
      </c>
      <c r="F140" s="26" t="n">
        <f aca="false">IFERROR(D140/B140,"")</f>
        <v>4.55445544554455</v>
      </c>
      <c r="G140" s="0" t="str">
        <f aca="false">Q140</f>
        <v>1</v>
      </c>
      <c r="H140" s="0" t="str">
        <f aca="false">IFERROR(LEFT(G140,1),"")</f>
        <v>1</v>
      </c>
      <c r="I140" s="0" t="n">
        <f aca="false">IF(LEN(G140)&gt;1,1,0)</f>
        <v>0</v>
      </c>
      <c r="J140" s="4" t="n">
        <v>45882</v>
      </c>
      <c r="K140" s="0" t="s">
        <v>10</v>
      </c>
      <c r="L140" s="0" t="s">
        <v>91</v>
      </c>
      <c r="M140" s="0" t="s">
        <v>226</v>
      </c>
      <c r="N140" s="0" t="s">
        <v>93</v>
      </c>
      <c r="O140" s="0" t="s">
        <v>921</v>
      </c>
      <c r="Q140" s="0" t="s">
        <v>242</v>
      </c>
      <c r="R140" s="0" t="n">
        <v>1</v>
      </c>
      <c r="S140" s="5" t="n">
        <v>505</v>
      </c>
      <c r="T140" s="0" t="s">
        <v>243</v>
      </c>
      <c r="U140" s="0" t="n">
        <v>0</v>
      </c>
      <c r="V140" s="0" t="s">
        <v>230</v>
      </c>
      <c r="W140" s="0" t="s">
        <v>244</v>
      </c>
      <c r="X140" s="0" t="s">
        <v>232</v>
      </c>
      <c r="Y140" s="0" t="s">
        <v>253</v>
      </c>
      <c r="Z140" s="0" t="s">
        <v>234</v>
      </c>
      <c r="AA140" s="0" t="s">
        <v>235</v>
      </c>
      <c r="AB140" s="32" t="n">
        <v>2300</v>
      </c>
      <c r="AC140" s="32" t="n">
        <v>2300</v>
      </c>
      <c r="AD140" s="26" t="n">
        <f aca="false">IFERROR(AB140/B140,"")</f>
        <v>4.55445544554455</v>
      </c>
      <c r="AE140" s="26" t="n">
        <f aca="false">IFERROR(AC140/B140,"")</f>
        <v>4.55445544554455</v>
      </c>
      <c r="AF140" s="0" t="s">
        <v>236</v>
      </c>
      <c r="AG140" s="0" t="s">
        <v>236</v>
      </c>
      <c r="AH140" s="0" t="s">
        <v>230</v>
      </c>
      <c r="AI140" s="0" t="s">
        <v>922</v>
      </c>
      <c r="AJ140" s="0" t="s">
        <v>923</v>
      </c>
      <c r="AK140" s="0" t="s">
        <v>924</v>
      </c>
      <c r="AL140" s="0" t="s">
        <v>925</v>
      </c>
      <c r="AM140" s="0" t="s">
        <v>94</v>
      </c>
      <c r="AN140" s="26" t="n">
        <f aca="false">IFERROR(E140*(1+IF(AM140="Apartment",Data_Summary!$C$3,0)),"")</f>
        <v>4.55445544554455</v>
      </c>
      <c r="AO140" s="4" t="n">
        <v>46195</v>
      </c>
    </row>
    <row r="141" customFormat="false" ht="15" hidden="false" customHeight="false" outlineLevel="0" collapsed="false">
      <c r="A141" s="0" t="n">
        <f aca="false">IF(AND(ISNUMBER(B141),B141&gt;0,ISNUMBER(AB141),AB141&gt;0,J141&gt;=Data_Summary!$C$1),1,0)</f>
        <v>1</v>
      </c>
      <c r="B141" s="30" t="n">
        <v>492</v>
      </c>
      <c r="C141" s="5" t="n">
        <f aca="false">IF(ISNUMBER(AB141),AB141,"")</f>
        <v>2200</v>
      </c>
      <c r="D141" s="0" t="n">
        <f aca="false">IF(ISNUMBER(C141),C141-U141*Data_Summary!$C$2,"")</f>
        <v>2200</v>
      </c>
      <c r="E141" s="31" t="n">
        <f aca="false">IFERROR(C141/B141,"")</f>
        <v>4.47154471544716</v>
      </c>
      <c r="F141" s="26" t="n">
        <f aca="false">IFERROR(D141/B141,"")</f>
        <v>4.47154471544716</v>
      </c>
      <c r="G141" s="0" t="str">
        <f aca="false">Q141</f>
        <v>1</v>
      </c>
      <c r="H141" s="0" t="str">
        <f aca="false">IFERROR(LEFT(G141,1),"")</f>
        <v>1</v>
      </c>
      <c r="I141" s="0" t="n">
        <f aca="false">IF(LEN(G141)&gt;1,1,0)</f>
        <v>0</v>
      </c>
      <c r="J141" s="4" t="n">
        <v>45881</v>
      </c>
      <c r="K141" s="0" t="s">
        <v>10</v>
      </c>
      <c r="L141" s="0" t="s">
        <v>91</v>
      </c>
      <c r="M141" s="0" t="s">
        <v>226</v>
      </c>
      <c r="N141" s="0" t="s">
        <v>93</v>
      </c>
      <c r="O141" s="0" t="s">
        <v>926</v>
      </c>
      <c r="Q141" s="0" t="s">
        <v>242</v>
      </c>
      <c r="R141" s="0" t="n">
        <v>1</v>
      </c>
      <c r="S141" s="5" t="n">
        <v>492</v>
      </c>
      <c r="T141" s="0" t="s">
        <v>303</v>
      </c>
      <c r="U141" s="0" t="n">
        <v>0</v>
      </c>
      <c r="V141" s="0" t="s">
        <v>230</v>
      </c>
      <c r="W141" s="0" t="s">
        <v>231</v>
      </c>
      <c r="X141" s="0" t="s">
        <v>232</v>
      </c>
      <c r="Y141" s="0" t="s">
        <v>253</v>
      </c>
      <c r="Z141" s="0" t="s">
        <v>234</v>
      </c>
      <c r="AA141" s="0" t="s">
        <v>235</v>
      </c>
      <c r="AB141" s="32" t="n">
        <v>2200</v>
      </c>
      <c r="AC141" s="32" t="n">
        <v>2200</v>
      </c>
      <c r="AD141" s="26" t="n">
        <f aca="false">IFERROR(AB141/B141,"")</f>
        <v>4.47154471544716</v>
      </c>
      <c r="AE141" s="26" t="n">
        <f aca="false">IFERROR(AC141/B141,"")</f>
        <v>4.47154471544716</v>
      </c>
      <c r="AF141" s="0" t="s">
        <v>236</v>
      </c>
      <c r="AG141" s="0" t="s">
        <v>236</v>
      </c>
      <c r="AH141" s="0" t="s">
        <v>230</v>
      </c>
      <c r="AI141" s="0" t="s">
        <v>927</v>
      </c>
      <c r="AJ141" s="0" t="s">
        <v>928</v>
      </c>
      <c r="AK141" s="0" t="s">
        <v>929</v>
      </c>
      <c r="AL141" s="0" t="s">
        <v>930</v>
      </c>
      <c r="AM141" s="0" t="s">
        <v>94</v>
      </c>
      <c r="AN141" s="26" t="n">
        <f aca="false">IFERROR(E141*(1+IF(AM141="Apartment",Data_Summary!$C$3,0)),"")</f>
        <v>4.47154471544716</v>
      </c>
      <c r="AO141" s="4" t="n">
        <v>46195</v>
      </c>
    </row>
    <row r="142" customFormat="false" ht="15" hidden="false" customHeight="false" outlineLevel="0" collapsed="false">
      <c r="A142" s="0" t="n">
        <f aca="false">IF(AND(ISNUMBER(B142),B142&gt;0,ISNUMBER(AB142),AB142&gt;0,J142&gt;=Data_Summary!$C$1),1,0)</f>
        <v>1</v>
      </c>
      <c r="B142" s="30" t="n">
        <v>492</v>
      </c>
      <c r="C142" s="5" t="n">
        <f aca="false">IF(ISNUMBER(AB142),AB142,"")</f>
        <v>2100</v>
      </c>
      <c r="D142" s="0" t="n">
        <f aca="false">IF(ISNUMBER(C142),C142-U142*Data_Summary!$C$2,"")</f>
        <v>2100</v>
      </c>
      <c r="E142" s="31" t="n">
        <f aca="false">IFERROR(C142/B142,"")</f>
        <v>4.26829268292683</v>
      </c>
      <c r="F142" s="26" t="n">
        <f aca="false">IFERROR(D142/B142,"")</f>
        <v>4.26829268292683</v>
      </c>
      <c r="G142" s="0" t="str">
        <f aca="false">Q142</f>
        <v>1</v>
      </c>
      <c r="H142" s="0" t="str">
        <f aca="false">IFERROR(LEFT(G142,1),"")</f>
        <v>1</v>
      </c>
      <c r="I142" s="0" t="n">
        <f aca="false">IF(LEN(G142)&gt;1,1,0)</f>
        <v>0</v>
      </c>
      <c r="J142" s="4" t="n">
        <v>45880</v>
      </c>
      <c r="K142" s="0" t="s">
        <v>10</v>
      </c>
      <c r="L142" s="0" t="s">
        <v>91</v>
      </c>
      <c r="M142" s="0" t="s">
        <v>226</v>
      </c>
      <c r="N142" s="0" t="s">
        <v>93</v>
      </c>
      <c r="O142" s="0" t="s">
        <v>931</v>
      </c>
      <c r="Q142" s="0" t="s">
        <v>242</v>
      </c>
      <c r="R142" s="0" t="n">
        <v>1</v>
      </c>
      <c r="S142" s="5" t="n">
        <v>492</v>
      </c>
      <c r="T142" s="0" t="s">
        <v>303</v>
      </c>
      <c r="U142" s="0" t="n">
        <v>0</v>
      </c>
      <c r="V142" s="0" t="s">
        <v>230</v>
      </c>
      <c r="W142" s="0" t="s">
        <v>244</v>
      </c>
      <c r="X142" s="0" t="s">
        <v>232</v>
      </c>
      <c r="Y142" s="0" t="s">
        <v>253</v>
      </c>
      <c r="Z142" s="0" t="s">
        <v>234</v>
      </c>
      <c r="AA142" s="0" t="s">
        <v>235</v>
      </c>
      <c r="AB142" s="32" t="n">
        <v>2100</v>
      </c>
      <c r="AC142" s="32" t="n">
        <v>2100</v>
      </c>
      <c r="AD142" s="26" t="n">
        <f aca="false">IFERROR(AB142/B142,"")</f>
        <v>4.26829268292683</v>
      </c>
      <c r="AE142" s="26" t="n">
        <f aca="false">IFERROR(AC142/B142,"")</f>
        <v>4.26829268292683</v>
      </c>
      <c r="AF142" s="0" t="s">
        <v>236</v>
      </c>
      <c r="AG142" s="0" t="s">
        <v>236</v>
      </c>
      <c r="AH142" s="0" t="s">
        <v>230</v>
      </c>
      <c r="AI142" s="0" t="s">
        <v>932</v>
      </c>
      <c r="AJ142" s="0" t="s">
        <v>933</v>
      </c>
      <c r="AK142" s="0" t="s">
        <v>934</v>
      </c>
      <c r="AL142" s="0" t="s">
        <v>935</v>
      </c>
      <c r="AM142" s="0" t="s">
        <v>94</v>
      </c>
      <c r="AN142" s="26" t="n">
        <f aca="false">IFERROR(E142*(1+IF(AM142="Apartment",Data_Summary!$C$3,0)),"")</f>
        <v>4.26829268292683</v>
      </c>
      <c r="AO142" s="4" t="n">
        <v>46195</v>
      </c>
    </row>
    <row r="143" customFormat="false" ht="15" hidden="false" customHeight="false" outlineLevel="0" collapsed="false">
      <c r="A143" s="0" t="n">
        <f aca="false">IF(AND(ISNUMBER(B143),B143&gt;0,ISNUMBER(AB143),AB143&gt;0,J143&gt;=Data_Summary!$C$1),1,0)</f>
        <v>1</v>
      </c>
      <c r="B143" s="30" t="n">
        <v>505</v>
      </c>
      <c r="C143" s="5" t="n">
        <f aca="false">IF(ISNUMBER(AB143),AB143,"")</f>
        <v>2280</v>
      </c>
      <c r="D143" s="0" t="n">
        <f aca="false">IF(ISNUMBER(C143),C143-U143*Data_Summary!$C$2,"")</f>
        <v>2280</v>
      </c>
      <c r="E143" s="31" t="n">
        <f aca="false">IFERROR(C143/B143,"")</f>
        <v>4.51485148514851</v>
      </c>
      <c r="F143" s="26" t="n">
        <f aca="false">IFERROR(D143/B143,"")</f>
        <v>4.51485148514851</v>
      </c>
      <c r="G143" s="0" t="str">
        <f aca="false">Q143</f>
        <v>1</v>
      </c>
      <c r="H143" s="0" t="str">
        <f aca="false">IFERROR(LEFT(G143,1),"")</f>
        <v>1</v>
      </c>
      <c r="I143" s="0" t="n">
        <f aca="false">IF(LEN(G143)&gt;1,1,0)</f>
        <v>0</v>
      </c>
      <c r="J143" s="4" t="n">
        <v>45880</v>
      </c>
      <c r="K143" s="0" t="s">
        <v>10</v>
      </c>
      <c r="L143" s="0" t="s">
        <v>91</v>
      </c>
      <c r="M143" s="0" t="s">
        <v>226</v>
      </c>
      <c r="N143" s="0" t="s">
        <v>93</v>
      </c>
      <c r="O143" s="0" t="s">
        <v>936</v>
      </c>
      <c r="Q143" s="0" t="s">
        <v>242</v>
      </c>
      <c r="R143" s="0" t="n">
        <v>1</v>
      </c>
      <c r="S143" s="5" t="n">
        <v>505</v>
      </c>
      <c r="T143" s="0" t="s">
        <v>243</v>
      </c>
      <c r="U143" s="0" t="n">
        <v>0</v>
      </c>
      <c r="V143" s="0" t="s">
        <v>230</v>
      </c>
      <c r="W143" s="0" t="s">
        <v>244</v>
      </c>
      <c r="X143" s="0" t="s">
        <v>232</v>
      </c>
      <c r="Y143" s="0" t="s">
        <v>253</v>
      </c>
      <c r="Z143" s="0" t="s">
        <v>234</v>
      </c>
      <c r="AA143" s="0" t="s">
        <v>235</v>
      </c>
      <c r="AB143" s="32" t="n">
        <v>2280</v>
      </c>
      <c r="AC143" s="32" t="n">
        <v>2280</v>
      </c>
      <c r="AD143" s="26" t="n">
        <f aca="false">IFERROR(AB143/B143,"")</f>
        <v>4.51485148514851</v>
      </c>
      <c r="AE143" s="26" t="n">
        <f aca="false">IFERROR(AC143/B143,"")</f>
        <v>4.51485148514851</v>
      </c>
      <c r="AF143" s="0" t="s">
        <v>236</v>
      </c>
      <c r="AG143" s="0" t="s">
        <v>236</v>
      </c>
      <c r="AH143" s="0" t="s">
        <v>230</v>
      </c>
      <c r="AI143" s="0" t="s">
        <v>932</v>
      </c>
      <c r="AJ143" s="0" t="s">
        <v>937</v>
      </c>
      <c r="AK143" s="0" t="s">
        <v>938</v>
      </c>
      <c r="AL143" s="0" t="s">
        <v>939</v>
      </c>
      <c r="AM143" s="0" t="s">
        <v>94</v>
      </c>
      <c r="AN143" s="26" t="n">
        <f aca="false">IFERROR(E143*(1+IF(AM143="Apartment",Data_Summary!$C$3,0)),"")</f>
        <v>4.51485148514851</v>
      </c>
      <c r="AO143" s="4" t="n">
        <v>46195</v>
      </c>
    </row>
    <row r="144" customFormat="false" ht="15" hidden="false" customHeight="false" outlineLevel="0" collapsed="false">
      <c r="A144" s="0" t="n">
        <f aca="false">IF(AND(ISNUMBER(B144),B144&gt;0,ISNUMBER(AB144),AB144&gt;0,J144&gt;=Data_Summary!$C$1),1,0)</f>
        <v>1</v>
      </c>
      <c r="B144" s="30" t="n">
        <v>770</v>
      </c>
      <c r="C144" s="5" t="n">
        <f aca="false">IF(ISNUMBER(AB144),AB144,"")</f>
        <v>3400</v>
      </c>
      <c r="D144" s="0" t="n">
        <f aca="false">IF(ISNUMBER(C144),C144-U144*Data_Summary!$C$2,"")</f>
        <v>3400</v>
      </c>
      <c r="E144" s="31" t="n">
        <f aca="false">IFERROR(C144/B144,"")</f>
        <v>4.41558441558442</v>
      </c>
      <c r="F144" s="26" t="n">
        <f aca="false">IFERROR(D144/B144,"")</f>
        <v>4.41558441558442</v>
      </c>
      <c r="G144" s="0" t="str">
        <f aca="false">Q144</f>
        <v>2</v>
      </c>
      <c r="H144" s="0" t="str">
        <f aca="false">IFERROR(LEFT(G144,1),"")</f>
        <v>2</v>
      </c>
      <c r="I144" s="0" t="n">
        <f aca="false">IF(LEN(G144)&gt;1,1,0)</f>
        <v>0</v>
      </c>
      <c r="J144" s="4" t="n">
        <v>45878</v>
      </c>
      <c r="K144" s="0" t="s">
        <v>10</v>
      </c>
      <c r="L144" s="0" t="s">
        <v>91</v>
      </c>
      <c r="M144" s="0" t="s">
        <v>226</v>
      </c>
      <c r="N144" s="0" t="s">
        <v>93</v>
      </c>
      <c r="O144" s="0" t="s">
        <v>940</v>
      </c>
      <c r="Q144" s="0" t="s">
        <v>251</v>
      </c>
      <c r="R144" s="0" t="n">
        <v>2</v>
      </c>
      <c r="S144" s="5" t="n">
        <v>770</v>
      </c>
      <c r="T144" s="0" t="s">
        <v>252</v>
      </c>
      <c r="U144" s="0" t="n">
        <v>0</v>
      </c>
      <c r="V144" s="0" t="s">
        <v>230</v>
      </c>
      <c r="W144" s="0" t="s">
        <v>231</v>
      </c>
      <c r="X144" s="0" t="s">
        <v>232</v>
      </c>
      <c r="Y144" s="0" t="s">
        <v>233</v>
      </c>
      <c r="Z144" s="0" t="s">
        <v>234</v>
      </c>
      <c r="AA144" s="0" t="s">
        <v>235</v>
      </c>
      <c r="AB144" s="32" t="n">
        <v>3400</v>
      </c>
      <c r="AC144" s="32" t="n">
        <v>3500</v>
      </c>
      <c r="AD144" s="26" t="n">
        <f aca="false">IFERROR(AB144/B144,"")</f>
        <v>4.41558441558442</v>
      </c>
      <c r="AE144" s="26" t="n">
        <f aca="false">IFERROR(AC144/B144,"")</f>
        <v>4.54545454545455</v>
      </c>
      <c r="AF144" s="0" t="s">
        <v>236</v>
      </c>
      <c r="AG144" s="0" t="s">
        <v>236</v>
      </c>
      <c r="AH144" s="0" t="s">
        <v>230</v>
      </c>
      <c r="AI144" s="0" t="s">
        <v>941</v>
      </c>
      <c r="AJ144" s="0" t="s">
        <v>942</v>
      </c>
      <c r="AK144" s="0" t="s">
        <v>943</v>
      </c>
      <c r="AL144" s="0" t="s">
        <v>944</v>
      </c>
      <c r="AM144" s="0" t="s">
        <v>94</v>
      </c>
      <c r="AN144" s="26" t="n">
        <f aca="false">IFERROR(E144*(1+IF(AM144="Apartment",Data_Summary!$C$3,0)),"")</f>
        <v>4.41558441558442</v>
      </c>
      <c r="AO144" s="4" t="n">
        <v>46195</v>
      </c>
    </row>
    <row r="145" customFormat="false" ht="15" hidden="false" customHeight="false" outlineLevel="0" collapsed="false">
      <c r="A145" s="0" t="n">
        <f aca="false">IF(AND(ISNUMBER(B145),B145&gt;0,ISNUMBER(AB145),AB145&gt;0,J145&gt;=Data_Summary!$C$1),1,0)</f>
        <v>1</v>
      </c>
      <c r="B145" s="33" t="n">
        <v>600</v>
      </c>
      <c r="C145" s="5" t="n">
        <f aca="false">IF(ISNUMBER(AB145),AB145,"")</f>
        <v>2500</v>
      </c>
      <c r="D145" s="0" t="n">
        <f aca="false">IF(ISNUMBER(C145),C145-U145*Data_Summary!$C$2,"")</f>
        <v>2500</v>
      </c>
      <c r="E145" s="34" t="n">
        <f aca="false">IFERROR(C145/B145,"")</f>
        <v>4.16666666666667</v>
      </c>
      <c r="F145" s="26" t="n">
        <f aca="false">IFERROR(D145/B145,"")</f>
        <v>4.16666666666667</v>
      </c>
      <c r="G145" s="0" t="str">
        <f aca="false">Q145</f>
        <v>1</v>
      </c>
      <c r="H145" s="0" t="str">
        <f aca="false">IFERROR(LEFT(G145,1),"")</f>
        <v>1</v>
      </c>
      <c r="I145" s="0" t="n">
        <f aca="false">IF(LEN(G145)&gt;1,1,0)</f>
        <v>0</v>
      </c>
      <c r="J145" s="4" t="n">
        <v>45878</v>
      </c>
      <c r="K145" s="0" t="s">
        <v>10</v>
      </c>
      <c r="L145" s="0" t="s">
        <v>91</v>
      </c>
      <c r="M145" s="0" t="s">
        <v>226</v>
      </c>
      <c r="N145" s="0" t="s">
        <v>93</v>
      </c>
      <c r="O145" s="0" t="s">
        <v>945</v>
      </c>
      <c r="Q145" s="0" t="s">
        <v>242</v>
      </c>
      <c r="R145" s="0" t="n">
        <v>1</v>
      </c>
      <c r="S145" s="5" t="n">
        <v>600</v>
      </c>
      <c r="T145" s="0" t="s">
        <v>243</v>
      </c>
      <c r="U145" s="0" t="n">
        <v>0</v>
      </c>
      <c r="V145" s="0" t="s">
        <v>230</v>
      </c>
      <c r="W145" s="0" t="s">
        <v>244</v>
      </c>
      <c r="X145" s="0" t="s">
        <v>232</v>
      </c>
      <c r="Y145" s="0" t="s">
        <v>278</v>
      </c>
      <c r="Z145" s="0" t="s">
        <v>234</v>
      </c>
      <c r="AA145" s="0" t="s">
        <v>235</v>
      </c>
      <c r="AB145" s="32" t="n">
        <v>2500</v>
      </c>
      <c r="AC145" s="32" t="n">
        <v>2500</v>
      </c>
      <c r="AD145" s="26" t="n">
        <f aca="false">IFERROR(AB145/B145,"")</f>
        <v>4.16666666666667</v>
      </c>
      <c r="AE145" s="26" t="n">
        <f aca="false">IFERROR(AC145/B145,"")</f>
        <v>4.16666666666667</v>
      </c>
      <c r="AF145" s="0" t="s">
        <v>236</v>
      </c>
      <c r="AG145" s="0" t="s">
        <v>236</v>
      </c>
      <c r="AH145" s="0" t="s">
        <v>230</v>
      </c>
      <c r="AI145" s="0" t="s">
        <v>941</v>
      </c>
      <c r="AJ145" s="0" t="s">
        <v>946</v>
      </c>
      <c r="AK145" s="0" t="s">
        <v>947</v>
      </c>
      <c r="AL145" s="0" t="s">
        <v>948</v>
      </c>
      <c r="AM145" s="0" t="s">
        <v>94</v>
      </c>
      <c r="AN145" s="26" t="n">
        <f aca="false">IFERROR(E145*(1+IF(AM145="Apartment",Data_Summary!$C$3,0)),"")</f>
        <v>4.16666666666667</v>
      </c>
      <c r="AO145" s="4" t="n">
        <v>46195</v>
      </c>
    </row>
    <row r="146" customFormat="false" ht="15" hidden="false" customHeight="false" outlineLevel="0" collapsed="false">
      <c r="A146" s="0" t="n">
        <f aca="false">IF(AND(ISNUMBER(B146),B146&gt;0,ISNUMBER(AB146),AB146&gt;0,J146&gt;=Data_Summary!$C$1),1,0)</f>
        <v>1</v>
      </c>
      <c r="B146" s="30" t="n">
        <v>505</v>
      </c>
      <c r="C146" s="5" t="n">
        <f aca="false">IF(ISNUMBER(AB146),AB146,"")</f>
        <v>2200</v>
      </c>
      <c r="D146" s="0" t="n">
        <f aca="false">IF(ISNUMBER(C146),C146-U146*Data_Summary!$C$2,"")</f>
        <v>2200</v>
      </c>
      <c r="E146" s="31" t="n">
        <f aca="false">IFERROR(C146/B146,"")</f>
        <v>4.35643564356436</v>
      </c>
      <c r="F146" s="26" t="n">
        <f aca="false">IFERROR(D146/B146,"")</f>
        <v>4.35643564356436</v>
      </c>
      <c r="G146" s="0" t="str">
        <f aca="false">Q146</f>
        <v>1</v>
      </c>
      <c r="H146" s="0" t="str">
        <f aca="false">IFERROR(LEFT(G146,1),"")</f>
        <v>1</v>
      </c>
      <c r="I146" s="0" t="n">
        <f aca="false">IF(LEN(G146)&gt;1,1,0)</f>
        <v>0</v>
      </c>
      <c r="J146" s="4" t="n">
        <v>45876</v>
      </c>
      <c r="K146" s="0" t="s">
        <v>10</v>
      </c>
      <c r="L146" s="0" t="s">
        <v>91</v>
      </c>
      <c r="M146" s="0" t="s">
        <v>226</v>
      </c>
      <c r="N146" s="0" t="s">
        <v>93</v>
      </c>
      <c r="O146" s="0" t="s">
        <v>949</v>
      </c>
      <c r="Q146" s="0" t="s">
        <v>242</v>
      </c>
      <c r="R146" s="0" t="n">
        <v>1</v>
      </c>
      <c r="S146" s="5" t="n">
        <v>505</v>
      </c>
      <c r="T146" s="0" t="s">
        <v>243</v>
      </c>
      <c r="U146" s="0" t="n">
        <v>0</v>
      </c>
      <c r="V146" s="0" t="s">
        <v>230</v>
      </c>
      <c r="W146" s="0" t="s">
        <v>244</v>
      </c>
      <c r="X146" s="0" t="s">
        <v>232</v>
      </c>
      <c r="Y146" s="0" t="s">
        <v>253</v>
      </c>
      <c r="Z146" s="0" t="s">
        <v>234</v>
      </c>
      <c r="AA146" s="0" t="s">
        <v>235</v>
      </c>
      <c r="AB146" s="32" t="n">
        <v>2200</v>
      </c>
      <c r="AC146" s="32" t="n">
        <v>2200</v>
      </c>
      <c r="AD146" s="26" t="n">
        <f aca="false">IFERROR(AB146/B146,"")</f>
        <v>4.35643564356436</v>
      </c>
      <c r="AE146" s="26" t="n">
        <f aca="false">IFERROR(AC146/B146,"")</f>
        <v>4.35643564356436</v>
      </c>
      <c r="AF146" s="0" t="s">
        <v>236</v>
      </c>
      <c r="AG146" s="0" t="s">
        <v>236</v>
      </c>
      <c r="AH146" s="0" t="s">
        <v>230</v>
      </c>
      <c r="AI146" s="0" t="s">
        <v>950</v>
      </c>
      <c r="AJ146" s="0" t="s">
        <v>951</v>
      </c>
      <c r="AK146" s="0" t="s">
        <v>952</v>
      </c>
      <c r="AL146" s="0" t="s">
        <v>953</v>
      </c>
      <c r="AM146" s="0" t="s">
        <v>94</v>
      </c>
      <c r="AN146" s="26" t="n">
        <f aca="false">IFERROR(E146*(1+IF(AM146="Apartment",Data_Summary!$C$3,0)),"")</f>
        <v>4.35643564356436</v>
      </c>
      <c r="AO146" s="4" t="n">
        <v>46195</v>
      </c>
    </row>
    <row r="147" customFormat="false" ht="15" hidden="false" customHeight="false" outlineLevel="0" collapsed="false">
      <c r="A147" s="0" t="n">
        <f aca="false">IF(AND(ISNUMBER(B147),B147&gt;0,ISNUMBER(AB147),AB147&gt;0,J147&gt;=Data_Summary!$C$1),1,0)</f>
        <v>1</v>
      </c>
      <c r="B147" s="33" t="n">
        <v>535</v>
      </c>
      <c r="C147" s="5" t="n">
        <f aca="false">IF(ISNUMBER(AB147),AB147,"")</f>
        <v>2850</v>
      </c>
      <c r="D147" s="0" t="n">
        <f aca="false">IF(ISNUMBER(C147),C147-U147*Data_Summary!$C$2,"")</f>
        <v>2850</v>
      </c>
      <c r="E147" s="34" t="n">
        <f aca="false">IFERROR(C147/B147,"")</f>
        <v>5.32710280373832</v>
      </c>
      <c r="F147" s="26" t="n">
        <f aca="false">IFERROR(D147/B147,"")</f>
        <v>5.32710280373832</v>
      </c>
      <c r="G147" s="0" t="str">
        <f aca="false">Q147</f>
        <v>1+1</v>
      </c>
      <c r="H147" s="0" t="str">
        <f aca="false">IFERROR(LEFT(G147,1),"")</f>
        <v>1</v>
      </c>
      <c r="I147" s="0" t="n">
        <f aca="false">IF(LEN(G147)&gt;1,1,0)</f>
        <v>1</v>
      </c>
      <c r="J147" s="4" t="n">
        <v>45875</v>
      </c>
      <c r="K147" s="0" t="s">
        <v>10</v>
      </c>
      <c r="L147" s="0" t="s">
        <v>91</v>
      </c>
      <c r="M147" s="0" t="s">
        <v>226</v>
      </c>
      <c r="N147" s="0" t="s">
        <v>93</v>
      </c>
      <c r="O147" s="0" t="s">
        <v>954</v>
      </c>
      <c r="Q147" s="0" t="s">
        <v>270</v>
      </c>
      <c r="R147" s="0" t="n">
        <v>2</v>
      </c>
      <c r="S147" s="5" t="n">
        <v>535</v>
      </c>
      <c r="T147" s="0" t="s">
        <v>271</v>
      </c>
      <c r="U147" s="0" t="n">
        <v>0</v>
      </c>
      <c r="V147" s="0" t="s">
        <v>230</v>
      </c>
      <c r="W147" s="0" t="s">
        <v>244</v>
      </c>
      <c r="X147" s="0" t="s">
        <v>232</v>
      </c>
      <c r="Y147" s="0" t="s">
        <v>278</v>
      </c>
      <c r="Z147" s="0" t="s">
        <v>234</v>
      </c>
      <c r="AA147" s="0" t="s">
        <v>235</v>
      </c>
      <c r="AB147" s="32" t="n">
        <v>2850</v>
      </c>
      <c r="AC147" s="32" t="n">
        <v>2900</v>
      </c>
      <c r="AD147" s="26" t="n">
        <f aca="false">IFERROR(AB147/B147,"")</f>
        <v>5.32710280373832</v>
      </c>
      <c r="AE147" s="26" t="n">
        <f aca="false">IFERROR(AC147/B147,"")</f>
        <v>5.42056074766355</v>
      </c>
      <c r="AF147" s="0" t="s">
        <v>236</v>
      </c>
      <c r="AG147" s="0" t="s">
        <v>236</v>
      </c>
      <c r="AH147" s="0" t="s">
        <v>230</v>
      </c>
      <c r="AI147" s="0" t="s">
        <v>955</v>
      </c>
      <c r="AJ147" s="0" t="s">
        <v>956</v>
      </c>
      <c r="AK147" s="0" t="s">
        <v>957</v>
      </c>
      <c r="AL147" s="0" t="s">
        <v>958</v>
      </c>
      <c r="AM147" s="0" t="s">
        <v>94</v>
      </c>
      <c r="AN147" s="26" t="n">
        <f aca="false">IFERROR(E147*(1+IF(AM147="Apartment",Data_Summary!$C$3,0)),"")</f>
        <v>5.32710280373832</v>
      </c>
      <c r="AO147" s="4" t="n">
        <v>46195</v>
      </c>
    </row>
    <row r="148" customFormat="false" ht="15" hidden="false" customHeight="false" outlineLevel="0" collapsed="false">
      <c r="A148" s="0" t="n">
        <f aca="false">IF(AND(ISNUMBER(B148),B148&gt;0,ISNUMBER(AB148),AB148&gt;0,J148&gt;=Data_Summary!$C$1),1,0)</f>
        <v>1</v>
      </c>
      <c r="B148" s="30" t="n">
        <v>718</v>
      </c>
      <c r="C148" s="5" t="n">
        <f aca="false">IF(ISNUMBER(AB148),AB148,"")</f>
        <v>3400</v>
      </c>
      <c r="D148" s="0" t="n">
        <f aca="false">IF(ISNUMBER(C148),C148-U148*Data_Summary!$C$2,"")</f>
        <v>3400</v>
      </c>
      <c r="E148" s="31" t="n">
        <f aca="false">IFERROR(C148/B148,"")</f>
        <v>4.73537604456825</v>
      </c>
      <c r="F148" s="26" t="n">
        <f aca="false">IFERROR(D148/B148,"")</f>
        <v>4.73537604456825</v>
      </c>
      <c r="G148" s="0" t="str">
        <f aca="false">Q148</f>
        <v>2</v>
      </c>
      <c r="H148" s="0" t="str">
        <f aca="false">IFERROR(LEFT(G148,1),"")</f>
        <v>2</v>
      </c>
      <c r="I148" s="0" t="n">
        <f aca="false">IF(LEN(G148)&gt;1,1,0)</f>
        <v>0</v>
      </c>
      <c r="J148" s="4" t="n">
        <v>45875</v>
      </c>
      <c r="K148" s="0" t="s">
        <v>10</v>
      </c>
      <c r="L148" s="0" t="s">
        <v>91</v>
      </c>
      <c r="M148" s="0" t="s">
        <v>226</v>
      </c>
      <c r="N148" s="0" t="s">
        <v>93</v>
      </c>
      <c r="O148" s="0" t="s">
        <v>959</v>
      </c>
      <c r="Q148" s="0" t="s">
        <v>251</v>
      </c>
      <c r="R148" s="0" t="n">
        <v>2</v>
      </c>
      <c r="S148" s="5" t="n">
        <v>718</v>
      </c>
      <c r="T148" s="0" t="s">
        <v>252</v>
      </c>
      <c r="U148" s="0" t="n">
        <v>0</v>
      </c>
      <c r="V148" s="0" t="s">
        <v>230</v>
      </c>
      <c r="W148" s="0" t="s">
        <v>231</v>
      </c>
      <c r="X148" s="0" t="s">
        <v>232</v>
      </c>
      <c r="Y148" s="0" t="s">
        <v>233</v>
      </c>
      <c r="Z148" s="0" t="s">
        <v>234</v>
      </c>
      <c r="AA148" s="0" t="s">
        <v>235</v>
      </c>
      <c r="AB148" s="32" t="n">
        <v>3400</v>
      </c>
      <c r="AC148" s="32" t="n">
        <v>3350</v>
      </c>
      <c r="AD148" s="26" t="n">
        <f aca="false">IFERROR(AB148/B148,"")</f>
        <v>4.73537604456825</v>
      </c>
      <c r="AE148" s="26" t="n">
        <f aca="false">IFERROR(AC148/B148,"")</f>
        <v>4.66573816155989</v>
      </c>
      <c r="AF148" s="0" t="s">
        <v>236</v>
      </c>
      <c r="AG148" s="0" t="s">
        <v>236</v>
      </c>
      <c r="AH148" s="0" t="s">
        <v>230</v>
      </c>
      <c r="AI148" s="0" t="s">
        <v>955</v>
      </c>
      <c r="AJ148" s="0" t="s">
        <v>960</v>
      </c>
      <c r="AK148" s="0" t="s">
        <v>961</v>
      </c>
      <c r="AL148" s="0" t="s">
        <v>962</v>
      </c>
      <c r="AM148" s="0" t="s">
        <v>94</v>
      </c>
      <c r="AN148" s="26" t="n">
        <f aca="false">IFERROR(E148*(1+IF(AM148="Apartment",Data_Summary!$C$3,0)),"")</f>
        <v>4.73537604456825</v>
      </c>
      <c r="AO148" s="4" t="n">
        <v>46195</v>
      </c>
    </row>
    <row r="149" customFormat="false" ht="15" hidden="false" customHeight="false" outlineLevel="0" collapsed="false">
      <c r="A149" s="0" t="n">
        <f aca="false">IF(AND(ISNUMBER(B149),B149&gt;0,ISNUMBER(AB149),AB149&gt;0,J149&gt;=Data_Summary!$C$1),1,0)</f>
        <v>1</v>
      </c>
      <c r="B149" s="30" t="n">
        <v>492</v>
      </c>
      <c r="C149" s="5" t="n">
        <f aca="false">IF(ISNUMBER(AB149),AB149,"")</f>
        <v>2200</v>
      </c>
      <c r="D149" s="0" t="n">
        <f aca="false">IF(ISNUMBER(C149),C149-U149*Data_Summary!$C$2,"")</f>
        <v>2200</v>
      </c>
      <c r="E149" s="31" t="n">
        <f aca="false">IFERROR(C149/B149,"")</f>
        <v>4.47154471544716</v>
      </c>
      <c r="F149" s="26" t="n">
        <f aca="false">IFERROR(D149/B149,"")</f>
        <v>4.47154471544716</v>
      </c>
      <c r="G149" s="0" t="str">
        <f aca="false">Q149</f>
        <v>1</v>
      </c>
      <c r="H149" s="0" t="str">
        <f aca="false">IFERROR(LEFT(G149,1),"")</f>
        <v>1</v>
      </c>
      <c r="I149" s="0" t="n">
        <f aca="false">IF(LEN(G149)&gt;1,1,0)</f>
        <v>0</v>
      </c>
      <c r="J149" s="4" t="n">
        <v>45873</v>
      </c>
      <c r="K149" s="0" t="s">
        <v>10</v>
      </c>
      <c r="L149" s="0" t="s">
        <v>91</v>
      </c>
      <c r="M149" s="0" t="s">
        <v>226</v>
      </c>
      <c r="N149" s="0" t="s">
        <v>93</v>
      </c>
      <c r="O149" s="0" t="s">
        <v>963</v>
      </c>
      <c r="Q149" s="0" t="s">
        <v>242</v>
      </c>
      <c r="R149" s="0" t="n">
        <v>1</v>
      </c>
      <c r="S149" s="5" t="n">
        <v>492</v>
      </c>
      <c r="T149" s="0" t="s">
        <v>303</v>
      </c>
      <c r="U149" s="0" t="n">
        <v>0</v>
      </c>
      <c r="V149" s="0" t="s">
        <v>230</v>
      </c>
      <c r="W149" s="0" t="s">
        <v>231</v>
      </c>
      <c r="X149" s="0" t="s">
        <v>232</v>
      </c>
      <c r="Y149" s="0" t="s">
        <v>253</v>
      </c>
      <c r="Z149" s="0" t="s">
        <v>234</v>
      </c>
      <c r="AA149" s="0" t="s">
        <v>235</v>
      </c>
      <c r="AB149" s="32" t="n">
        <v>2200</v>
      </c>
      <c r="AC149" s="32" t="n">
        <v>2200</v>
      </c>
      <c r="AD149" s="26" t="n">
        <f aca="false">IFERROR(AB149/B149,"")</f>
        <v>4.47154471544716</v>
      </c>
      <c r="AE149" s="26" t="n">
        <f aca="false">IFERROR(AC149/B149,"")</f>
        <v>4.47154471544716</v>
      </c>
      <c r="AF149" s="0" t="s">
        <v>236</v>
      </c>
      <c r="AG149" s="0" t="s">
        <v>236</v>
      </c>
      <c r="AH149" s="0" t="s">
        <v>230</v>
      </c>
      <c r="AI149" s="0" t="s">
        <v>964</v>
      </c>
      <c r="AJ149" s="0" t="s">
        <v>965</v>
      </c>
      <c r="AK149" s="0" t="s">
        <v>966</v>
      </c>
      <c r="AL149" s="0" t="s">
        <v>967</v>
      </c>
      <c r="AM149" s="0" t="s">
        <v>94</v>
      </c>
      <c r="AN149" s="26" t="n">
        <f aca="false">IFERROR(E149*(1+IF(AM149="Apartment",Data_Summary!$C$3,0)),"")</f>
        <v>4.47154471544716</v>
      </c>
      <c r="AO149" s="4" t="n">
        <v>46195</v>
      </c>
    </row>
    <row r="150" customFormat="false" ht="15" hidden="false" customHeight="false" outlineLevel="0" collapsed="false">
      <c r="A150" s="0" t="n">
        <f aca="false">IF(AND(ISNUMBER(B150),B150&gt;0,ISNUMBER(AB150),AB150&gt;0,J150&gt;=Data_Summary!$C$1),1,0)</f>
        <v>1</v>
      </c>
      <c r="B150" s="33" t="n">
        <v>535</v>
      </c>
      <c r="C150" s="5" t="n">
        <f aca="false">IF(ISNUMBER(AB150),AB150,"")</f>
        <v>2650</v>
      </c>
      <c r="D150" s="0" t="n">
        <f aca="false">IF(ISNUMBER(C150),C150-U150*Data_Summary!$C$2,"")</f>
        <v>2650</v>
      </c>
      <c r="E150" s="34" t="n">
        <f aca="false">IFERROR(C150/B150,"")</f>
        <v>4.95327102803738</v>
      </c>
      <c r="F150" s="26" t="n">
        <f aca="false">IFERROR(D150/B150,"")</f>
        <v>4.95327102803738</v>
      </c>
      <c r="G150" s="0" t="str">
        <f aca="false">Q150</f>
        <v>1+1</v>
      </c>
      <c r="H150" s="0" t="str">
        <f aca="false">IFERROR(LEFT(G150,1),"")</f>
        <v>1</v>
      </c>
      <c r="I150" s="0" t="n">
        <f aca="false">IF(LEN(G150)&gt;1,1,0)</f>
        <v>1</v>
      </c>
      <c r="J150" s="4" t="n">
        <v>45873</v>
      </c>
      <c r="K150" s="0" t="s">
        <v>10</v>
      </c>
      <c r="L150" s="0" t="s">
        <v>91</v>
      </c>
      <c r="M150" s="0" t="s">
        <v>226</v>
      </c>
      <c r="N150" s="0" t="s">
        <v>93</v>
      </c>
      <c r="O150" s="0" t="s">
        <v>968</v>
      </c>
      <c r="Q150" s="0" t="s">
        <v>270</v>
      </c>
      <c r="R150" s="0" t="n">
        <v>2</v>
      </c>
      <c r="S150" s="5" t="n">
        <v>535</v>
      </c>
      <c r="T150" s="0" t="s">
        <v>271</v>
      </c>
      <c r="U150" s="0" t="n">
        <v>0</v>
      </c>
      <c r="V150" s="0" t="s">
        <v>230</v>
      </c>
      <c r="W150" s="0" t="s">
        <v>231</v>
      </c>
      <c r="X150" s="0" t="s">
        <v>232</v>
      </c>
      <c r="Y150" s="0" t="s">
        <v>233</v>
      </c>
      <c r="Z150" s="0" t="s">
        <v>234</v>
      </c>
      <c r="AA150" s="0" t="s">
        <v>235</v>
      </c>
      <c r="AB150" s="32" t="n">
        <v>2650</v>
      </c>
      <c r="AC150" s="32" t="n">
        <v>2700</v>
      </c>
      <c r="AD150" s="26" t="n">
        <f aca="false">IFERROR(AB150/B150,"")</f>
        <v>4.95327102803738</v>
      </c>
      <c r="AE150" s="26" t="n">
        <f aca="false">IFERROR(AC150/B150,"")</f>
        <v>5.04672897196262</v>
      </c>
      <c r="AF150" s="0" t="s">
        <v>236</v>
      </c>
      <c r="AG150" s="0" t="s">
        <v>236</v>
      </c>
      <c r="AH150" s="0" t="s">
        <v>230</v>
      </c>
      <c r="AI150" s="0" t="s">
        <v>964</v>
      </c>
      <c r="AJ150" s="0" t="s">
        <v>969</v>
      </c>
      <c r="AK150" s="0" t="s">
        <v>970</v>
      </c>
      <c r="AL150" s="0" t="s">
        <v>971</v>
      </c>
      <c r="AM150" s="0" t="s">
        <v>94</v>
      </c>
      <c r="AN150" s="26" t="n">
        <f aca="false">IFERROR(E150*(1+IF(AM150="Apartment",Data_Summary!$C$3,0)),"")</f>
        <v>4.95327102803738</v>
      </c>
      <c r="AO150" s="4" t="n">
        <v>46195</v>
      </c>
    </row>
    <row r="151" customFormat="false" ht="15" hidden="false" customHeight="false" outlineLevel="0" collapsed="false">
      <c r="A151" s="0" t="n">
        <f aca="false">IF(AND(ISNUMBER(B151),B151&gt;0,ISNUMBER(AB151),AB151&gt;0,J151&gt;=Data_Summary!$C$1),1,0)</f>
        <v>1</v>
      </c>
      <c r="B151" s="30" t="n">
        <v>492</v>
      </c>
      <c r="C151" s="5" t="n">
        <f aca="false">IF(ISNUMBER(AB151),AB151,"")</f>
        <v>2100</v>
      </c>
      <c r="D151" s="0" t="n">
        <f aca="false">IF(ISNUMBER(C151),C151-U151*Data_Summary!$C$2,"")</f>
        <v>2100</v>
      </c>
      <c r="E151" s="31" t="n">
        <f aca="false">IFERROR(C151/B151,"")</f>
        <v>4.26829268292683</v>
      </c>
      <c r="F151" s="26" t="n">
        <f aca="false">IFERROR(D151/B151,"")</f>
        <v>4.26829268292683</v>
      </c>
      <c r="G151" s="0" t="str">
        <f aca="false">Q151</f>
        <v>1</v>
      </c>
      <c r="H151" s="0" t="str">
        <f aca="false">IFERROR(LEFT(G151,1),"")</f>
        <v>1</v>
      </c>
      <c r="I151" s="0" t="n">
        <f aca="false">IF(LEN(G151)&gt;1,1,0)</f>
        <v>0</v>
      </c>
      <c r="J151" s="4" t="n">
        <v>45871</v>
      </c>
      <c r="K151" s="0" t="s">
        <v>10</v>
      </c>
      <c r="L151" s="0" t="s">
        <v>91</v>
      </c>
      <c r="M151" s="0" t="s">
        <v>226</v>
      </c>
      <c r="N151" s="0" t="s">
        <v>93</v>
      </c>
      <c r="O151" s="0" t="s">
        <v>972</v>
      </c>
      <c r="Q151" s="0" t="s">
        <v>242</v>
      </c>
      <c r="R151" s="0" t="n">
        <v>1</v>
      </c>
      <c r="S151" s="5" t="n">
        <v>492</v>
      </c>
      <c r="T151" s="0" t="s">
        <v>303</v>
      </c>
      <c r="U151" s="0" t="n">
        <v>0</v>
      </c>
      <c r="V151" s="0" t="s">
        <v>230</v>
      </c>
      <c r="W151" s="0" t="s">
        <v>244</v>
      </c>
      <c r="X151" s="0" t="s">
        <v>232</v>
      </c>
      <c r="Y151" s="0" t="s">
        <v>253</v>
      </c>
      <c r="Z151" s="0" t="s">
        <v>234</v>
      </c>
      <c r="AA151" s="0" t="s">
        <v>235</v>
      </c>
      <c r="AB151" s="32" t="n">
        <v>2100</v>
      </c>
      <c r="AC151" s="32" t="n">
        <v>2100</v>
      </c>
      <c r="AD151" s="26" t="n">
        <f aca="false">IFERROR(AB151/B151,"")</f>
        <v>4.26829268292683</v>
      </c>
      <c r="AE151" s="26" t="n">
        <f aca="false">IFERROR(AC151/B151,"")</f>
        <v>4.26829268292683</v>
      </c>
      <c r="AF151" s="0" t="s">
        <v>236</v>
      </c>
      <c r="AG151" s="0" t="s">
        <v>236</v>
      </c>
      <c r="AH151" s="0" t="s">
        <v>230</v>
      </c>
      <c r="AI151" s="0" t="s">
        <v>973</v>
      </c>
      <c r="AJ151" s="0" t="s">
        <v>974</v>
      </c>
      <c r="AK151" s="0" t="s">
        <v>975</v>
      </c>
      <c r="AL151" s="0" t="s">
        <v>976</v>
      </c>
      <c r="AM151" s="0" t="s">
        <v>94</v>
      </c>
      <c r="AN151" s="26" t="n">
        <f aca="false">IFERROR(E151*(1+IF(AM151="Apartment",Data_Summary!$C$3,0)),"")</f>
        <v>4.26829268292683</v>
      </c>
      <c r="AO151" s="4" t="n">
        <v>46195</v>
      </c>
    </row>
    <row r="152" customFormat="false" ht="15" hidden="false" customHeight="false" outlineLevel="0" collapsed="false">
      <c r="A152" s="0" t="n">
        <f aca="false">IF(AND(ISNUMBER(B152),B152&gt;0,ISNUMBER(AB152),AB152&gt;0,J152&gt;=Data_Summary!$C$1),1,0)</f>
        <v>1</v>
      </c>
      <c r="B152" s="30" t="n">
        <v>505</v>
      </c>
      <c r="C152" s="5" t="n">
        <f aca="false">IF(ISNUMBER(AB152),AB152,"")</f>
        <v>2200</v>
      </c>
      <c r="D152" s="0" t="n">
        <f aca="false">IF(ISNUMBER(C152),C152-U152*Data_Summary!$C$2,"")</f>
        <v>2200</v>
      </c>
      <c r="E152" s="31" t="n">
        <f aca="false">IFERROR(C152/B152,"")</f>
        <v>4.35643564356436</v>
      </c>
      <c r="F152" s="26" t="n">
        <f aca="false">IFERROR(D152/B152,"")</f>
        <v>4.35643564356436</v>
      </c>
      <c r="G152" s="0" t="str">
        <f aca="false">Q152</f>
        <v>1</v>
      </c>
      <c r="H152" s="0" t="str">
        <f aca="false">IFERROR(LEFT(G152,1),"")</f>
        <v>1</v>
      </c>
      <c r="I152" s="0" t="n">
        <f aca="false">IF(LEN(G152)&gt;1,1,0)</f>
        <v>0</v>
      </c>
      <c r="J152" s="4" t="n">
        <v>45871</v>
      </c>
      <c r="K152" s="0" t="s">
        <v>10</v>
      </c>
      <c r="L152" s="0" t="s">
        <v>91</v>
      </c>
      <c r="M152" s="0" t="s">
        <v>226</v>
      </c>
      <c r="N152" s="0" t="s">
        <v>93</v>
      </c>
      <c r="O152" s="0" t="s">
        <v>977</v>
      </c>
      <c r="Q152" s="0" t="s">
        <v>242</v>
      </c>
      <c r="R152" s="0" t="n">
        <v>1</v>
      </c>
      <c r="S152" s="5" t="n">
        <v>505</v>
      </c>
      <c r="T152" s="0" t="s">
        <v>243</v>
      </c>
      <c r="U152" s="0" t="n">
        <v>0</v>
      </c>
      <c r="V152" s="0" t="s">
        <v>230</v>
      </c>
      <c r="W152" s="0" t="s">
        <v>244</v>
      </c>
      <c r="X152" s="0" t="s">
        <v>232</v>
      </c>
      <c r="Y152" s="0" t="s">
        <v>253</v>
      </c>
      <c r="Z152" s="0" t="s">
        <v>234</v>
      </c>
      <c r="AA152" s="0" t="s">
        <v>235</v>
      </c>
      <c r="AB152" s="32" t="n">
        <v>2200</v>
      </c>
      <c r="AC152" s="32" t="n">
        <v>2200</v>
      </c>
      <c r="AD152" s="26" t="n">
        <f aca="false">IFERROR(AB152/B152,"")</f>
        <v>4.35643564356436</v>
      </c>
      <c r="AE152" s="26" t="n">
        <f aca="false">IFERROR(AC152/B152,"")</f>
        <v>4.35643564356436</v>
      </c>
      <c r="AF152" s="0" t="s">
        <v>236</v>
      </c>
      <c r="AG152" s="0" t="s">
        <v>236</v>
      </c>
      <c r="AH152" s="0" t="s">
        <v>230</v>
      </c>
      <c r="AI152" s="0" t="s">
        <v>973</v>
      </c>
      <c r="AJ152" s="0" t="s">
        <v>978</v>
      </c>
      <c r="AK152" s="0" t="s">
        <v>979</v>
      </c>
      <c r="AL152" s="0" t="s">
        <v>980</v>
      </c>
      <c r="AM152" s="0" t="s">
        <v>94</v>
      </c>
      <c r="AN152" s="26" t="n">
        <f aca="false">IFERROR(E152*(1+IF(AM152="Apartment",Data_Summary!$C$3,0)),"")</f>
        <v>4.35643564356436</v>
      </c>
      <c r="AO152" s="4" t="n">
        <v>46195</v>
      </c>
    </row>
    <row r="153" customFormat="false" ht="15" hidden="false" customHeight="false" outlineLevel="0" collapsed="false">
      <c r="A153" s="0" t="n">
        <f aca="false">IF(AND(ISNUMBER(B153),B153&gt;0,ISNUMBER(AB153),AB153&gt;0,J153&gt;=Data_Summary!$C$1),1,0)</f>
        <v>1</v>
      </c>
      <c r="B153" s="30" t="n">
        <v>710</v>
      </c>
      <c r="C153" s="5" t="n">
        <f aca="false">IF(ISNUMBER(AB153),AB153,"")</f>
        <v>2700</v>
      </c>
      <c r="D153" s="0" t="n">
        <f aca="false">IF(ISNUMBER(C153),C153-U153*Data_Summary!$C$2,"")</f>
        <v>2700</v>
      </c>
      <c r="E153" s="31" t="n">
        <f aca="false">IFERROR(C153/B153,"")</f>
        <v>3.80281690140845</v>
      </c>
      <c r="F153" s="26" t="n">
        <f aca="false">IFERROR(D153/B153,"")</f>
        <v>3.80281690140845</v>
      </c>
      <c r="G153" s="0" t="str">
        <f aca="false">Q153</f>
        <v>2</v>
      </c>
      <c r="H153" s="0" t="str">
        <f aca="false">IFERROR(LEFT(G153,1),"")</f>
        <v>2</v>
      </c>
      <c r="I153" s="0" t="n">
        <f aca="false">IF(LEN(G153)&gt;1,1,0)</f>
        <v>0</v>
      </c>
      <c r="J153" s="4" t="n">
        <v>45870</v>
      </c>
      <c r="K153" s="0" t="s">
        <v>10</v>
      </c>
      <c r="L153" s="0" t="s">
        <v>91</v>
      </c>
      <c r="M153" s="0" t="s">
        <v>226</v>
      </c>
      <c r="N153" s="0" t="s">
        <v>93</v>
      </c>
      <c r="O153" s="0" t="s">
        <v>981</v>
      </c>
      <c r="Q153" s="0" t="s">
        <v>251</v>
      </c>
      <c r="R153" s="0" t="n">
        <v>2</v>
      </c>
      <c r="S153" s="5" t="n">
        <v>710</v>
      </c>
      <c r="T153" s="0" t="s">
        <v>252</v>
      </c>
      <c r="U153" s="0" t="n">
        <v>0</v>
      </c>
      <c r="V153" s="0" t="s">
        <v>230</v>
      </c>
      <c r="W153" s="0" t="s">
        <v>244</v>
      </c>
      <c r="X153" s="0" t="s">
        <v>232</v>
      </c>
      <c r="Y153" s="0" t="s">
        <v>278</v>
      </c>
      <c r="Z153" s="0" t="s">
        <v>234</v>
      </c>
      <c r="AA153" s="0" t="s">
        <v>235</v>
      </c>
      <c r="AB153" s="32" t="n">
        <v>2700</v>
      </c>
      <c r="AC153" s="32" t="n">
        <v>2800</v>
      </c>
      <c r="AD153" s="26" t="n">
        <f aca="false">IFERROR(AB153/B153,"")</f>
        <v>3.80281690140845</v>
      </c>
      <c r="AE153" s="26" t="n">
        <f aca="false">IFERROR(AC153/B153,"")</f>
        <v>3.94366197183099</v>
      </c>
      <c r="AF153" s="0" t="s">
        <v>236</v>
      </c>
      <c r="AG153" s="0" t="s">
        <v>236</v>
      </c>
      <c r="AH153" s="0" t="s">
        <v>230</v>
      </c>
      <c r="AI153" s="0" t="s">
        <v>982</v>
      </c>
      <c r="AJ153" s="0" t="s">
        <v>983</v>
      </c>
      <c r="AK153" s="0" t="s">
        <v>984</v>
      </c>
      <c r="AL153" s="0" t="s">
        <v>985</v>
      </c>
      <c r="AM153" s="0" t="s">
        <v>94</v>
      </c>
      <c r="AN153" s="26" t="n">
        <f aca="false">IFERROR(E153*(1+IF(AM153="Apartment",Data_Summary!$C$3,0)),"")</f>
        <v>3.80281690140845</v>
      </c>
      <c r="AO153" s="4" t="n">
        <v>46195</v>
      </c>
    </row>
    <row r="154" customFormat="false" ht="15" hidden="false" customHeight="false" outlineLevel="0" collapsed="false">
      <c r="A154" s="0" t="n">
        <f aca="false">IF(AND(ISNUMBER(B154),B154&gt;0,ISNUMBER(AB154),AB154&gt;0,J154&gt;=Data_Summary!$C$1),1,0)</f>
        <v>1</v>
      </c>
      <c r="B154" s="30" t="n">
        <v>505</v>
      </c>
      <c r="C154" s="5" t="n">
        <f aca="false">IF(ISNUMBER(AB154),AB154,"")</f>
        <v>2200</v>
      </c>
      <c r="D154" s="0" t="n">
        <f aca="false">IF(ISNUMBER(C154),C154-U154*Data_Summary!$C$2,"")</f>
        <v>2200</v>
      </c>
      <c r="E154" s="31" t="n">
        <f aca="false">IFERROR(C154/B154,"")</f>
        <v>4.35643564356436</v>
      </c>
      <c r="F154" s="26" t="n">
        <f aca="false">IFERROR(D154/B154,"")</f>
        <v>4.35643564356436</v>
      </c>
      <c r="G154" s="0" t="str">
        <f aca="false">Q154</f>
        <v>1</v>
      </c>
      <c r="H154" s="0" t="str">
        <f aca="false">IFERROR(LEFT(G154,1),"")</f>
        <v>1</v>
      </c>
      <c r="I154" s="0" t="n">
        <f aca="false">IF(LEN(G154)&gt;1,1,0)</f>
        <v>0</v>
      </c>
      <c r="J154" s="4" t="n">
        <v>45870</v>
      </c>
      <c r="K154" s="0" t="s">
        <v>10</v>
      </c>
      <c r="L154" s="0" t="s">
        <v>91</v>
      </c>
      <c r="M154" s="0" t="s">
        <v>226</v>
      </c>
      <c r="N154" s="0" t="s">
        <v>93</v>
      </c>
      <c r="O154" s="0" t="s">
        <v>986</v>
      </c>
      <c r="Q154" s="0" t="s">
        <v>242</v>
      </c>
      <c r="R154" s="0" t="n">
        <v>1</v>
      </c>
      <c r="S154" s="5" t="n">
        <v>505</v>
      </c>
      <c r="T154" s="0" t="s">
        <v>243</v>
      </c>
      <c r="U154" s="0" t="n">
        <v>0</v>
      </c>
      <c r="V154" s="0" t="s">
        <v>230</v>
      </c>
      <c r="W154" s="0" t="s">
        <v>231</v>
      </c>
      <c r="X154" s="0" t="s">
        <v>232</v>
      </c>
      <c r="Y154" s="0" t="s">
        <v>253</v>
      </c>
      <c r="Z154" s="0" t="s">
        <v>234</v>
      </c>
      <c r="AA154" s="0" t="s">
        <v>235</v>
      </c>
      <c r="AB154" s="32" t="n">
        <v>2200</v>
      </c>
      <c r="AC154" s="32" t="n">
        <v>2400</v>
      </c>
      <c r="AD154" s="26" t="n">
        <f aca="false">IFERROR(AB154/B154,"")</f>
        <v>4.35643564356436</v>
      </c>
      <c r="AE154" s="26" t="n">
        <f aca="false">IFERROR(AC154/B154,"")</f>
        <v>4.75247524752475</v>
      </c>
      <c r="AF154" s="0" t="s">
        <v>236</v>
      </c>
      <c r="AG154" s="0" t="s">
        <v>236</v>
      </c>
      <c r="AH154" s="0" t="s">
        <v>230</v>
      </c>
      <c r="AI154" s="0" t="s">
        <v>982</v>
      </c>
      <c r="AJ154" s="0" t="s">
        <v>987</v>
      </c>
      <c r="AK154" s="0" t="s">
        <v>988</v>
      </c>
      <c r="AL154" s="0" t="s">
        <v>989</v>
      </c>
      <c r="AM154" s="0" t="s">
        <v>94</v>
      </c>
      <c r="AN154" s="26" t="n">
        <f aca="false">IFERROR(E154*(1+IF(AM154="Apartment",Data_Summary!$C$3,0)),"")</f>
        <v>4.35643564356436</v>
      </c>
      <c r="AO154" s="4" t="n">
        <v>46195</v>
      </c>
    </row>
    <row r="155" customFormat="false" ht="15" hidden="false" customHeight="false" outlineLevel="0" collapsed="false">
      <c r="A155" s="0" t="n">
        <f aca="false">IF(AND(ISNUMBER(B155),B155&gt;0,ISNUMBER(AB155),AB155&gt;0,J155&gt;=Data_Summary!$C$1),1,0)</f>
        <v>1</v>
      </c>
      <c r="B155" s="33" t="n">
        <v>545</v>
      </c>
      <c r="C155" s="5" t="n">
        <f aca="false">IF(ISNUMBER(AB155),AB155,"")</f>
        <v>2400</v>
      </c>
      <c r="D155" s="0" t="n">
        <f aca="false">IF(ISNUMBER(C155),C155-U155*Data_Summary!$C$2,"")</f>
        <v>2400</v>
      </c>
      <c r="E155" s="34" t="n">
        <f aca="false">IFERROR(C155/B155,"")</f>
        <v>4.40366972477064</v>
      </c>
      <c r="F155" s="26" t="n">
        <f aca="false">IFERROR(D155/B155,"")</f>
        <v>4.40366972477064</v>
      </c>
      <c r="G155" s="0" t="str">
        <f aca="false">Q155</f>
        <v>1</v>
      </c>
      <c r="H155" s="0" t="str">
        <f aca="false">IFERROR(LEFT(G155,1),"")</f>
        <v>1</v>
      </c>
      <c r="I155" s="0" t="n">
        <f aca="false">IF(LEN(G155)&gt;1,1,0)</f>
        <v>0</v>
      </c>
      <c r="J155" s="4" t="n">
        <v>45867</v>
      </c>
      <c r="K155" s="0" t="s">
        <v>10</v>
      </c>
      <c r="L155" s="0" t="s">
        <v>91</v>
      </c>
      <c r="M155" s="0" t="s">
        <v>226</v>
      </c>
      <c r="N155" s="0" t="s">
        <v>93</v>
      </c>
      <c r="O155" s="0" t="s">
        <v>990</v>
      </c>
      <c r="Q155" s="0" t="s">
        <v>242</v>
      </c>
      <c r="R155" s="0" t="n">
        <v>1</v>
      </c>
      <c r="S155" s="5" t="n">
        <v>545</v>
      </c>
      <c r="T155" s="0" t="s">
        <v>271</v>
      </c>
      <c r="U155" s="0" t="n">
        <v>0</v>
      </c>
      <c r="V155" s="0" t="s">
        <v>230</v>
      </c>
      <c r="W155" s="0" t="s">
        <v>244</v>
      </c>
      <c r="X155" s="0" t="s">
        <v>232</v>
      </c>
      <c r="Y155" s="0" t="s">
        <v>278</v>
      </c>
      <c r="Z155" s="0" t="s">
        <v>234</v>
      </c>
      <c r="AA155" s="0" t="s">
        <v>235</v>
      </c>
      <c r="AB155" s="32" t="n">
        <v>2400</v>
      </c>
      <c r="AC155" s="32" t="n">
        <v>2500</v>
      </c>
      <c r="AD155" s="26" t="n">
        <f aca="false">IFERROR(AB155/B155,"")</f>
        <v>4.40366972477064</v>
      </c>
      <c r="AE155" s="26" t="n">
        <f aca="false">IFERROR(AC155/B155,"")</f>
        <v>4.58715596330275</v>
      </c>
      <c r="AF155" s="0" t="s">
        <v>236</v>
      </c>
      <c r="AG155" s="0" t="s">
        <v>236</v>
      </c>
      <c r="AH155" s="0" t="s">
        <v>230</v>
      </c>
      <c r="AI155" s="0" t="s">
        <v>991</v>
      </c>
      <c r="AJ155" s="0" t="s">
        <v>992</v>
      </c>
      <c r="AK155" s="0" t="s">
        <v>993</v>
      </c>
      <c r="AL155" s="0" t="s">
        <v>994</v>
      </c>
      <c r="AM155" s="0" t="s">
        <v>94</v>
      </c>
      <c r="AN155" s="26" t="n">
        <f aca="false">IFERROR(E155*(1+IF(AM155="Apartment",Data_Summary!$C$3,0)),"")</f>
        <v>4.40366972477064</v>
      </c>
      <c r="AO155" s="4" t="n">
        <v>46195</v>
      </c>
    </row>
    <row r="156" customFormat="false" ht="15" hidden="false" customHeight="false" outlineLevel="0" collapsed="false">
      <c r="A156" s="0" t="n">
        <f aca="false">IF(AND(ISNUMBER(B156),B156&gt;0,ISNUMBER(AB156),AB156&gt;0,J156&gt;=Data_Summary!$C$1),1,0)</f>
        <v>1</v>
      </c>
      <c r="B156" s="30" t="n">
        <v>492</v>
      </c>
      <c r="C156" s="5" t="n">
        <f aca="false">IF(ISNUMBER(AB156),AB156,"")</f>
        <v>2150</v>
      </c>
      <c r="D156" s="0" t="n">
        <f aca="false">IF(ISNUMBER(C156),C156-U156*Data_Summary!$C$2,"")</f>
        <v>2150</v>
      </c>
      <c r="E156" s="31" t="n">
        <f aca="false">IFERROR(C156/B156,"")</f>
        <v>4.36991869918699</v>
      </c>
      <c r="F156" s="26" t="n">
        <f aca="false">IFERROR(D156/B156,"")</f>
        <v>4.36991869918699</v>
      </c>
      <c r="G156" s="0" t="str">
        <f aca="false">Q156</f>
        <v>1</v>
      </c>
      <c r="H156" s="0" t="str">
        <f aca="false">IFERROR(LEFT(G156,1),"")</f>
        <v>1</v>
      </c>
      <c r="I156" s="0" t="n">
        <f aca="false">IF(LEN(G156)&gt;1,1,0)</f>
        <v>0</v>
      </c>
      <c r="J156" s="4" t="n">
        <v>45867</v>
      </c>
      <c r="K156" s="0" t="s">
        <v>10</v>
      </c>
      <c r="L156" s="0" t="s">
        <v>91</v>
      </c>
      <c r="M156" s="0" t="s">
        <v>226</v>
      </c>
      <c r="N156" s="0" t="s">
        <v>93</v>
      </c>
      <c r="O156" s="0" t="s">
        <v>995</v>
      </c>
      <c r="Q156" s="0" t="s">
        <v>242</v>
      </c>
      <c r="R156" s="0" t="n">
        <v>1</v>
      </c>
      <c r="S156" s="5" t="n">
        <v>492</v>
      </c>
      <c r="T156" s="0" t="s">
        <v>303</v>
      </c>
      <c r="U156" s="0" t="n">
        <v>0</v>
      </c>
      <c r="V156" s="0" t="s">
        <v>230</v>
      </c>
      <c r="W156" s="0" t="s">
        <v>244</v>
      </c>
      <c r="X156" s="0" t="s">
        <v>232</v>
      </c>
      <c r="Y156" s="0" t="s">
        <v>253</v>
      </c>
      <c r="Z156" s="0" t="s">
        <v>234</v>
      </c>
      <c r="AA156" s="0" t="s">
        <v>235</v>
      </c>
      <c r="AB156" s="32" t="n">
        <v>2150</v>
      </c>
      <c r="AC156" s="32" t="n">
        <v>2150</v>
      </c>
      <c r="AD156" s="26" t="n">
        <f aca="false">IFERROR(AB156/B156,"")</f>
        <v>4.36991869918699</v>
      </c>
      <c r="AE156" s="26" t="n">
        <f aca="false">IFERROR(AC156/B156,"")</f>
        <v>4.36991869918699</v>
      </c>
      <c r="AF156" s="0" t="s">
        <v>236</v>
      </c>
      <c r="AG156" s="0" t="s">
        <v>236</v>
      </c>
      <c r="AH156" s="0" t="s">
        <v>230</v>
      </c>
      <c r="AI156" s="0" t="s">
        <v>991</v>
      </c>
      <c r="AJ156" s="0" t="s">
        <v>996</v>
      </c>
      <c r="AK156" s="0" t="s">
        <v>997</v>
      </c>
      <c r="AL156" s="0" t="s">
        <v>998</v>
      </c>
      <c r="AM156" s="0" t="s">
        <v>94</v>
      </c>
      <c r="AN156" s="26" t="n">
        <f aca="false">IFERROR(E156*(1+IF(AM156="Apartment",Data_Summary!$C$3,0)),"")</f>
        <v>4.36991869918699</v>
      </c>
      <c r="AO156" s="4" t="n">
        <v>46195</v>
      </c>
    </row>
    <row r="157" customFormat="false" ht="15" hidden="false" customHeight="false" outlineLevel="0" collapsed="false">
      <c r="A157" s="0" t="n">
        <f aca="false">IF(AND(ISNUMBER(B157),B157&gt;0,ISNUMBER(AB157),AB157&gt;0,J157&gt;=Data_Summary!$C$1),1,0)</f>
        <v>1</v>
      </c>
      <c r="B157" s="30" t="n">
        <v>492</v>
      </c>
      <c r="C157" s="5" t="n">
        <f aca="false">IF(ISNUMBER(AB157),AB157,"")</f>
        <v>2250</v>
      </c>
      <c r="D157" s="0" t="n">
        <f aca="false">IF(ISNUMBER(C157),C157-U157*Data_Summary!$C$2,"")</f>
        <v>2250</v>
      </c>
      <c r="E157" s="31" t="n">
        <f aca="false">IFERROR(C157/B157,"")</f>
        <v>4.57317073170732</v>
      </c>
      <c r="F157" s="26" t="n">
        <f aca="false">IFERROR(D157/B157,"")</f>
        <v>4.57317073170732</v>
      </c>
      <c r="G157" s="0" t="str">
        <f aca="false">Q157</f>
        <v>1</v>
      </c>
      <c r="H157" s="0" t="str">
        <f aca="false">IFERROR(LEFT(G157,1),"")</f>
        <v>1</v>
      </c>
      <c r="I157" s="0" t="n">
        <f aca="false">IF(LEN(G157)&gt;1,1,0)</f>
        <v>0</v>
      </c>
      <c r="J157" s="4" t="n">
        <v>45866</v>
      </c>
      <c r="K157" s="0" t="s">
        <v>10</v>
      </c>
      <c r="L157" s="0" t="s">
        <v>91</v>
      </c>
      <c r="M157" s="0" t="s">
        <v>226</v>
      </c>
      <c r="N157" s="0" t="s">
        <v>93</v>
      </c>
      <c r="O157" s="0" t="s">
        <v>999</v>
      </c>
      <c r="Q157" s="0" t="s">
        <v>242</v>
      </c>
      <c r="R157" s="0" t="n">
        <v>1</v>
      </c>
      <c r="S157" s="5" t="n">
        <v>492</v>
      </c>
      <c r="T157" s="0" t="s">
        <v>303</v>
      </c>
      <c r="U157" s="0" t="n">
        <v>0</v>
      </c>
      <c r="V157" s="0" t="s">
        <v>230</v>
      </c>
      <c r="W157" s="0" t="s">
        <v>244</v>
      </c>
      <c r="X157" s="0" t="s">
        <v>232</v>
      </c>
      <c r="Y157" s="0" t="s">
        <v>253</v>
      </c>
      <c r="Z157" s="0" t="s">
        <v>234</v>
      </c>
      <c r="AA157" s="0" t="s">
        <v>235</v>
      </c>
      <c r="AB157" s="32" t="n">
        <v>2250</v>
      </c>
      <c r="AC157" s="32" t="n">
        <v>2200</v>
      </c>
      <c r="AD157" s="26" t="n">
        <f aca="false">IFERROR(AB157/B157,"")</f>
        <v>4.57317073170732</v>
      </c>
      <c r="AE157" s="26" t="n">
        <f aca="false">IFERROR(AC157/B157,"")</f>
        <v>4.47154471544716</v>
      </c>
      <c r="AF157" s="0" t="s">
        <v>236</v>
      </c>
      <c r="AG157" s="0" t="s">
        <v>236</v>
      </c>
      <c r="AH157" s="0" t="s">
        <v>230</v>
      </c>
      <c r="AI157" s="0" t="s">
        <v>1000</v>
      </c>
      <c r="AJ157" s="0" t="s">
        <v>1001</v>
      </c>
      <c r="AK157" s="0" t="s">
        <v>1002</v>
      </c>
      <c r="AL157" s="0" t="s">
        <v>1003</v>
      </c>
      <c r="AM157" s="0" t="s">
        <v>94</v>
      </c>
      <c r="AN157" s="26" t="n">
        <f aca="false">IFERROR(E157*(1+IF(AM157="Apartment",Data_Summary!$C$3,0)),"")</f>
        <v>4.57317073170732</v>
      </c>
      <c r="AO157" s="4" t="n">
        <v>46195</v>
      </c>
    </row>
    <row r="158" customFormat="false" ht="15" hidden="false" customHeight="false" outlineLevel="0" collapsed="false">
      <c r="A158" s="0" t="n">
        <f aca="false">IF(AND(ISNUMBER(B158),B158&gt;0,ISNUMBER(AB158),AB158&gt;0,J158&gt;=Data_Summary!$C$1),1,0)</f>
        <v>1</v>
      </c>
      <c r="B158" s="30" t="n">
        <v>736</v>
      </c>
      <c r="C158" s="5" t="n">
        <f aca="false">IF(ISNUMBER(AB158),AB158,"")</f>
        <v>2950</v>
      </c>
      <c r="D158" s="0" t="n">
        <f aca="false">IF(ISNUMBER(C158),C158-U158*Data_Summary!$C$2,"")</f>
        <v>2950</v>
      </c>
      <c r="E158" s="31" t="n">
        <f aca="false">IFERROR(C158/B158,"")</f>
        <v>4.00815217391304</v>
      </c>
      <c r="F158" s="26" t="n">
        <f aca="false">IFERROR(D158/B158,"")</f>
        <v>4.00815217391304</v>
      </c>
      <c r="G158" s="0" t="str">
        <f aca="false">Q158</f>
        <v>2</v>
      </c>
      <c r="H158" s="0" t="str">
        <f aca="false">IFERROR(LEFT(G158,1),"")</f>
        <v>2</v>
      </c>
      <c r="I158" s="0" t="n">
        <f aca="false">IF(LEN(G158)&gt;1,1,0)</f>
        <v>0</v>
      </c>
      <c r="J158" s="4" t="n">
        <v>45866</v>
      </c>
      <c r="K158" s="0" t="s">
        <v>10</v>
      </c>
      <c r="L158" s="0" t="s">
        <v>91</v>
      </c>
      <c r="M158" s="0" t="s">
        <v>226</v>
      </c>
      <c r="N158" s="0" t="s">
        <v>93</v>
      </c>
      <c r="O158" s="0" t="s">
        <v>1004</v>
      </c>
      <c r="Q158" s="0" t="s">
        <v>251</v>
      </c>
      <c r="R158" s="0" t="n">
        <v>2</v>
      </c>
      <c r="S158" s="5" t="n">
        <v>736</v>
      </c>
      <c r="T158" s="0" t="s">
        <v>252</v>
      </c>
      <c r="U158" s="0" t="n">
        <v>0</v>
      </c>
      <c r="V158" s="0" t="s">
        <v>230</v>
      </c>
      <c r="W158" s="0" t="s">
        <v>244</v>
      </c>
      <c r="X158" s="0" t="s">
        <v>232</v>
      </c>
      <c r="Y158" s="0" t="s">
        <v>278</v>
      </c>
      <c r="Z158" s="0" t="s">
        <v>234</v>
      </c>
      <c r="AA158" s="0" t="s">
        <v>235</v>
      </c>
      <c r="AB158" s="32" t="n">
        <v>2950</v>
      </c>
      <c r="AC158" s="32" t="n">
        <v>2950</v>
      </c>
      <c r="AD158" s="26" t="n">
        <f aca="false">IFERROR(AB158/B158,"")</f>
        <v>4.00815217391304</v>
      </c>
      <c r="AE158" s="26" t="n">
        <f aca="false">IFERROR(AC158/B158,"")</f>
        <v>4.00815217391304</v>
      </c>
      <c r="AF158" s="0" t="s">
        <v>236</v>
      </c>
      <c r="AG158" s="0" t="s">
        <v>236</v>
      </c>
      <c r="AH158" s="0" t="s">
        <v>230</v>
      </c>
      <c r="AI158" s="0" t="s">
        <v>1000</v>
      </c>
      <c r="AJ158" s="0" t="s">
        <v>1005</v>
      </c>
      <c r="AK158" s="0" t="s">
        <v>1006</v>
      </c>
      <c r="AL158" s="0" t="s">
        <v>1007</v>
      </c>
      <c r="AM158" s="0" t="s">
        <v>94</v>
      </c>
      <c r="AN158" s="26" t="n">
        <f aca="false">IFERROR(E158*(1+IF(AM158="Apartment",Data_Summary!$C$3,0)),"")</f>
        <v>4.00815217391304</v>
      </c>
      <c r="AO158" s="4" t="n">
        <v>46195</v>
      </c>
    </row>
    <row r="159" customFormat="false" ht="15" hidden="false" customHeight="false" outlineLevel="0" collapsed="false">
      <c r="A159" s="0" t="n">
        <f aca="false">IF(AND(ISNUMBER(B159),B159&gt;0,ISNUMBER(AB159),AB159&gt;0,J159&gt;=Data_Summary!$C$1),1,0)</f>
        <v>1</v>
      </c>
      <c r="B159" s="30" t="n">
        <v>505</v>
      </c>
      <c r="C159" s="5" t="n">
        <f aca="false">IF(ISNUMBER(AB159),AB159,"")</f>
        <v>2200</v>
      </c>
      <c r="D159" s="0" t="n">
        <f aca="false">IF(ISNUMBER(C159),C159-U159*Data_Summary!$C$2,"")</f>
        <v>2200</v>
      </c>
      <c r="E159" s="31" t="n">
        <f aca="false">IFERROR(C159/B159,"")</f>
        <v>4.35643564356436</v>
      </c>
      <c r="F159" s="26" t="n">
        <f aca="false">IFERROR(D159/B159,"")</f>
        <v>4.35643564356436</v>
      </c>
      <c r="G159" s="0" t="str">
        <f aca="false">Q159</f>
        <v>1</v>
      </c>
      <c r="H159" s="0" t="str">
        <f aca="false">IFERROR(LEFT(G159,1),"")</f>
        <v>1</v>
      </c>
      <c r="I159" s="0" t="n">
        <f aca="false">IF(LEN(G159)&gt;1,1,0)</f>
        <v>0</v>
      </c>
      <c r="J159" s="4" t="n">
        <v>45863</v>
      </c>
      <c r="K159" s="0" t="s">
        <v>10</v>
      </c>
      <c r="L159" s="0" t="s">
        <v>91</v>
      </c>
      <c r="M159" s="0" t="s">
        <v>226</v>
      </c>
      <c r="N159" s="0" t="s">
        <v>93</v>
      </c>
      <c r="O159" s="0" t="s">
        <v>1008</v>
      </c>
      <c r="Q159" s="0" t="s">
        <v>242</v>
      </c>
      <c r="R159" s="0" t="n">
        <v>1</v>
      </c>
      <c r="S159" s="5" t="n">
        <v>505</v>
      </c>
      <c r="T159" s="0" t="s">
        <v>243</v>
      </c>
      <c r="U159" s="0" t="n">
        <v>0</v>
      </c>
      <c r="V159" s="0" t="s">
        <v>230</v>
      </c>
      <c r="W159" s="0" t="s">
        <v>244</v>
      </c>
      <c r="X159" s="0" t="s">
        <v>232</v>
      </c>
      <c r="Y159" s="0" t="s">
        <v>253</v>
      </c>
      <c r="Z159" s="0" t="s">
        <v>234</v>
      </c>
      <c r="AA159" s="0" t="s">
        <v>235</v>
      </c>
      <c r="AB159" s="32" t="n">
        <v>2200</v>
      </c>
      <c r="AC159" s="32" t="n">
        <v>2200</v>
      </c>
      <c r="AD159" s="26" t="n">
        <f aca="false">IFERROR(AB159/B159,"")</f>
        <v>4.35643564356436</v>
      </c>
      <c r="AE159" s="26" t="n">
        <f aca="false">IFERROR(AC159/B159,"")</f>
        <v>4.35643564356436</v>
      </c>
      <c r="AF159" s="0" t="s">
        <v>236</v>
      </c>
      <c r="AG159" s="0" t="s">
        <v>236</v>
      </c>
      <c r="AH159" s="0" t="s">
        <v>230</v>
      </c>
      <c r="AI159" s="0" t="s">
        <v>1009</v>
      </c>
      <c r="AJ159" s="0" t="s">
        <v>1010</v>
      </c>
      <c r="AK159" s="0" t="s">
        <v>1011</v>
      </c>
      <c r="AL159" s="0" t="s">
        <v>1012</v>
      </c>
      <c r="AM159" s="0" t="s">
        <v>94</v>
      </c>
      <c r="AN159" s="26" t="n">
        <f aca="false">IFERROR(E159*(1+IF(AM159="Apartment",Data_Summary!$C$3,0)),"")</f>
        <v>4.35643564356436</v>
      </c>
      <c r="AO159" s="4" t="n">
        <v>46195</v>
      </c>
    </row>
    <row r="160" customFormat="false" ht="15" hidden="false" customHeight="false" outlineLevel="0" collapsed="false">
      <c r="A160" s="0" t="n">
        <f aca="false">IF(AND(ISNUMBER(B160),B160&gt;0,ISNUMBER(AB160),AB160&gt;0,J160&gt;=Data_Summary!$C$1),1,0)</f>
        <v>1</v>
      </c>
      <c r="B160" s="30" t="n">
        <v>492</v>
      </c>
      <c r="C160" s="5" t="n">
        <f aca="false">IF(ISNUMBER(AB160),AB160,"")</f>
        <v>2265</v>
      </c>
      <c r="D160" s="0" t="n">
        <f aca="false">IF(ISNUMBER(C160),C160-U160*Data_Summary!$C$2,"")</f>
        <v>2265</v>
      </c>
      <c r="E160" s="31" t="n">
        <f aca="false">IFERROR(C160/B160,"")</f>
        <v>4.60365853658537</v>
      </c>
      <c r="F160" s="26" t="n">
        <f aca="false">IFERROR(D160/B160,"")</f>
        <v>4.60365853658537</v>
      </c>
      <c r="G160" s="0" t="str">
        <f aca="false">Q160</f>
        <v>1</v>
      </c>
      <c r="H160" s="0" t="str">
        <f aca="false">IFERROR(LEFT(G160,1),"")</f>
        <v>1</v>
      </c>
      <c r="I160" s="0" t="n">
        <f aca="false">IF(LEN(G160)&gt;1,1,0)</f>
        <v>0</v>
      </c>
      <c r="J160" s="4" t="n">
        <v>45863</v>
      </c>
      <c r="K160" s="0" t="s">
        <v>10</v>
      </c>
      <c r="L160" s="0" t="s">
        <v>91</v>
      </c>
      <c r="M160" s="0" t="s">
        <v>226</v>
      </c>
      <c r="N160" s="0" t="s">
        <v>93</v>
      </c>
      <c r="O160" s="0" t="s">
        <v>1013</v>
      </c>
      <c r="Q160" s="0" t="s">
        <v>242</v>
      </c>
      <c r="R160" s="0" t="n">
        <v>1</v>
      </c>
      <c r="S160" s="5" t="n">
        <v>492</v>
      </c>
      <c r="T160" s="0" t="s">
        <v>303</v>
      </c>
      <c r="U160" s="0" t="n">
        <v>0</v>
      </c>
      <c r="V160" s="0" t="s">
        <v>230</v>
      </c>
      <c r="W160" s="0" t="s">
        <v>244</v>
      </c>
      <c r="X160" s="0" t="s">
        <v>232</v>
      </c>
      <c r="Y160" s="0" t="s">
        <v>253</v>
      </c>
      <c r="Z160" s="0" t="s">
        <v>234</v>
      </c>
      <c r="AA160" s="0" t="s">
        <v>235</v>
      </c>
      <c r="AB160" s="32" t="n">
        <v>2265</v>
      </c>
      <c r="AC160" s="32" t="n">
        <v>2265</v>
      </c>
      <c r="AD160" s="26" t="n">
        <f aca="false">IFERROR(AB160/B160,"")</f>
        <v>4.60365853658537</v>
      </c>
      <c r="AE160" s="26" t="n">
        <f aca="false">IFERROR(AC160/B160,"")</f>
        <v>4.60365853658537</v>
      </c>
      <c r="AF160" s="0" t="s">
        <v>236</v>
      </c>
      <c r="AG160" s="0" t="s">
        <v>236</v>
      </c>
      <c r="AH160" s="0" t="s">
        <v>230</v>
      </c>
      <c r="AI160" s="0" t="s">
        <v>1009</v>
      </c>
      <c r="AJ160" s="0" t="s">
        <v>1014</v>
      </c>
      <c r="AK160" s="0" t="s">
        <v>1015</v>
      </c>
      <c r="AL160" s="0" t="s">
        <v>1016</v>
      </c>
      <c r="AM160" s="0" t="s">
        <v>94</v>
      </c>
      <c r="AN160" s="26" t="n">
        <f aca="false">IFERROR(E160*(1+IF(AM160="Apartment",Data_Summary!$C$3,0)),"")</f>
        <v>4.60365853658537</v>
      </c>
      <c r="AO160" s="4" t="n">
        <v>46195</v>
      </c>
    </row>
    <row r="161" customFormat="false" ht="15" hidden="false" customHeight="false" outlineLevel="0" collapsed="false">
      <c r="A161" s="0" t="n">
        <f aca="false">IF(AND(ISNUMBER(B161),B161&gt;0,ISNUMBER(AB161),AB161&gt;0,J161&gt;=Data_Summary!$C$1),1,0)</f>
        <v>1</v>
      </c>
      <c r="B161" s="30" t="n">
        <v>505</v>
      </c>
      <c r="C161" s="5" t="n">
        <f aca="false">IF(ISNUMBER(AB161),AB161,"")</f>
        <v>2250</v>
      </c>
      <c r="D161" s="0" t="n">
        <f aca="false">IF(ISNUMBER(C161),C161-U161*Data_Summary!$C$2,"")</f>
        <v>2250</v>
      </c>
      <c r="E161" s="31" t="n">
        <f aca="false">IFERROR(C161/B161,"")</f>
        <v>4.45544554455446</v>
      </c>
      <c r="F161" s="26" t="n">
        <f aca="false">IFERROR(D161/B161,"")</f>
        <v>4.45544554455446</v>
      </c>
      <c r="G161" s="0" t="str">
        <f aca="false">Q161</f>
        <v>1</v>
      </c>
      <c r="H161" s="0" t="str">
        <f aca="false">IFERROR(LEFT(G161,1),"")</f>
        <v>1</v>
      </c>
      <c r="I161" s="0" t="n">
        <f aca="false">IF(LEN(G161)&gt;1,1,0)</f>
        <v>0</v>
      </c>
      <c r="J161" s="4" t="n">
        <v>45863</v>
      </c>
      <c r="K161" s="0" t="s">
        <v>10</v>
      </c>
      <c r="L161" s="0" t="s">
        <v>91</v>
      </c>
      <c r="M161" s="0" t="s">
        <v>226</v>
      </c>
      <c r="N161" s="0" t="s">
        <v>93</v>
      </c>
      <c r="O161" s="0" t="s">
        <v>1017</v>
      </c>
      <c r="Q161" s="0" t="s">
        <v>242</v>
      </c>
      <c r="R161" s="0" t="n">
        <v>1</v>
      </c>
      <c r="S161" s="5" t="n">
        <v>505</v>
      </c>
      <c r="T161" s="0" t="s">
        <v>243</v>
      </c>
      <c r="U161" s="0" t="n">
        <v>0</v>
      </c>
      <c r="V161" s="0" t="s">
        <v>230</v>
      </c>
      <c r="W161" s="0" t="s">
        <v>244</v>
      </c>
      <c r="X161" s="0" t="s">
        <v>232</v>
      </c>
      <c r="Y161" s="0" t="s">
        <v>253</v>
      </c>
      <c r="Z161" s="0" t="s">
        <v>234</v>
      </c>
      <c r="AA161" s="0" t="s">
        <v>235</v>
      </c>
      <c r="AB161" s="32" t="n">
        <v>2250</v>
      </c>
      <c r="AC161" s="32" t="n">
        <v>2250</v>
      </c>
      <c r="AD161" s="26" t="n">
        <f aca="false">IFERROR(AB161/B161,"")</f>
        <v>4.45544554455446</v>
      </c>
      <c r="AE161" s="26" t="n">
        <f aca="false">IFERROR(AC161/B161,"")</f>
        <v>4.45544554455446</v>
      </c>
      <c r="AF161" s="0" t="s">
        <v>236</v>
      </c>
      <c r="AG161" s="0" t="s">
        <v>236</v>
      </c>
      <c r="AH161" s="0" t="s">
        <v>230</v>
      </c>
      <c r="AI161" s="0" t="s">
        <v>1009</v>
      </c>
      <c r="AJ161" s="0" t="s">
        <v>1018</v>
      </c>
      <c r="AK161" s="0" t="s">
        <v>1019</v>
      </c>
      <c r="AL161" s="0" t="s">
        <v>1012</v>
      </c>
      <c r="AM161" s="0" t="s">
        <v>94</v>
      </c>
      <c r="AN161" s="26" t="n">
        <f aca="false">IFERROR(E161*(1+IF(AM161="Apartment",Data_Summary!$C$3,0)),"")</f>
        <v>4.45544554455446</v>
      </c>
      <c r="AO161" s="4" t="n">
        <v>46195</v>
      </c>
    </row>
    <row r="162" customFormat="false" ht="15" hidden="false" customHeight="false" outlineLevel="0" collapsed="false">
      <c r="A162" s="0" t="n">
        <f aca="false">IF(AND(ISNUMBER(B162),B162&gt;0,ISNUMBER(AB162),AB162&gt;0,J162&gt;=Data_Summary!$C$1),1,0)</f>
        <v>1</v>
      </c>
      <c r="B162" s="33" t="n">
        <v>600</v>
      </c>
      <c r="C162" s="5" t="n">
        <f aca="false">IF(ISNUMBER(AB162),AB162,"")</f>
        <v>2500</v>
      </c>
      <c r="D162" s="0" t="n">
        <f aca="false">IF(ISNUMBER(C162),C162-U162*Data_Summary!$C$2,"")</f>
        <v>2500</v>
      </c>
      <c r="E162" s="34" t="n">
        <f aca="false">IFERROR(C162/B162,"")</f>
        <v>4.16666666666667</v>
      </c>
      <c r="F162" s="26" t="n">
        <f aca="false">IFERROR(D162/B162,"")</f>
        <v>4.16666666666667</v>
      </c>
      <c r="G162" s="0" t="str">
        <f aca="false">Q162</f>
        <v>1</v>
      </c>
      <c r="H162" s="0" t="str">
        <f aca="false">IFERROR(LEFT(G162,1),"")</f>
        <v>1</v>
      </c>
      <c r="I162" s="0" t="n">
        <f aca="false">IF(LEN(G162)&gt;1,1,0)</f>
        <v>0</v>
      </c>
      <c r="J162" s="4" t="n">
        <v>45862</v>
      </c>
      <c r="K162" s="0" t="s">
        <v>10</v>
      </c>
      <c r="L162" s="0" t="s">
        <v>91</v>
      </c>
      <c r="M162" s="0" t="s">
        <v>226</v>
      </c>
      <c r="N162" s="0" t="s">
        <v>93</v>
      </c>
      <c r="O162" s="0" t="s">
        <v>1020</v>
      </c>
      <c r="Q162" s="0" t="s">
        <v>242</v>
      </c>
      <c r="R162" s="0" t="n">
        <v>1</v>
      </c>
      <c r="S162" s="5" t="n">
        <v>600</v>
      </c>
      <c r="T162" s="0" t="s">
        <v>243</v>
      </c>
      <c r="U162" s="0" t="n">
        <v>0</v>
      </c>
      <c r="V162" s="0" t="s">
        <v>230</v>
      </c>
      <c r="W162" s="0" t="s">
        <v>244</v>
      </c>
      <c r="X162" s="0" t="s">
        <v>232</v>
      </c>
      <c r="Y162" s="0" t="s">
        <v>278</v>
      </c>
      <c r="Z162" s="0" t="s">
        <v>234</v>
      </c>
      <c r="AA162" s="0" t="s">
        <v>235</v>
      </c>
      <c r="AB162" s="32" t="n">
        <v>2500</v>
      </c>
      <c r="AC162" s="32" t="n">
        <v>2500</v>
      </c>
      <c r="AD162" s="26" t="n">
        <f aca="false">IFERROR(AB162/B162,"")</f>
        <v>4.16666666666667</v>
      </c>
      <c r="AE162" s="26" t="n">
        <f aca="false">IFERROR(AC162/B162,"")</f>
        <v>4.16666666666667</v>
      </c>
      <c r="AF162" s="0" t="s">
        <v>236</v>
      </c>
      <c r="AG162" s="0" t="s">
        <v>236</v>
      </c>
      <c r="AH162" s="0" t="s">
        <v>230</v>
      </c>
      <c r="AI162" s="0" t="s">
        <v>1021</v>
      </c>
      <c r="AJ162" s="0" t="s">
        <v>1022</v>
      </c>
      <c r="AK162" s="0" t="s">
        <v>1023</v>
      </c>
      <c r="AL162" s="0" t="s">
        <v>1024</v>
      </c>
      <c r="AM162" s="0" t="s">
        <v>94</v>
      </c>
      <c r="AN162" s="26" t="n">
        <f aca="false">IFERROR(E162*(1+IF(AM162="Apartment",Data_Summary!$C$3,0)),"")</f>
        <v>4.16666666666667</v>
      </c>
      <c r="AO162" s="4" t="n">
        <v>46195</v>
      </c>
    </row>
    <row r="163" customFormat="false" ht="15" hidden="false" customHeight="false" outlineLevel="0" collapsed="false">
      <c r="A163" s="0" t="n">
        <f aca="false">IF(AND(ISNUMBER(B163),B163&gt;0,ISNUMBER(AB163),AB163&gt;0,J163&gt;=Data_Summary!$C$1),1,0)</f>
        <v>1</v>
      </c>
      <c r="B163" s="30" t="n">
        <v>770</v>
      </c>
      <c r="C163" s="5" t="n">
        <f aca="false">IF(ISNUMBER(AB163),AB163,"")</f>
        <v>3300</v>
      </c>
      <c r="D163" s="0" t="n">
        <f aca="false">IF(ISNUMBER(C163),C163-U163*Data_Summary!$C$2,"")</f>
        <v>3150</v>
      </c>
      <c r="E163" s="31" t="n">
        <f aca="false">IFERROR(C163/B163,"")</f>
        <v>4.28571428571429</v>
      </c>
      <c r="F163" s="26" t="n">
        <f aca="false">IFERROR(D163/B163,"")</f>
        <v>4.09090909090909</v>
      </c>
      <c r="G163" s="0" t="str">
        <f aca="false">Q163</f>
        <v>2</v>
      </c>
      <c r="H163" s="0" t="str">
        <f aca="false">IFERROR(LEFT(G163,1),"")</f>
        <v>2</v>
      </c>
      <c r="I163" s="0" t="n">
        <f aca="false">IF(LEN(G163)&gt;1,1,0)</f>
        <v>0</v>
      </c>
      <c r="J163" s="4" t="n">
        <v>45860</v>
      </c>
      <c r="K163" s="0" t="s">
        <v>10</v>
      </c>
      <c r="L163" s="0" t="s">
        <v>91</v>
      </c>
      <c r="M163" s="0" t="s">
        <v>226</v>
      </c>
      <c r="N163" s="0" t="s">
        <v>93</v>
      </c>
      <c r="O163" s="0" t="s">
        <v>1025</v>
      </c>
      <c r="Q163" s="0" t="s">
        <v>251</v>
      </c>
      <c r="R163" s="0" t="n">
        <v>2</v>
      </c>
      <c r="S163" s="5" t="n">
        <v>770</v>
      </c>
      <c r="T163" s="0" t="s">
        <v>252</v>
      </c>
      <c r="U163" s="0" t="n">
        <v>1</v>
      </c>
      <c r="V163" s="0" t="s">
        <v>230</v>
      </c>
      <c r="W163" s="0" t="s">
        <v>231</v>
      </c>
      <c r="X163" s="0" t="s">
        <v>232</v>
      </c>
      <c r="Y163" s="0" t="s">
        <v>260</v>
      </c>
      <c r="Z163" s="0" t="s">
        <v>234</v>
      </c>
      <c r="AA163" s="0" t="s">
        <v>235</v>
      </c>
      <c r="AB163" s="32" t="n">
        <v>3300</v>
      </c>
      <c r="AC163" s="32" t="n">
        <v>3200</v>
      </c>
      <c r="AD163" s="26" t="n">
        <f aca="false">IFERROR(AB163/B163,"")</f>
        <v>4.28571428571429</v>
      </c>
      <c r="AE163" s="26" t="n">
        <f aca="false">IFERROR(AC163/B163,"")</f>
        <v>4.15584415584416</v>
      </c>
      <c r="AF163" s="0" t="s">
        <v>236</v>
      </c>
      <c r="AG163" s="0" t="s">
        <v>236</v>
      </c>
      <c r="AH163" s="0" t="s">
        <v>236</v>
      </c>
      <c r="AI163" s="0" t="s">
        <v>1026</v>
      </c>
      <c r="AJ163" s="0" t="s">
        <v>1027</v>
      </c>
      <c r="AK163" s="0" t="s">
        <v>1028</v>
      </c>
      <c r="AL163" s="0" t="s">
        <v>1029</v>
      </c>
      <c r="AM163" s="0" t="s">
        <v>94</v>
      </c>
      <c r="AN163" s="26" t="n">
        <f aca="false">IFERROR(E163*(1+IF(AM163="Apartment",Data_Summary!$C$3,0)),"")</f>
        <v>4.28571428571429</v>
      </c>
      <c r="AO163" s="4" t="n">
        <v>46195</v>
      </c>
    </row>
    <row r="164" customFormat="false" ht="15" hidden="false" customHeight="false" outlineLevel="0" collapsed="false">
      <c r="A164" s="0" t="n">
        <f aca="false">IF(AND(ISNUMBER(B164),B164&gt;0,ISNUMBER(AB164),AB164&gt;0,J164&gt;=Data_Summary!$C$1),1,0)</f>
        <v>1</v>
      </c>
      <c r="B164" s="30" t="n">
        <v>505</v>
      </c>
      <c r="C164" s="5" t="n">
        <f aca="false">IF(ISNUMBER(AB164),AB164,"")</f>
        <v>2200</v>
      </c>
      <c r="D164" s="0" t="n">
        <f aca="false">IF(ISNUMBER(C164),C164-U164*Data_Summary!$C$2,"")</f>
        <v>2200</v>
      </c>
      <c r="E164" s="31" t="n">
        <f aca="false">IFERROR(C164/B164,"")</f>
        <v>4.35643564356436</v>
      </c>
      <c r="F164" s="26" t="n">
        <f aca="false">IFERROR(D164/B164,"")</f>
        <v>4.35643564356436</v>
      </c>
      <c r="G164" s="0" t="str">
        <f aca="false">Q164</f>
        <v>1</v>
      </c>
      <c r="H164" s="0" t="str">
        <f aca="false">IFERROR(LEFT(G164,1),"")</f>
        <v>1</v>
      </c>
      <c r="I164" s="0" t="n">
        <f aca="false">IF(LEN(G164)&gt;1,1,0)</f>
        <v>0</v>
      </c>
      <c r="J164" s="4" t="n">
        <v>45858</v>
      </c>
      <c r="K164" s="0" t="s">
        <v>10</v>
      </c>
      <c r="L164" s="0" t="s">
        <v>91</v>
      </c>
      <c r="M164" s="0" t="s">
        <v>226</v>
      </c>
      <c r="N164" s="0" t="s">
        <v>93</v>
      </c>
      <c r="O164" s="0" t="s">
        <v>1030</v>
      </c>
      <c r="Q164" s="0" t="s">
        <v>242</v>
      </c>
      <c r="R164" s="0" t="n">
        <v>1</v>
      </c>
      <c r="S164" s="5" t="n">
        <v>505</v>
      </c>
      <c r="T164" s="0" t="s">
        <v>243</v>
      </c>
      <c r="U164" s="0" t="n">
        <v>0</v>
      </c>
      <c r="V164" s="0" t="s">
        <v>230</v>
      </c>
      <c r="W164" s="0" t="s">
        <v>244</v>
      </c>
      <c r="X164" s="0" t="s">
        <v>232</v>
      </c>
      <c r="Y164" s="0" t="s">
        <v>253</v>
      </c>
      <c r="Z164" s="0" t="s">
        <v>234</v>
      </c>
      <c r="AA164" s="0" t="s">
        <v>235</v>
      </c>
      <c r="AB164" s="32" t="n">
        <v>2200</v>
      </c>
      <c r="AC164" s="32" t="n">
        <v>2250</v>
      </c>
      <c r="AD164" s="26" t="n">
        <f aca="false">IFERROR(AB164/B164,"")</f>
        <v>4.35643564356436</v>
      </c>
      <c r="AE164" s="26" t="n">
        <f aca="false">IFERROR(AC164/B164,"")</f>
        <v>4.45544554455446</v>
      </c>
      <c r="AF164" s="0" t="s">
        <v>236</v>
      </c>
      <c r="AG164" s="0" t="s">
        <v>236</v>
      </c>
      <c r="AH164" s="0" t="s">
        <v>230</v>
      </c>
      <c r="AI164" s="0" t="s">
        <v>1031</v>
      </c>
      <c r="AJ164" s="0" t="s">
        <v>1032</v>
      </c>
      <c r="AK164" s="0" t="s">
        <v>1033</v>
      </c>
      <c r="AL164" s="0" t="s">
        <v>1034</v>
      </c>
      <c r="AM164" s="0" t="s">
        <v>94</v>
      </c>
      <c r="AN164" s="26" t="n">
        <f aca="false">IFERROR(E164*(1+IF(AM164="Apartment",Data_Summary!$C$3,0)),"")</f>
        <v>4.35643564356436</v>
      </c>
      <c r="AO164" s="4" t="n">
        <v>46195</v>
      </c>
    </row>
    <row r="165" customFormat="false" ht="15" hidden="false" customHeight="false" outlineLevel="0" collapsed="false">
      <c r="A165" s="0" t="n">
        <f aca="false">IF(AND(ISNUMBER(B165),B165&gt;0,ISNUMBER(AB165),AB165&gt;0,J165&gt;=Data_Summary!$C$1),1,0)</f>
        <v>1</v>
      </c>
      <c r="B165" s="30" t="n">
        <v>770</v>
      </c>
      <c r="C165" s="5" t="n">
        <f aca="false">IF(ISNUMBER(AB165),AB165,"")</f>
        <v>3300</v>
      </c>
      <c r="D165" s="0" t="n">
        <f aca="false">IF(ISNUMBER(C165),C165-U165*Data_Summary!$C$2,"")</f>
        <v>3150</v>
      </c>
      <c r="E165" s="31" t="n">
        <f aca="false">IFERROR(C165/B165,"")</f>
        <v>4.28571428571429</v>
      </c>
      <c r="F165" s="26" t="n">
        <f aca="false">IFERROR(D165/B165,"")</f>
        <v>4.09090909090909</v>
      </c>
      <c r="G165" s="0" t="str">
        <f aca="false">Q165</f>
        <v>2</v>
      </c>
      <c r="H165" s="0" t="str">
        <f aca="false">IFERROR(LEFT(G165,1),"")</f>
        <v>2</v>
      </c>
      <c r="I165" s="0" t="n">
        <f aca="false">IF(LEN(G165)&gt;1,1,0)</f>
        <v>0</v>
      </c>
      <c r="J165" s="4" t="n">
        <v>45858</v>
      </c>
      <c r="K165" s="0" t="s">
        <v>10</v>
      </c>
      <c r="L165" s="0" t="s">
        <v>91</v>
      </c>
      <c r="M165" s="0" t="s">
        <v>226</v>
      </c>
      <c r="N165" s="0" t="s">
        <v>93</v>
      </c>
      <c r="O165" s="0" t="s">
        <v>1035</v>
      </c>
      <c r="Q165" s="0" t="s">
        <v>251</v>
      </c>
      <c r="R165" s="0" t="n">
        <v>2</v>
      </c>
      <c r="S165" s="5" t="n">
        <v>770</v>
      </c>
      <c r="T165" s="0" t="s">
        <v>252</v>
      </c>
      <c r="U165" s="0" t="n">
        <v>1</v>
      </c>
      <c r="V165" s="0" t="s">
        <v>230</v>
      </c>
      <c r="W165" s="0" t="s">
        <v>231</v>
      </c>
      <c r="X165" s="0" t="s">
        <v>232</v>
      </c>
      <c r="Y165" s="0" t="s">
        <v>233</v>
      </c>
      <c r="Z165" s="0" t="s">
        <v>234</v>
      </c>
      <c r="AA165" s="0" t="s">
        <v>235</v>
      </c>
      <c r="AB165" s="32" t="n">
        <v>3300</v>
      </c>
      <c r="AC165" s="32" t="n">
        <v>3300</v>
      </c>
      <c r="AD165" s="26" t="n">
        <f aca="false">IFERROR(AB165/B165,"")</f>
        <v>4.28571428571429</v>
      </c>
      <c r="AE165" s="26" t="n">
        <f aca="false">IFERROR(AC165/B165,"")</f>
        <v>4.28571428571429</v>
      </c>
      <c r="AF165" s="0" t="s">
        <v>236</v>
      </c>
      <c r="AG165" s="0" t="s">
        <v>236</v>
      </c>
      <c r="AH165" s="0" t="s">
        <v>230</v>
      </c>
      <c r="AI165" s="0" t="s">
        <v>1031</v>
      </c>
      <c r="AJ165" s="0" t="s">
        <v>1036</v>
      </c>
      <c r="AK165" s="0" t="s">
        <v>1037</v>
      </c>
      <c r="AL165" s="0" t="s">
        <v>1038</v>
      </c>
      <c r="AM165" s="0" t="s">
        <v>94</v>
      </c>
      <c r="AN165" s="26" t="n">
        <f aca="false">IFERROR(E165*(1+IF(AM165="Apartment",Data_Summary!$C$3,0)),"")</f>
        <v>4.28571428571429</v>
      </c>
      <c r="AO165" s="4" t="n">
        <v>46195</v>
      </c>
    </row>
    <row r="166" customFormat="false" ht="15" hidden="false" customHeight="false" outlineLevel="0" collapsed="false">
      <c r="A166" s="0" t="n">
        <f aca="false">IF(AND(ISNUMBER(B166),B166&gt;0,ISNUMBER(AB166),AB166&gt;0,J166&gt;=Data_Summary!$C$1),1,0)</f>
        <v>1</v>
      </c>
      <c r="B166" s="30" t="n">
        <v>492</v>
      </c>
      <c r="C166" s="5" t="n">
        <f aca="false">IF(ISNUMBER(AB166),AB166,"")</f>
        <v>2200</v>
      </c>
      <c r="D166" s="0" t="n">
        <f aca="false">IF(ISNUMBER(C166),C166-U166*Data_Summary!$C$2,"")</f>
        <v>2200</v>
      </c>
      <c r="E166" s="31" t="n">
        <f aca="false">IFERROR(C166/B166,"")</f>
        <v>4.47154471544716</v>
      </c>
      <c r="F166" s="26" t="n">
        <f aca="false">IFERROR(D166/B166,"")</f>
        <v>4.47154471544716</v>
      </c>
      <c r="G166" s="0" t="str">
        <f aca="false">Q166</f>
        <v>1</v>
      </c>
      <c r="H166" s="0" t="str">
        <f aca="false">IFERROR(LEFT(G166,1),"")</f>
        <v>1</v>
      </c>
      <c r="I166" s="0" t="n">
        <f aca="false">IF(LEN(G166)&gt;1,1,0)</f>
        <v>0</v>
      </c>
      <c r="J166" s="4" t="n">
        <v>45858</v>
      </c>
      <c r="K166" s="0" t="s">
        <v>10</v>
      </c>
      <c r="L166" s="0" t="s">
        <v>91</v>
      </c>
      <c r="M166" s="0" t="s">
        <v>226</v>
      </c>
      <c r="N166" s="0" t="s">
        <v>93</v>
      </c>
      <c r="O166" s="0" t="s">
        <v>1039</v>
      </c>
      <c r="Q166" s="0" t="s">
        <v>242</v>
      </c>
      <c r="R166" s="0" t="n">
        <v>1</v>
      </c>
      <c r="S166" s="5" t="n">
        <v>492</v>
      </c>
      <c r="T166" s="0" t="s">
        <v>303</v>
      </c>
      <c r="U166" s="0" t="n">
        <v>0</v>
      </c>
      <c r="V166" s="0" t="s">
        <v>230</v>
      </c>
      <c r="W166" s="0" t="s">
        <v>244</v>
      </c>
      <c r="X166" s="0" t="s">
        <v>232</v>
      </c>
      <c r="Y166" s="0" t="s">
        <v>253</v>
      </c>
      <c r="Z166" s="0" t="s">
        <v>234</v>
      </c>
      <c r="AA166" s="0" t="s">
        <v>235</v>
      </c>
      <c r="AB166" s="32" t="n">
        <v>2200</v>
      </c>
      <c r="AC166" s="32" t="n">
        <v>2200</v>
      </c>
      <c r="AD166" s="26" t="n">
        <f aca="false">IFERROR(AB166/B166,"")</f>
        <v>4.47154471544716</v>
      </c>
      <c r="AE166" s="26" t="n">
        <f aca="false">IFERROR(AC166/B166,"")</f>
        <v>4.47154471544716</v>
      </c>
      <c r="AF166" s="0" t="s">
        <v>236</v>
      </c>
      <c r="AG166" s="0" t="s">
        <v>236</v>
      </c>
      <c r="AH166" s="0" t="s">
        <v>230</v>
      </c>
      <c r="AI166" s="0" t="s">
        <v>1031</v>
      </c>
      <c r="AJ166" s="0" t="s">
        <v>1040</v>
      </c>
      <c r="AK166" s="0" t="s">
        <v>1041</v>
      </c>
      <c r="AL166" s="0" t="s">
        <v>1042</v>
      </c>
      <c r="AM166" s="0" t="s">
        <v>94</v>
      </c>
      <c r="AN166" s="26" t="n">
        <f aca="false">IFERROR(E166*(1+IF(AM166="Apartment",Data_Summary!$C$3,0)),"")</f>
        <v>4.47154471544716</v>
      </c>
      <c r="AO166" s="4" t="n">
        <v>46195</v>
      </c>
    </row>
    <row r="167" customFormat="false" ht="15" hidden="false" customHeight="false" outlineLevel="0" collapsed="false">
      <c r="A167" s="0" t="n">
        <f aca="false">IF(AND(ISNUMBER(B167),B167&gt;0,ISNUMBER(AB167),AB167&gt;0,J167&gt;=Data_Summary!$C$1),1,0)</f>
        <v>1</v>
      </c>
      <c r="B167" s="30" t="n">
        <v>492</v>
      </c>
      <c r="C167" s="5" t="n">
        <f aca="false">IF(ISNUMBER(AB167),AB167,"")</f>
        <v>2200</v>
      </c>
      <c r="D167" s="0" t="n">
        <f aca="false">IF(ISNUMBER(C167),C167-U167*Data_Summary!$C$2,"")</f>
        <v>2200</v>
      </c>
      <c r="E167" s="31" t="n">
        <f aca="false">IFERROR(C167/B167,"")</f>
        <v>4.47154471544716</v>
      </c>
      <c r="F167" s="26" t="n">
        <f aca="false">IFERROR(D167/B167,"")</f>
        <v>4.47154471544716</v>
      </c>
      <c r="G167" s="0" t="str">
        <f aca="false">Q167</f>
        <v>1</v>
      </c>
      <c r="H167" s="0" t="str">
        <f aca="false">IFERROR(LEFT(G167,1),"")</f>
        <v>1</v>
      </c>
      <c r="I167" s="0" t="n">
        <f aca="false">IF(LEN(G167)&gt;1,1,0)</f>
        <v>0</v>
      </c>
      <c r="J167" s="4" t="n">
        <v>45857</v>
      </c>
      <c r="K167" s="0" t="s">
        <v>10</v>
      </c>
      <c r="L167" s="0" t="s">
        <v>91</v>
      </c>
      <c r="M167" s="0" t="s">
        <v>226</v>
      </c>
      <c r="N167" s="0" t="s">
        <v>93</v>
      </c>
      <c r="O167" s="0" t="s">
        <v>1043</v>
      </c>
      <c r="Q167" s="0" t="s">
        <v>242</v>
      </c>
      <c r="R167" s="0" t="n">
        <v>1</v>
      </c>
      <c r="S167" s="5" t="n">
        <v>492</v>
      </c>
      <c r="T167" s="0" t="s">
        <v>303</v>
      </c>
      <c r="U167" s="0" t="n">
        <v>0</v>
      </c>
      <c r="V167" s="0" t="s">
        <v>230</v>
      </c>
      <c r="W167" s="0" t="s">
        <v>244</v>
      </c>
      <c r="X167" s="0" t="s">
        <v>232</v>
      </c>
      <c r="Y167" s="0" t="s">
        <v>253</v>
      </c>
      <c r="Z167" s="0" t="s">
        <v>234</v>
      </c>
      <c r="AA167" s="0" t="s">
        <v>235</v>
      </c>
      <c r="AB167" s="32" t="n">
        <v>2200</v>
      </c>
      <c r="AC167" s="32" t="n">
        <v>2200</v>
      </c>
      <c r="AD167" s="26" t="n">
        <f aca="false">IFERROR(AB167/B167,"")</f>
        <v>4.47154471544716</v>
      </c>
      <c r="AE167" s="26" t="n">
        <f aca="false">IFERROR(AC167/B167,"")</f>
        <v>4.47154471544716</v>
      </c>
      <c r="AF167" s="0" t="s">
        <v>236</v>
      </c>
      <c r="AG167" s="0" t="s">
        <v>236</v>
      </c>
      <c r="AH167" s="0" t="s">
        <v>230</v>
      </c>
      <c r="AI167" s="0" t="s">
        <v>1044</v>
      </c>
      <c r="AJ167" s="0" t="s">
        <v>1045</v>
      </c>
      <c r="AK167" s="0" t="s">
        <v>1046</v>
      </c>
      <c r="AL167" s="0" t="s">
        <v>1047</v>
      </c>
      <c r="AM167" s="0" t="s">
        <v>94</v>
      </c>
      <c r="AN167" s="26" t="n">
        <f aca="false">IFERROR(E167*(1+IF(AM167="Apartment",Data_Summary!$C$3,0)),"")</f>
        <v>4.47154471544716</v>
      </c>
      <c r="AO167" s="4" t="n">
        <v>46195</v>
      </c>
    </row>
    <row r="168" customFormat="false" ht="15" hidden="false" customHeight="false" outlineLevel="0" collapsed="false">
      <c r="A168" s="0" t="n">
        <f aca="false">IF(AND(ISNUMBER(B168),B168&gt;0,ISNUMBER(AB168),AB168&gt;0,J168&gt;=Data_Summary!$C$1),1,0)</f>
        <v>1</v>
      </c>
      <c r="B168" s="33" t="n">
        <v>920</v>
      </c>
      <c r="C168" s="5" t="n">
        <f aca="false">IF(ISNUMBER(AB168),AB168,"")</f>
        <v>3480</v>
      </c>
      <c r="D168" s="0" t="n">
        <f aca="false">IF(ISNUMBER(C168),C168-U168*Data_Summary!$C$2,"")</f>
        <v>3330</v>
      </c>
      <c r="E168" s="34" t="n">
        <f aca="false">IFERROR(C168/B168,"")</f>
        <v>3.78260869565217</v>
      </c>
      <c r="F168" s="26" t="n">
        <f aca="false">IFERROR(D168/B168,"")</f>
        <v>3.6195652173913</v>
      </c>
      <c r="G168" s="0" t="str">
        <f aca="false">Q168</f>
        <v>2+1</v>
      </c>
      <c r="H168" s="0" t="str">
        <f aca="false">IFERROR(LEFT(G168,1),"")</f>
        <v>2</v>
      </c>
      <c r="I168" s="0" t="n">
        <f aca="false">IF(LEN(G168)&gt;1,1,0)</f>
        <v>1</v>
      </c>
      <c r="J168" s="4" t="n">
        <v>45856</v>
      </c>
      <c r="K168" s="0" t="s">
        <v>10</v>
      </c>
      <c r="L168" s="0" t="s">
        <v>91</v>
      </c>
      <c r="M168" s="0" t="s">
        <v>226</v>
      </c>
      <c r="N168" s="0" t="s">
        <v>93</v>
      </c>
      <c r="O168" s="0" t="s">
        <v>1048</v>
      </c>
      <c r="Q168" s="0" t="s">
        <v>451</v>
      </c>
      <c r="R168" s="0" t="n">
        <v>2</v>
      </c>
      <c r="S168" s="5" t="n">
        <v>920</v>
      </c>
      <c r="T168" s="0" t="s">
        <v>252</v>
      </c>
      <c r="U168" s="0" t="n">
        <v>1</v>
      </c>
      <c r="V168" s="0" t="s">
        <v>230</v>
      </c>
      <c r="W168" s="0" t="s">
        <v>231</v>
      </c>
      <c r="X168" s="0" t="s">
        <v>232</v>
      </c>
      <c r="Y168" s="0" t="s">
        <v>297</v>
      </c>
      <c r="Z168" s="0" t="s">
        <v>234</v>
      </c>
      <c r="AA168" s="0" t="s">
        <v>235</v>
      </c>
      <c r="AB168" s="32" t="n">
        <v>3480</v>
      </c>
      <c r="AC168" s="32" t="n">
        <v>3480</v>
      </c>
      <c r="AD168" s="26" t="n">
        <f aca="false">IFERROR(AB168/B168,"")</f>
        <v>3.78260869565217</v>
      </c>
      <c r="AE168" s="26" t="n">
        <f aca="false">IFERROR(AC168/B168,"")</f>
        <v>3.78260869565217</v>
      </c>
      <c r="AF168" s="0" t="s">
        <v>236</v>
      </c>
      <c r="AG168" s="0" t="s">
        <v>236</v>
      </c>
      <c r="AH168" s="0" t="s">
        <v>230</v>
      </c>
      <c r="AI168" s="0" t="s">
        <v>1049</v>
      </c>
      <c r="AJ168" s="0" t="s">
        <v>1050</v>
      </c>
      <c r="AK168" s="0" t="s">
        <v>1051</v>
      </c>
      <c r="AL168" s="0" t="s">
        <v>1052</v>
      </c>
      <c r="AM168" s="0" t="s">
        <v>94</v>
      </c>
      <c r="AN168" s="26" t="n">
        <f aca="false">IFERROR(E168*(1+IF(AM168="Apartment",Data_Summary!$C$3,0)),"")</f>
        <v>3.78260869565217</v>
      </c>
      <c r="AO168" s="4" t="n">
        <v>46195</v>
      </c>
    </row>
    <row r="169" customFormat="false" ht="15" hidden="false" customHeight="false" outlineLevel="0" collapsed="false">
      <c r="A169" s="0" t="n">
        <f aca="false">IF(AND(ISNUMBER(B169),B169&gt;0,ISNUMBER(AB169),AB169&gt;0,J169&gt;=Data_Summary!$C$1),1,0)</f>
        <v>1</v>
      </c>
      <c r="B169" s="30" t="n">
        <v>505</v>
      </c>
      <c r="C169" s="5" t="n">
        <f aca="false">IF(ISNUMBER(AB169),AB169,"")</f>
        <v>2250</v>
      </c>
      <c r="D169" s="0" t="n">
        <f aca="false">IF(ISNUMBER(C169),C169-U169*Data_Summary!$C$2,"")</f>
        <v>2250</v>
      </c>
      <c r="E169" s="31" t="n">
        <f aca="false">IFERROR(C169/B169,"")</f>
        <v>4.45544554455446</v>
      </c>
      <c r="F169" s="26" t="n">
        <f aca="false">IFERROR(D169/B169,"")</f>
        <v>4.45544554455446</v>
      </c>
      <c r="G169" s="0" t="str">
        <f aca="false">Q169</f>
        <v>1</v>
      </c>
      <c r="H169" s="0" t="str">
        <f aca="false">IFERROR(LEFT(G169,1),"")</f>
        <v>1</v>
      </c>
      <c r="I169" s="0" t="n">
        <f aca="false">IF(LEN(G169)&gt;1,1,0)</f>
        <v>0</v>
      </c>
      <c r="J169" s="4" t="n">
        <v>45856</v>
      </c>
      <c r="K169" s="0" t="s">
        <v>10</v>
      </c>
      <c r="L169" s="0" t="s">
        <v>91</v>
      </c>
      <c r="M169" s="0" t="s">
        <v>226</v>
      </c>
      <c r="N169" s="0" t="s">
        <v>93</v>
      </c>
      <c r="O169" s="0" t="s">
        <v>1053</v>
      </c>
      <c r="Q169" s="0" t="s">
        <v>242</v>
      </c>
      <c r="R169" s="0" t="n">
        <v>1</v>
      </c>
      <c r="S169" s="5" t="n">
        <v>505</v>
      </c>
      <c r="T169" s="0" t="s">
        <v>243</v>
      </c>
      <c r="U169" s="0" t="n">
        <v>0</v>
      </c>
      <c r="V169" s="0" t="s">
        <v>230</v>
      </c>
      <c r="W169" s="0" t="s">
        <v>244</v>
      </c>
      <c r="X169" s="0" t="s">
        <v>232</v>
      </c>
      <c r="Y169" s="0" t="s">
        <v>253</v>
      </c>
      <c r="Z169" s="0" t="s">
        <v>234</v>
      </c>
      <c r="AA169" s="0" t="s">
        <v>235</v>
      </c>
      <c r="AB169" s="32" t="n">
        <v>2250</v>
      </c>
      <c r="AC169" s="32" t="n">
        <v>2250</v>
      </c>
      <c r="AD169" s="26" t="n">
        <f aca="false">IFERROR(AB169/B169,"")</f>
        <v>4.45544554455446</v>
      </c>
      <c r="AE169" s="26" t="n">
        <f aca="false">IFERROR(AC169/B169,"")</f>
        <v>4.45544554455446</v>
      </c>
      <c r="AF169" s="0" t="s">
        <v>236</v>
      </c>
      <c r="AG169" s="0" t="s">
        <v>236</v>
      </c>
      <c r="AH169" s="0" t="s">
        <v>230</v>
      </c>
      <c r="AI169" s="0" t="s">
        <v>1049</v>
      </c>
      <c r="AJ169" s="0" t="s">
        <v>1054</v>
      </c>
      <c r="AK169" s="0" t="s">
        <v>1055</v>
      </c>
      <c r="AL169" s="0" t="s">
        <v>1056</v>
      </c>
      <c r="AM169" s="0" t="s">
        <v>94</v>
      </c>
      <c r="AN169" s="26" t="n">
        <f aca="false">IFERROR(E169*(1+IF(AM169="Apartment",Data_Summary!$C$3,0)),"")</f>
        <v>4.45544554455446</v>
      </c>
      <c r="AO169" s="4" t="n">
        <v>46195</v>
      </c>
    </row>
    <row r="170" customFormat="false" ht="15" hidden="false" customHeight="false" outlineLevel="0" collapsed="false">
      <c r="A170" s="0" t="n">
        <f aca="false">IF(AND(ISNUMBER(B170),B170&gt;0,ISNUMBER(AB170),AB170&gt;0,J170&gt;=Data_Summary!$C$1),1,0)</f>
        <v>1</v>
      </c>
      <c r="B170" s="33" t="n">
        <v>535</v>
      </c>
      <c r="C170" s="5" t="n">
        <f aca="false">IF(ISNUMBER(AB170),AB170,"")</f>
        <v>2500</v>
      </c>
      <c r="D170" s="0" t="n">
        <f aca="false">IF(ISNUMBER(C170),C170-U170*Data_Summary!$C$2,"")</f>
        <v>2500</v>
      </c>
      <c r="E170" s="34" t="n">
        <f aca="false">IFERROR(C170/B170,"")</f>
        <v>4.67289719626168</v>
      </c>
      <c r="F170" s="26" t="n">
        <f aca="false">IFERROR(D170/B170,"")</f>
        <v>4.67289719626168</v>
      </c>
      <c r="G170" s="0" t="str">
        <f aca="false">Q170</f>
        <v>1+1</v>
      </c>
      <c r="H170" s="0" t="str">
        <f aca="false">IFERROR(LEFT(G170,1),"")</f>
        <v>1</v>
      </c>
      <c r="I170" s="0" t="n">
        <f aca="false">IF(LEN(G170)&gt;1,1,0)</f>
        <v>1</v>
      </c>
      <c r="J170" s="4" t="n">
        <v>45855</v>
      </c>
      <c r="K170" s="0" t="s">
        <v>10</v>
      </c>
      <c r="L170" s="0" t="s">
        <v>91</v>
      </c>
      <c r="M170" s="0" t="s">
        <v>226</v>
      </c>
      <c r="N170" s="0" t="s">
        <v>93</v>
      </c>
      <c r="O170" s="0" t="s">
        <v>1057</v>
      </c>
      <c r="Q170" s="0" t="s">
        <v>270</v>
      </c>
      <c r="R170" s="0" t="n">
        <v>2</v>
      </c>
      <c r="S170" s="5" t="n">
        <v>535</v>
      </c>
      <c r="T170" s="0" t="s">
        <v>271</v>
      </c>
      <c r="U170" s="0" t="n">
        <v>0</v>
      </c>
      <c r="V170" s="0" t="s">
        <v>230</v>
      </c>
      <c r="W170" s="0" t="s">
        <v>244</v>
      </c>
      <c r="X170" s="0" t="s">
        <v>232</v>
      </c>
      <c r="Y170" s="0" t="s">
        <v>278</v>
      </c>
      <c r="Z170" s="0" t="s">
        <v>234</v>
      </c>
      <c r="AA170" s="0" t="s">
        <v>235</v>
      </c>
      <c r="AB170" s="32" t="n">
        <v>2500</v>
      </c>
      <c r="AC170" s="32" t="n">
        <v>2600</v>
      </c>
      <c r="AD170" s="26" t="n">
        <f aca="false">IFERROR(AB170/B170,"")</f>
        <v>4.67289719626168</v>
      </c>
      <c r="AE170" s="26" t="n">
        <f aca="false">IFERROR(AC170/B170,"")</f>
        <v>4.85981308411215</v>
      </c>
      <c r="AF170" s="0" t="s">
        <v>236</v>
      </c>
      <c r="AG170" s="0" t="s">
        <v>236</v>
      </c>
      <c r="AH170" s="0" t="s">
        <v>230</v>
      </c>
      <c r="AI170" s="0" t="s">
        <v>1058</v>
      </c>
      <c r="AJ170" s="0" t="s">
        <v>1059</v>
      </c>
      <c r="AK170" s="0" t="s">
        <v>1060</v>
      </c>
      <c r="AL170" s="0" t="s">
        <v>1061</v>
      </c>
      <c r="AM170" s="0" t="s">
        <v>94</v>
      </c>
      <c r="AN170" s="26" t="n">
        <f aca="false">IFERROR(E170*(1+IF(AM170="Apartment",Data_Summary!$C$3,0)),"")</f>
        <v>4.67289719626168</v>
      </c>
      <c r="AO170" s="4" t="n">
        <v>46195</v>
      </c>
    </row>
    <row r="171" customFormat="false" ht="15" hidden="false" customHeight="false" outlineLevel="0" collapsed="false">
      <c r="A171" s="0" t="n">
        <f aca="false">IF(AND(ISNUMBER(B171),B171&gt;0,ISNUMBER(AB171),AB171&gt;0,J171&gt;=Data_Summary!$C$1),1,0)</f>
        <v>1</v>
      </c>
      <c r="B171" s="30" t="n">
        <v>492</v>
      </c>
      <c r="C171" s="5" t="n">
        <f aca="false">IF(ISNUMBER(AB171),AB171,"")</f>
        <v>2200</v>
      </c>
      <c r="D171" s="0" t="n">
        <f aca="false">IF(ISNUMBER(C171),C171-U171*Data_Summary!$C$2,"")</f>
        <v>2200</v>
      </c>
      <c r="E171" s="31" t="n">
        <f aca="false">IFERROR(C171/B171,"")</f>
        <v>4.47154471544716</v>
      </c>
      <c r="F171" s="26" t="n">
        <f aca="false">IFERROR(D171/B171,"")</f>
        <v>4.47154471544716</v>
      </c>
      <c r="G171" s="0" t="str">
        <f aca="false">Q171</f>
        <v>1</v>
      </c>
      <c r="H171" s="0" t="str">
        <f aca="false">IFERROR(LEFT(G171,1),"")</f>
        <v>1</v>
      </c>
      <c r="I171" s="0" t="n">
        <f aca="false">IF(LEN(G171)&gt;1,1,0)</f>
        <v>0</v>
      </c>
      <c r="J171" s="4" t="n">
        <v>45855</v>
      </c>
      <c r="K171" s="0" t="s">
        <v>10</v>
      </c>
      <c r="L171" s="0" t="s">
        <v>91</v>
      </c>
      <c r="M171" s="0" t="s">
        <v>226</v>
      </c>
      <c r="N171" s="0" t="s">
        <v>93</v>
      </c>
      <c r="O171" s="0" t="s">
        <v>1062</v>
      </c>
      <c r="Q171" s="0" t="s">
        <v>242</v>
      </c>
      <c r="R171" s="0" t="n">
        <v>1</v>
      </c>
      <c r="S171" s="5" t="n">
        <v>492</v>
      </c>
      <c r="T171" s="0" t="s">
        <v>303</v>
      </c>
      <c r="U171" s="0" t="n">
        <v>0</v>
      </c>
      <c r="V171" s="0" t="s">
        <v>230</v>
      </c>
      <c r="W171" s="0" t="s">
        <v>244</v>
      </c>
      <c r="X171" s="0" t="s">
        <v>232</v>
      </c>
      <c r="Y171" s="0" t="s">
        <v>253</v>
      </c>
      <c r="Z171" s="0" t="s">
        <v>234</v>
      </c>
      <c r="AA171" s="0" t="s">
        <v>235</v>
      </c>
      <c r="AB171" s="32" t="n">
        <v>2200</v>
      </c>
      <c r="AC171" s="32" t="n">
        <v>2200</v>
      </c>
      <c r="AD171" s="26" t="n">
        <f aca="false">IFERROR(AB171/B171,"")</f>
        <v>4.47154471544716</v>
      </c>
      <c r="AE171" s="26" t="n">
        <f aca="false">IFERROR(AC171/B171,"")</f>
        <v>4.47154471544716</v>
      </c>
      <c r="AF171" s="0" t="s">
        <v>236</v>
      </c>
      <c r="AG171" s="0" t="s">
        <v>236</v>
      </c>
      <c r="AH171" s="0" t="s">
        <v>230</v>
      </c>
      <c r="AI171" s="0" t="s">
        <v>1058</v>
      </c>
      <c r="AJ171" s="0" t="s">
        <v>1063</v>
      </c>
      <c r="AK171" s="0" t="s">
        <v>1064</v>
      </c>
      <c r="AL171" s="0" t="s">
        <v>1065</v>
      </c>
      <c r="AM171" s="0" t="s">
        <v>94</v>
      </c>
      <c r="AN171" s="26" t="n">
        <f aca="false">IFERROR(E171*(1+IF(AM171="Apartment",Data_Summary!$C$3,0)),"")</f>
        <v>4.47154471544716</v>
      </c>
      <c r="AO171" s="4" t="n">
        <v>46195</v>
      </c>
    </row>
    <row r="172" customFormat="false" ht="15" hidden="false" customHeight="false" outlineLevel="0" collapsed="false">
      <c r="A172" s="0" t="n">
        <f aca="false">IF(AND(ISNUMBER(B172),B172&gt;0,ISNUMBER(AB172),AB172&gt;0,J172&gt;=Data_Summary!$C$1),1,0)</f>
        <v>1</v>
      </c>
      <c r="B172" s="33" t="n">
        <v>535</v>
      </c>
      <c r="C172" s="5" t="n">
        <f aca="false">IF(ISNUMBER(AB172),AB172,"")</f>
        <v>2500</v>
      </c>
      <c r="D172" s="0" t="n">
        <f aca="false">IF(ISNUMBER(C172),C172-U172*Data_Summary!$C$2,"")</f>
        <v>2500</v>
      </c>
      <c r="E172" s="34" t="n">
        <f aca="false">IFERROR(C172/B172,"")</f>
        <v>4.67289719626168</v>
      </c>
      <c r="F172" s="26" t="n">
        <f aca="false">IFERROR(D172/B172,"")</f>
        <v>4.67289719626168</v>
      </c>
      <c r="G172" s="0" t="str">
        <f aca="false">Q172</f>
        <v>1+1</v>
      </c>
      <c r="H172" s="0" t="str">
        <f aca="false">IFERROR(LEFT(G172,1),"")</f>
        <v>1</v>
      </c>
      <c r="I172" s="0" t="n">
        <f aca="false">IF(LEN(G172)&gt;1,1,0)</f>
        <v>1</v>
      </c>
      <c r="J172" s="4" t="n">
        <v>45855</v>
      </c>
      <c r="K172" s="0" t="s">
        <v>10</v>
      </c>
      <c r="L172" s="0" t="s">
        <v>91</v>
      </c>
      <c r="M172" s="0" t="s">
        <v>226</v>
      </c>
      <c r="N172" s="0" t="s">
        <v>93</v>
      </c>
      <c r="O172" s="0" t="s">
        <v>1066</v>
      </c>
      <c r="Q172" s="0" t="s">
        <v>270</v>
      </c>
      <c r="R172" s="0" t="n">
        <v>2</v>
      </c>
      <c r="S172" s="5" t="n">
        <v>535</v>
      </c>
      <c r="T172" s="0" t="s">
        <v>271</v>
      </c>
      <c r="U172" s="0" t="n">
        <v>0</v>
      </c>
      <c r="V172" s="0" t="s">
        <v>230</v>
      </c>
      <c r="W172" s="0" t="s">
        <v>244</v>
      </c>
      <c r="X172" s="0" t="s">
        <v>232</v>
      </c>
      <c r="Y172" s="0" t="s">
        <v>278</v>
      </c>
      <c r="Z172" s="0" t="s">
        <v>234</v>
      </c>
      <c r="AA172" s="0" t="s">
        <v>235</v>
      </c>
      <c r="AB172" s="32" t="n">
        <v>2500</v>
      </c>
      <c r="AC172" s="32" t="n">
        <v>2500</v>
      </c>
      <c r="AD172" s="26" t="n">
        <f aca="false">IFERROR(AB172/B172,"")</f>
        <v>4.67289719626168</v>
      </c>
      <c r="AE172" s="26" t="n">
        <f aca="false">IFERROR(AC172/B172,"")</f>
        <v>4.67289719626168</v>
      </c>
      <c r="AF172" s="0" t="s">
        <v>236</v>
      </c>
      <c r="AG172" s="0" t="s">
        <v>236</v>
      </c>
      <c r="AH172" s="0" t="s">
        <v>230</v>
      </c>
      <c r="AI172" s="0" t="s">
        <v>1058</v>
      </c>
      <c r="AJ172" s="0" t="s">
        <v>1067</v>
      </c>
      <c r="AK172" s="0" t="s">
        <v>1068</v>
      </c>
      <c r="AL172" s="0" t="s">
        <v>1061</v>
      </c>
      <c r="AM172" s="0" t="s">
        <v>94</v>
      </c>
      <c r="AN172" s="26" t="n">
        <f aca="false">IFERROR(E172*(1+IF(AM172="Apartment",Data_Summary!$C$3,0)),"")</f>
        <v>4.67289719626168</v>
      </c>
      <c r="AO172" s="4" t="n">
        <v>46195</v>
      </c>
    </row>
    <row r="173" customFormat="false" ht="15" hidden="false" customHeight="false" outlineLevel="0" collapsed="false">
      <c r="A173" s="0" t="n">
        <f aca="false">IF(AND(ISNUMBER(B173),B173&gt;0,ISNUMBER(AB173),AB173&gt;0,J173&gt;=Data_Summary!$C$1),1,0)</f>
        <v>1</v>
      </c>
      <c r="B173" s="33" t="n">
        <v>920</v>
      </c>
      <c r="C173" s="5" t="n">
        <f aca="false">IF(ISNUMBER(AB173),AB173,"")</f>
        <v>3400</v>
      </c>
      <c r="D173" s="0" t="n">
        <f aca="false">IF(ISNUMBER(C173),C173-U173*Data_Summary!$C$2,"")</f>
        <v>3250</v>
      </c>
      <c r="E173" s="34" t="n">
        <f aca="false">IFERROR(C173/B173,"")</f>
        <v>3.69565217391304</v>
      </c>
      <c r="F173" s="26" t="n">
        <f aca="false">IFERROR(D173/B173,"")</f>
        <v>3.53260869565217</v>
      </c>
      <c r="G173" s="0" t="str">
        <f aca="false">Q173</f>
        <v>2</v>
      </c>
      <c r="H173" s="0" t="str">
        <f aca="false">IFERROR(LEFT(G173,1),"")</f>
        <v>2</v>
      </c>
      <c r="I173" s="0" t="n">
        <f aca="false">IF(LEN(G173)&gt;1,1,0)</f>
        <v>0</v>
      </c>
      <c r="J173" s="4" t="n">
        <v>45855</v>
      </c>
      <c r="K173" s="0" t="s">
        <v>10</v>
      </c>
      <c r="L173" s="0" t="s">
        <v>91</v>
      </c>
      <c r="M173" s="0" t="s">
        <v>226</v>
      </c>
      <c r="N173" s="0" t="s">
        <v>93</v>
      </c>
      <c r="O173" s="0" t="s">
        <v>1069</v>
      </c>
      <c r="Q173" s="0" t="s">
        <v>251</v>
      </c>
      <c r="R173" s="0" t="n">
        <v>2</v>
      </c>
      <c r="S173" s="5" t="n">
        <v>920</v>
      </c>
      <c r="T173" s="0" t="s">
        <v>252</v>
      </c>
      <c r="U173" s="0" t="n">
        <v>1</v>
      </c>
      <c r="V173" s="0" t="s">
        <v>230</v>
      </c>
      <c r="W173" s="0" t="s">
        <v>231</v>
      </c>
      <c r="X173" s="0" t="s">
        <v>232</v>
      </c>
      <c r="Y173" s="0" t="s">
        <v>297</v>
      </c>
      <c r="Z173" s="0" t="s">
        <v>234</v>
      </c>
      <c r="AA173" s="0" t="s">
        <v>235</v>
      </c>
      <c r="AB173" s="32" t="n">
        <v>3400</v>
      </c>
      <c r="AC173" s="32" t="n">
        <v>3480</v>
      </c>
      <c r="AD173" s="26" t="n">
        <f aca="false">IFERROR(AB173/B173,"")</f>
        <v>3.69565217391304</v>
      </c>
      <c r="AE173" s="26" t="n">
        <f aca="false">IFERROR(AC173/B173,"")</f>
        <v>3.78260869565217</v>
      </c>
      <c r="AF173" s="0" t="s">
        <v>236</v>
      </c>
      <c r="AG173" s="0" t="s">
        <v>236</v>
      </c>
      <c r="AH173" s="0" t="s">
        <v>230</v>
      </c>
      <c r="AI173" s="0" t="s">
        <v>1058</v>
      </c>
      <c r="AJ173" s="0" t="s">
        <v>1070</v>
      </c>
      <c r="AK173" s="0" t="s">
        <v>1071</v>
      </c>
      <c r="AL173" s="0" t="s">
        <v>1072</v>
      </c>
      <c r="AM173" s="0" t="s">
        <v>94</v>
      </c>
      <c r="AN173" s="26" t="n">
        <f aca="false">IFERROR(E173*(1+IF(AM173="Apartment",Data_Summary!$C$3,0)),"")</f>
        <v>3.69565217391304</v>
      </c>
      <c r="AO173" s="4" t="n">
        <v>46195</v>
      </c>
    </row>
    <row r="174" customFormat="false" ht="15" hidden="false" customHeight="false" outlineLevel="0" collapsed="false">
      <c r="A174" s="0" t="n">
        <f aca="false">IF(AND(ISNUMBER(B174),B174&gt;0,ISNUMBER(AB174),AB174&gt;0,J174&gt;=Data_Summary!$C$1),1,0)</f>
        <v>1</v>
      </c>
      <c r="B174" s="33" t="n">
        <v>535</v>
      </c>
      <c r="C174" s="5" t="n">
        <f aca="false">IF(ISNUMBER(AB174),AB174,"")</f>
        <v>2900</v>
      </c>
      <c r="D174" s="0" t="n">
        <f aca="false">IF(ISNUMBER(C174),C174-U174*Data_Summary!$C$2,"")</f>
        <v>2900</v>
      </c>
      <c r="E174" s="34" t="n">
        <f aca="false">IFERROR(C174/B174,"")</f>
        <v>5.42056074766355</v>
      </c>
      <c r="F174" s="26" t="n">
        <f aca="false">IFERROR(D174/B174,"")</f>
        <v>5.42056074766355</v>
      </c>
      <c r="G174" s="0" t="str">
        <f aca="false">Q174</f>
        <v>1+1</v>
      </c>
      <c r="H174" s="0" t="str">
        <f aca="false">IFERROR(LEFT(G174,1),"")</f>
        <v>1</v>
      </c>
      <c r="I174" s="0" t="n">
        <f aca="false">IF(LEN(G174)&gt;1,1,0)</f>
        <v>1</v>
      </c>
      <c r="J174" s="4" t="n">
        <v>45854</v>
      </c>
      <c r="K174" s="0" t="s">
        <v>10</v>
      </c>
      <c r="L174" s="0" t="s">
        <v>91</v>
      </c>
      <c r="M174" s="0" t="s">
        <v>226</v>
      </c>
      <c r="N174" s="0" t="s">
        <v>93</v>
      </c>
      <c r="O174" s="0" t="s">
        <v>1073</v>
      </c>
      <c r="Q174" s="0" t="s">
        <v>270</v>
      </c>
      <c r="R174" s="0" t="n">
        <v>2</v>
      </c>
      <c r="S174" s="5" t="n">
        <v>535</v>
      </c>
      <c r="T174" s="0" t="s">
        <v>271</v>
      </c>
      <c r="U174" s="0" t="n">
        <v>0</v>
      </c>
      <c r="V174" s="0" t="s">
        <v>230</v>
      </c>
      <c r="W174" s="0" t="s">
        <v>231</v>
      </c>
      <c r="X174" s="0" t="s">
        <v>232</v>
      </c>
      <c r="Y174" s="0" t="s">
        <v>278</v>
      </c>
      <c r="Z174" s="0" t="s">
        <v>234</v>
      </c>
      <c r="AA174" s="0" t="s">
        <v>235</v>
      </c>
      <c r="AB174" s="32" t="n">
        <v>2900</v>
      </c>
      <c r="AC174" s="32" t="n">
        <v>2910</v>
      </c>
      <c r="AD174" s="26" t="n">
        <f aca="false">IFERROR(AB174/B174,"")</f>
        <v>5.42056074766355</v>
      </c>
      <c r="AE174" s="26" t="n">
        <f aca="false">IFERROR(AC174/B174,"")</f>
        <v>5.4392523364486</v>
      </c>
      <c r="AF174" s="0" t="s">
        <v>236</v>
      </c>
      <c r="AG174" s="0" t="s">
        <v>236</v>
      </c>
      <c r="AH174" s="0" t="s">
        <v>230</v>
      </c>
      <c r="AI174" s="0" t="s">
        <v>1074</v>
      </c>
      <c r="AJ174" s="0" t="s">
        <v>1075</v>
      </c>
      <c r="AK174" s="0" t="s">
        <v>1076</v>
      </c>
      <c r="AL174" s="0" t="s">
        <v>1077</v>
      </c>
      <c r="AM174" s="0" t="s">
        <v>94</v>
      </c>
      <c r="AN174" s="26" t="n">
        <f aca="false">IFERROR(E174*(1+IF(AM174="Apartment",Data_Summary!$C$3,0)),"")</f>
        <v>5.42056074766355</v>
      </c>
      <c r="AO174" s="4" t="n">
        <v>46195</v>
      </c>
    </row>
    <row r="175" customFormat="false" ht="15" hidden="false" customHeight="false" outlineLevel="0" collapsed="false">
      <c r="A175" s="0" t="n">
        <f aca="false">IF(AND(ISNUMBER(B175),B175&gt;0,ISNUMBER(AB175),AB175&gt;0,J175&gt;=Data_Summary!$C$1),1,0)</f>
        <v>1</v>
      </c>
      <c r="B175" s="33" t="n">
        <v>650</v>
      </c>
      <c r="C175" s="5" t="n">
        <f aca="false">IF(ISNUMBER(AB175),AB175,"")</f>
        <v>2700</v>
      </c>
      <c r="D175" s="0" t="n">
        <f aca="false">IF(ISNUMBER(C175),C175-U175*Data_Summary!$C$2,"")</f>
        <v>2700</v>
      </c>
      <c r="E175" s="34" t="n">
        <f aca="false">IFERROR(C175/B175,"")</f>
        <v>4.15384615384615</v>
      </c>
      <c r="F175" s="26" t="n">
        <f aca="false">IFERROR(D175/B175,"")</f>
        <v>4.15384615384615</v>
      </c>
      <c r="G175" s="0" t="str">
        <f aca="false">Q175</f>
        <v>1+1</v>
      </c>
      <c r="H175" s="0" t="str">
        <f aca="false">IFERROR(LEFT(G175,1),"")</f>
        <v>1</v>
      </c>
      <c r="I175" s="0" t="n">
        <f aca="false">IF(LEN(G175)&gt;1,1,0)</f>
        <v>1</v>
      </c>
      <c r="J175" s="4" t="n">
        <v>45854</v>
      </c>
      <c r="K175" s="0" t="s">
        <v>10</v>
      </c>
      <c r="L175" s="0" t="s">
        <v>91</v>
      </c>
      <c r="M175" s="0" t="s">
        <v>226</v>
      </c>
      <c r="N175" s="0" t="s">
        <v>93</v>
      </c>
      <c r="O175" s="0" t="s">
        <v>1078</v>
      </c>
      <c r="Q175" s="0" t="s">
        <v>270</v>
      </c>
      <c r="R175" s="0" t="n">
        <v>1</v>
      </c>
      <c r="S175" s="5" t="n">
        <v>650</v>
      </c>
      <c r="T175" s="0" t="s">
        <v>243</v>
      </c>
      <c r="U175" s="0" t="n">
        <v>0</v>
      </c>
      <c r="V175" s="0" t="s">
        <v>230</v>
      </c>
      <c r="W175" s="0" t="s">
        <v>244</v>
      </c>
      <c r="X175" s="0" t="s">
        <v>232</v>
      </c>
      <c r="Y175" s="0" t="s">
        <v>278</v>
      </c>
      <c r="Z175" s="0" t="s">
        <v>234</v>
      </c>
      <c r="AA175" s="0" t="s">
        <v>235</v>
      </c>
      <c r="AB175" s="32" t="n">
        <v>2700</v>
      </c>
      <c r="AC175" s="32" t="n">
        <v>2550</v>
      </c>
      <c r="AD175" s="26" t="n">
        <f aca="false">IFERROR(AB175/B175,"")</f>
        <v>4.15384615384615</v>
      </c>
      <c r="AE175" s="26" t="n">
        <f aca="false">IFERROR(AC175/B175,"")</f>
        <v>3.92307692307692</v>
      </c>
      <c r="AF175" s="0" t="s">
        <v>236</v>
      </c>
      <c r="AG175" s="0" t="s">
        <v>236</v>
      </c>
      <c r="AH175" s="0" t="s">
        <v>230</v>
      </c>
      <c r="AI175" s="0" t="s">
        <v>1074</v>
      </c>
      <c r="AJ175" s="0" t="s">
        <v>1079</v>
      </c>
      <c r="AK175" s="0" t="s">
        <v>1080</v>
      </c>
      <c r="AL175" s="0" t="s">
        <v>1081</v>
      </c>
      <c r="AM175" s="0" t="s">
        <v>94</v>
      </c>
      <c r="AN175" s="26" t="n">
        <f aca="false">IFERROR(E175*(1+IF(AM175="Apartment",Data_Summary!$C$3,0)),"")</f>
        <v>4.15384615384615</v>
      </c>
      <c r="AO175" s="4" t="n">
        <v>46195</v>
      </c>
    </row>
    <row r="176" customFormat="false" ht="15" hidden="false" customHeight="false" outlineLevel="0" collapsed="false">
      <c r="A176" s="0" t="n">
        <f aca="false">IF(AND(ISNUMBER(B176),B176&gt;0,ISNUMBER(AB176),AB176&gt;0,J176&gt;=Data_Summary!$C$1),1,0)</f>
        <v>1</v>
      </c>
      <c r="B176" s="30" t="n">
        <v>505</v>
      </c>
      <c r="C176" s="5" t="n">
        <f aca="false">IF(ISNUMBER(AB176),AB176,"")</f>
        <v>2200</v>
      </c>
      <c r="D176" s="0" t="n">
        <f aca="false">IF(ISNUMBER(C176),C176-U176*Data_Summary!$C$2,"")</f>
        <v>2200</v>
      </c>
      <c r="E176" s="31" t="n">
        <f aca="false">IFERROR(C176/B176,"")</f>
        <v>4.35643564356436</v>
      </c>
      <c r="F176" s="26" t="n">
        <f aca="false">IFERROR(D176/B176,"")</f>
        <v>4.35643564356436</v>
      </c>
      <c r="G176" s="0" t="str">
        <f aca="false">Q176</f>
        <v>1</v>
      </c>
      <c r="H176" s="0" t="str">
        <f aca="false">IFERROR(LEFT(G176,1),"")</f>
        <v>1</v>
      </c>
      <c r="I176" s="0" t="n">
        <f aca="false">IF(LEN(G176)&gt;1,1,0)</f>
        <v>0</v>
      </c>
      <c r="J176" s="4" t="n">
        <v>45854</v>
      </c>
      <c r="K176" s="0" t="s">
        <v>10</v>
      </c>
      <c r="L176" s="0" t="s">
        <v>91</v>
      </c>
      <c r="M176" s="0" t="s">
        <v>226</v>
      </c>
      <c r="N176" s="0" t="s">
        <v>93</v>
      </c>
      <c r="O176" s="0" t="s">
        <v>1082</v>
      </c>
      <c r="Q176" s="0" t="s">
        <v>242</v>
      </c>
      <c r="R176" s="0" t="n">
        <v>1</v>
      </c>
      <c r="S176" s="5" t="n">
        <v>505</v>
      </c>
      <c r="T176" s="0" t="s">
        <v>243</v>
      </c>
      <c r="U176" s="0" t="n">
        <v>0</v>
      </c>
      <c r="V176" s="0" t="s">
        <v>230</v>
      </c>
      <c r="W176" s="0" t="s">
        <v>244</v>
      </c>
      <c r="X176" s="0" t="s">
        <v>232</v>
      </c>
      <c r="Y176" s="0" t="s">
        <v>253</v>
      </c>
      <c r="Z176" s="0" t="s">
        <v>234</v>
      </c>
      <c r="AA176" s="0" t="s">
        <v>235</v>
      </c>
      <c r="AB176" s="32" t="n">
        <v>2200</v>
      </c>
      <c r="AC176" s="32" t="n">
        <v>2200</v>
      </c>
      <c r="AD176" s="26" t="n">
        <f aca="false">IFERROR(AB176/B176,"")</f>
        <v>4.35643564356436</v>
      </c>
      <c r="AE176" s="26" t="n">
        <f aca="false">IFERROR(AC176/B176,"")</f>
        <v>4.35643564356436</v>
      </c>
      <c r="AF176" s="0" t="s">
        <v>236</v>
      </c>
      <c r="AG176" s="0" t="s">
        <v>236</v>
      </c>
      <c r="AH176" s="0" t="s">
        <v>230</v>
      </c>
      <c r="AI176" s="0" t="s">
        <v>1074</v>
      </c>
      <c r="AJ176" s="0" t="s">
        <v>1083</v>
      </c>
      <c r="AK176" s="0" t="s">
        <v>1084</v>
      </c>
      <c r="AL176" s="0" t="s">
        <v>1085</v>
      </c>
      <c r="AM176" s="0" t="s">
        <v>94</v>
      </c>
      <c r="AN176" s="26" t="n">
        <f aca="false">IFERROR(E176*(1+IF(AM176="Apartment",Data_Summary!$C$3,0)),"")</f>
        <v>4.35643564356436</v>
      </c>
      <c r="AO176" s="4" t="n">
        <v>46195</v>
      </c>
    </row>
    <row r="177" customFormat="false" ht="15" hidden="false" customHeight="false" outlineLevel="0" collapsed="false">
      <c r="A177" s="0" t="n">
        <f aca="false">IF(AND(ISNUMBER(B177),B177&gt;0,ISNUMBER(AB177),AB177&gt;0,J177&gt;=Data_Summary!$C$1),1,0)</f>
        <v>1</v>
      </c>
      <c r="B177" s="30" t="n">
        <v>492</v>
      </c>
      <c r="C177" s="5" t="n">
        <f aca="false">IF(ISNUMBER(AB177),AB177,"")</f>
        <v>2150</v>
      </c>
      <c r="D177" s="0" t="n">
        <f aca="false">IF(ISNUMBER(C177),C177-U177*Data_Summary!$C$2,"")</f>
        <v>2150</v>
      </c>
      <c r="E177" s="31" t="n">
        <f aca="false">IFERROR(C177/B177,"")</f>
        <v>4.36991869918699</v>
      </c>
      <c r="F177" s="26" t="n">
        <f aca="false">IFERROR(D177/B177,"")</f>
        <v>4.36991869918699</v>
      </c>
      <c r="G177" s="0" t="str">
        <f aca="false">Q177</f>
        <v>1</v>
      </c>
      <c r="H177" s="0" t="str">
        <f aca="false">IFERROR(LEFT(G177,1),"")</f>
        <v>1</v>
      </c>
      <c r="I177" s="0" t="n">
        <f aca="false">IF(LEN(G177)&gt;1,1,0)</f>
        <v>0</v>
      </c>
      <c r="J177" s="4" t="n">
        <v>45853</v>
      </c>
      <c r="K177" s="0" t="s">
        <v>10</v>
      </c>
      <c r="L177" s="0" t="s">
        <v>91</v>
      </c>
      <c r="M177" s="0" t="s">
        <v>226</v>
      </c>
      <c r="N177" s="0" t="s">
        <v>93</v>
      </c>
      <c r="O177" s="0" t="s">
        <v>1086</v>
      </c>
      <c r="Q177" s="0" t="s">
        <v>242</v>
      </c>
      <c r="R177" s="0" t="n">
        <v>1</v>
      </c>
      <c r="S177" s="5" t="n">
        <v>492</v>
      </c>
      <c r="T177" s="0" t="s">
        <v>303</v>
      </c>
      <c r="U177" s="0" t="n">
        <v>0</v>
      </c>
      <c r="V177" s="0" t="s">
        <v>230</v>
      </c>
      <c r="W177" s="0" t="s">
        <v>231</v>
      </c>
      <c r="X177" s="0" t="s">
        <v>232</v>
      </c>
      <c r="Y177" s="0" t="s">
        <v>253</v>
      </c>
      <c r="Z177" s="0" t="s">
        <v>234</v>
      </c>
      <c r="AA177" s="0" t="s">
        <v>235</v>
      </c>
      <c r="AB177" s="32" t="n">
        <v>2150</v>
      </c>
      <c r="AC177" s="32" t="n">
        <v>2150</v>
      </c>
      <c r="AD177" s="26" t="n">
        <f aca="false">IFERROR(AB177/B177,"")</f>
        <v>4.36991869918699</v>
      </c>
      <c r="AE177" s="26" t="n">
        <f aca="false">IFERROR(AC177/B177,"")</f>
        <v>4.36991869918699</v>
      </c>
      <c r="AF177" s="0" t="s">
        <v>236</v>
      </c>
      <c r="AG177" s="0" t="s">
        <v>236</v>
      </c>
      <c r="AH177" s="0" t="s">
        <v>230</v>
      </c>
      <c r="AI177" s="0" t="s">
        <v>1087</v>
      </c>
      <c r="AJ177" s="0" t="s">
        <v>1088</v>
      </c>
      <c r="AK177" s="0" t="s">
        <v>1089</v>
      </c>
      <c r="AL177" s="0" t="s">
        <v>1090</v>
      </c>
      <c r="AM177" s="0" t="s">
        <v>94</v>
      </c>
      <c r="AN177" s="26" t="n">
        <f aca="false">IFERROR(E177*(1+IF(AM177="Apartment",Data_Summary!$C$3,0)),"")</f>
        <v>4.36991869918699</v>
      </c>
      <c r="AO177" s="4" t="n">
        <v>46195</v>
      </c>
    </row>
    <row r="178" customFormat="false" ht="15" hidden="false" customHeight="false" outlineLevel="0" collapsed="false">
      <c r="A178" s="0" t="n">
        <f aca="false">IF(AND(ISNUMBER(B178),B178&gt;0,ISNUMBER(AB178),AB178&gt;0,J178&gt;=Data_Summary!$C$1),1,0)</f>
        <v>1</v>
      </c>
      <c r="B178" s="30" t="n">
        <v>505</v>
      </c>
      <c r="C178" s="5" t="n">
        <f aca="false">IF(ISNUMBER(AB178),AB178,"")</f>
        <v>2200</v>
      </c>
      <c r="D178" s="0" t="n">
        <f aca="false">IF(ISNUMBER(C178),C178-U178*Data_Summary!$C$2,"")</f>
        <v>2200</v>
      </c>
      <c r="E178" s="31" t="n">
        <f aca="false">IFERROR(C178/B178,"")</f>
        <v>4.35643564356436</v>
      </c>
      <c r="F178" s="26" t="n">
        <f aca="false">IFERROR(D178/B178,"")</f>
        <v>4.35643564356436</v>
      </c>
      <c r="G178" s="0" t="str">
        <f aca="false">Q178</f>
        <v>1</v>
      </c>
      <c r="H178" s="0" t="str">
        <f aca="false">IFERROR(LEFT(G178,1),"")</f>
        <v>1</v>
      </c>
      <c r="I178" s="0" t="n">
        <f aca="false">IF(LEN(G178)&gt;1,1,0)</f>
        <v>0</v>
      </c>
      <c r="J178" s="4" t="n">
        <v>45853</v>
      </c>
      <c r="K178" s="0" t="s">
        <v>10</v>
      </c>
      <c r="L178" s="0" t="s">
        <v>91</v>
      </c>
      <c r="M178" s="0" t="s">
        <v>226</v>
      </c>
      <c r="N178" s="0" t="s">
        <v>93</v>
      </c>
      <c r="O178" s="0" t="s">
        <v>1091</v>
      </c>
      <c r="Q178" s="0" t="s">
        <v>242</v>
      </c>
      <c r="R178" s="0" t="n">
        <v>1</v>
      </c>
      <c r="S178" s="5" t="n">
        <v>505</v>
      </c>
      <c r="T178" s="0" t="s">
        <v>243</v>
      </c>
      <c r="U178" s="0" t="n">
        <v>0</v>
      </c>
      <c r="V178" s="0" t="s">
        <v>230</v>
      </c>
      <c r="W178" s="0" t="s">
        <v>244</v>
      </c>
      <c r="X178" s="0" t="s">
        <v>232</v>
      </c>
      <c r="Y178" s="0" t="s">
        <v>253</v>
      </c>
      <c r="Z178" s="0" t="s">
        <v>234</v>
      </c>
      <c r="AA178" s="0" t="s">
        <v>235</v>
      </c>
      <c r="AB178" s="32" t="n">
        <v>2200</v>
      </c>
      <c r="AC178" s="32" t="n">
        <v>2230</v>
      </c>
      <c r="AD178" s="26" t="n">
        <f aca="false">IFERROR(AB178/B178,"")</f>
        <v>4.35643564356436</v>
      </c>
      <c r="AE178" s="26" t="n">
        <f aca="false">IFERROR(AC178/B178,"")</f>
        <v>4.41584158415842</v>
      </c>
      <c r="AF178" s="0" t="s">
        <v>236</v>
      </c>
      <c r="AG178" s="0" t="s">
        <v>236</v>
      </c>
      <c r="AH178" s="0" t="s">
        <v>230</v>
      </c>
      <c r="AI178" s="0" t="s">
        <v>1087</v>
      </c>
      <c r="AJ178" s="0" t="s">
        <v>1092</v>
      </c>
      <c r="AK178" s="0" t="s">
        <v>1093</v>
      </c>
      <c r="AL178" s="0" t="s">
        <v>1094</v>
      </c>
      <c r="AM178" s="0" t="s">
        <v>94</v>
      </c>
      <c r="AN178" s="26" t="n">
        <f aca="false">IFERROR(E178*(1+IF(AM178="Apartment",Data_Summary!$C$3,0)),"")</f>
        <v>4.35643564356436</v>
      </c>
      <c r="AO178" s="4" t="n">
        <v>46195</v>
      </c>
    </row>
    <row r="179" customFormat="false" ht="15" hidden="false" customHeight="false" outlineLevel="0" collapsed="false">
      <c r="A179" s="0" t="n">
        <f aca="false">IF(AND(ISNUMBER(B179),B179&gt;0,ISNUMBER(AB179),AB179&gt;0,J179&gt;=Data_Summary!$C$1),1,0)</f>
        <v>1</v>
      </c>
      <c r="B179" s="30" t="n">
        <v>492</v>
      </c>
      <c r="C179" s="5" t="n">
        <f aca="false">IF(ISNUMBER(AB179),AB179,"")</f>
        <v>2150</v>
      </c>
      <c r="D179" s="0" t="n">
        <f aca="false">IF(ISNUMBER(C179),C179-U179*Data_Summary!$C$2,"")</f>
        <v>2150</v>
      </c>
      <c r="E179" s="31" t="n">
        <f aca="false">IFERROR(C179/B179,"")</f>
        <v>4.36991869918699</v>
      </c>
      <c r="F179" s="26" t="n">
        <f aca="false">IFERROR(D179/B179,"")</f>
        <v>4.36991869918699</v>
      </c>
      <c r="G179" s="0" t="str">
        <f aca="false">Q179</f>
        <v>1</v>
      </c>
      <c r="H179" s="0" t="str">
        <f aca="false">IFERROR(LEFT(G179,1),"")</f>
        <v>1</v>
      </c>
      <c r="I179" s="0" t="n">
        <f aca="false">IF(LEN(G179)&gt;1,1,0)</f>
        <v>0</v>
      </c>
      <c r="J179" s="4" t="n">
        <v>45852</v>
      </c>
      <c r="K179" s="0" t="s">
        <v>10</v>
      </c>
      <c r="L179" s="0" t="s">
        <v>91</v>
      </c>
      <c r="M179" s="0" t="s">
        <v>226</v>
      </c>
      <c r="N179" s="0" t="s">
        <v>93</v>
      </c>
      <c r="O179" s="0" t="s">
        <v>1095</v>
      </c>
      <c r="Q179" s="0" t="s">
        <v>242</v>
      </c>
      <c r="R179" s="0" t="n">
        <v>1</v>
      </c>
      <c r="S179" s="5" t="n">
        <v>492</v>
      </c>
      <c r="T179" s="0" t="s">
        <v>303</v>
      </c>
      <c r="U179" s="0" t="n">
        <v>0</v>
      </c>
      <c r="V179" s="0" t="s">
        <v>230</v>
      </c>
      <c r="W179" s="0" t="s">
        <v>244</v>
      </c>
      <c r="X179" s="0" t="s">
        <v>232</v>
      </c>
      <c r="Y179" s="0" t="s">
        <v>253</v>
      </c>
      <c r="Z179" s="0" t="s">
        <v>234</v>
      </c>
      <c r="AA179" s="0" t="s">
        <v>235</v>
      </c>
      <c r="AB179" s="32" t="n">
        <v>2150</v>
      </c>
      <c r="AC179" s="32" t="n">
        <v>2150</v>
      </c>
      <c r="AD179" s="26" t="n">
        <f aca="false">IFERROR(AB179/B179,"")</f>
        <v>4.36991869918699</v>
      </c>
      <c r="AE179" s="26" t="n">
        <f aca="false">IFERROR(AC179/B179,"")</f>
        <v>4.36991869918699</v>
      </c>
      <c r="AF179" s="0" t="s">
        <v>236</v>
      </c>
      <c r="AG179" s="0" t="s">
        <v>236</v>
      </c>
      <c r="AH179" s="0" t="s">
        <v>230</v>
      </c>
      <c r="AI179" s="0" t="s">
        <v>1096</v>
      </c>
      <c r="AJ179" s="0" t="s">
        <v>1097</v>
      </c>
      <c r="AK179" s="0" t="s">
        <v>1098</v>
      </c>
      <c r="AL179" s="0" t="s">
        <v>1099</v>
      </c>
      <c r="AM179" s="0" t="s">
        <v>94</v>
      </c>
      <c r="AN179" s="26" t="n">
        <f aca="false">IFERROR(E179*(1+IF(AM179="Apartment",Data_Summary!$C$3,0)),"")</f>
        <v>4.36991869918699</v>
      </c>
      <c r="AO179" s="4" t="n">
        <v>46195</v>
      </c>
    </row>
    <row r="180" customFormat="false" ht="15" hidden="false" customHeight="false" outlineLevel="0" collapsed="false">
      <c r="A180" s="0" t="n">
        <f aca="false">IF(AND(ISNUMBER(B180),B180&gt;0,ISNUMBER(AB180),AB180&gt;0,J180&gt;=Data_Summary!$C$1),1,0)</f>
        <v>1</v>
      </c>
      <c r="B180" s="30" t="n">
        <v>492</v>
      </c>
      <c r="C180" s="5" t="n">
        <f aca="false">IF(ISNUMBER(AB180),AB180,"")</f>
        <v>2150</v>
      </c>
      <c r="D180" s="0" t="n">
        <f aca="false">IF(ISNUMBER(C180),C180-U180*Data_Summary!$C$2,"")</f>
        <v>2150</v>
      </c>
      <c r="E180" s="31" t="n">
        <f aca="false">IFERROR(C180/B180,"")</f>
        <v>4.36991869918699</v>
      </c>
      <c r="F180" s="26" t="n">
        <f aca="false">IFERROR(D180/B180,"")</f>
        <v>4.36991869918699</v>
      </c>
      <c r="G180" s="0" t="str">
        <f aca="false">Q180</f>
        <v>1</v>
      </c>
      <c r="H180" s="0" t="str">
        <f aca="false">IFERROR(LEFT(G180,1),"")</f>
        <v>1</v>
      </c>
      <c r="I180" s="0" t="n">
        <f aca="false">IF(LEN(G180)&gt;1,1,0)</f>
        <v>0</v>
      </c>
      <c r="J180" s="4" t="n">
        <v>45852</v>
      </c>
      <c r="K180" s="0" t="s">
        <v>10</v>
      </c>
      <c r="L180" s="0" t="s">
        <v>91</v>
      </c>
      <c r="M180" s="0" t="s">
        <v>226</v>
      </c>
      <c r="N180" s="0" t="s">
        <v>93</v>
      </c>
      <c r="O180" s="0" t="s">
        <v>1100</v>
      </c>
      <c r="Q180" s="0" t="s">
        <v>242</v>
      </c>
      <c r="R180" s="0" t="n">
        <v>1</v>
      </c>
      <c r="S180" s="5" t="n">
        <v>492</v>
      </c>
      <c r="T180" s="0" t="s">
        <v>303</v>
      </c>
      <c r="U180" s="0" t="n">
        <v>0</v>
      </c>
      <c r="V180" s="0" t="s">
        <v>230</v>
      </c>
      <c r="W180" s="0" t="s">
        <v>244</v>
      </c>
      <c r="X180" s="0" t="s">
        <v>232</v>
      </c>
      <c r="Y180" s="0" t="s">
        <v>272</v>
      </c>
      <c r="Z180" s="0" t="s">
        <v>234</v>
      </c>
      <c r="AA180" s="0" t="s">
        <v>235</v>
      </c>
      <c r="AB180" s="32" t="n">
        <v>2150</v>
      </c>
      <c r="AC180" s="32" t="n">
        <v>2200</v>
      </c>
      <c r="AD180" s="26" t="n">
        <f aca="false">IFERROR(AB180/B180,"")</f>
        <v>4.36991869918699</v>
      </c>
      <c r="AE180" s="26" t="n">
        <f aca="false">IFERROR(AC180/B180,"")</f>
        <v>4.47154471544716</v>
      </c>
      <c r="AF180" s="0" t="s">
        <v>236</v>
      </c>
      <c r="AG180" s="0" t="s">
        <v>236</v>
      </c>
      <c r="AH180" s="0" t="s">
        <v>230</v>
      </c>
      <c r="AI180" s="0" t="s">
        <v>1096</v>
      </c>
      <c r="AJ180" s="0" t="s">
        <v>1101</v>
      </c>
      <c r="AK180" s="0" t="s">
        <v>1102</v>
      </c>
      <c r="AL180" s="0" t="s">
        <v>1099</v>
      </c>
      <c r="AM180" s="0" t="s">
        <v>94</v>
      </c>
      <c r="AN180" s="26" t="n">
        <f aca="false">IFERROR(E180*(1+IF(AM180="Apartment",Data_Summary!$C$3,0)),"")</f>
        <v>4.36991869918699</v>
      </c>
      <c r="AO180" s="4" t="n">
        <v>46195</v>
      </c>
    </row>
    <row r="181" customFormat="false" ht="15" hidden="false" customHeight="false" outlineLevel="0" collapsed="false">
      <c r="A181" s="0" t="n">
        <f aca="false">IF(AND(ISNUMBER(B181),B181&gt;0,ISNUMBER(AB181),AB181&gt;0,J181&gt;=Data_Summary!$C$1),1,0)</f>
        <v>1</v>
      </c>
      <c r="B181" s="30" t="n">
        <v>492</v>
      </c>
      <c r="C181" s="5" t="n">
        <f aca="false">IF(ISNUMBER(AB181),AB181,"")</f>
        <v>2150</v>
      </c>
      <c r="D181" s="0" t="n">
        <f aca="false">IF(ISNUMBER(C181),C181-U181*Data_Summary!$C$2,"")</f>
        <v>2150</v>
      </c>
      <c r="E181" s="31" t="n">
        <f aca="false">IFERROR(C181/B181,"")</f>
        <v>4.36991869918699</v>
      </c>
      <c r="F181" s="26" t="n">
        <f aca="false">IFERROR(D181/B181,"")</f>
        <v>4.36991869918699</v>
      </c>
      <c r="G181" s="0" t="str">
        <f aca="false">Q181</f>
        <v>1</v>
      </c>
      <c r="H181" s="0" t="str">
        <f aca="false">IFERROR(LEFT(G181,1),"")</f>
        <v>1</v>
      </c>
      <c r="I181" s="0" t="n">
        <f aca="false">IF(LEN(G181)&gt;1,1,0)</f>
        <v>0</v>
      </c>
      <c r="J181" s="4" t="n">
        <v>45850</v>
      </c>
      <c r="K181" s="0" t="s">
        <v>10</v>
      </c>
      <c r="L181" s="0" t="s">
        <v>91</v>
      </c>
      <c r="M181" s="0" t="s">
        <v>226</v>
      </c>
      <c r="N181" s="0" t="s">
        <v>93</v>
      </c>
      <c r="O181" s="0" t="s">
        <v>322</v>
      </c>
      <c r="Q181" s="0" t="s">
        <v>242</v>
      </c>
      <c r="R181" s="0" t="n">
        <v>1</v>
      </c>
      <c r="S181" s="5" t="n">
        <v>492</v>
      </c>
      <c r="T181" s="0" t="s">
        <v>303</v>
      </c>
      <c r="U181" s="0" t="n">
        <v>0</v>
      </c>
      <c r="V181" s="0" t="s">
        <v>230</v>
      </c>
      <c r="W181" s="0" t="s">
        <v>244</v>
      </c>
      <c r="X181" s="0" t="s">
        <v>232</v>
      </c>
      <c r="Y181" s="0" t="s">
        <v>253</v>
      </c>
      <c r="Z181" s="0" t="s">
        <v>234</v>
      </c>
      <c r="AA181" s="0" t="s">
        <v>235</v>
      </c>
      <c r="AB181" s="32" t="n">
        <v>2150</v>
      </c>
      <c r="AC181" s="32" t="n">
        <v>2150</v>
      </c>
      <c r="AD181" s="26" t="n">
        <f aca="false">IFERROR(AB181/B181,"")</f>
        <v>4.36991869918699</v>
      </c>
      <c r="AE181" s="26" t="n">
        <f aca="false">IFERROR(AC181/B181,"")</f>
        <v>4.36991869918699</v>
      </c>
      <c r="AF181" s="0" t="s">
        <v>236</v>
      </c>
      <c r="AG181" s="0" t="s">
        <v>236</v>
      </c>
      <c r="AH181" s="0" t="s">
        <v>230</v>
      </c>
      <c r="AI181" s="0" t="s">
        <v>1103</v>
      </c>
      <c r="AJ181" s="0" t="s">
        <v>1104</v>
      </c>
      <c r="AK181" s="0" t="s">
        <v>1105</v>
      </c>
      <c r="AL181" s="0" t="s">
        <v>1106</v>
      </c>
      <c r="AM181" s="0" t="s">
        <v>94</v>
      </c>
      <c r="AN181" s="26" t="n">
        <f aca="false">IFERROR(E181*(1+IF(AM181="Apartment",Data_Summary!$C$3,0)),"")</f>
        <v>4.36991869918699</v>
      </c>
      <c r="AO181" s="4" t="n">
        <v>46195</v>
      </c>
    </row>
    <row r="182" customFormat="false" ht="15" hidden="false" customHeight="false" outlineLevel="0" collapsed="false">
      <c r="A182" s="0" t="n">
        <f aca="false">IF(AND(ISNUMBER(B182),B182&gt;0,ISNUMBER(AB182),AB182&gt;0,J182&gt;=Data_Summary!$C$1),1,0)</f>
        <v>1</v>
      </c>
      <c r="B182" s="33" t="n">
        <v>650</v>
      </c>
      <c r="C182" s="5" t="n">
        <f aca="false">IF(ISNUMBER(AB182),AB182,"")</f>
        <v>2700</v>
      </c>
      <c r="D182" s="0" t="n">
        <f aca="false">IF(ISNUMBER(C182),C182-U182*Data_Summary!$C$2,"")</f>
        <v>2700</v>
      </c>
      <c r="E182" s="34" t="n">
        <f aca="false">IFERROR(C182/B182,"")</f>
        <v>4.15384615384615</v>
      </c>
      <c r="F182" s="26" t="n">
        <f aca="false">IFERROR(D182/B182,"")</f>
        <v>4.15384615384615</v>
      </c>
      <c r="G182" s="0" t="str">
        <f aca="false">Q182</f>
        <v>1+1</v>
      </c>
      <c r="H182" s="0" t="str">
        <f aca="false">IFERROR(LEFT(G182,1),"")</f>
        <v>1</v>
      </c>
      <c r="I182" s="0" t="n">
        <f aca="false">IF(LEN(G182)&gt;1,1,0)</f>
        <v>1</v>
      </c>
      <c r="J182" s="4" t="n">
        <v>45850</v>
      </c>
      <c r="K182" s="0" t="s">
        <v>10</v>
      </c>
      <c r="L182" s="0" t="s">
        <v>91</v>
      </c>
      <c r="M182" s="0" t="s">
        <v>226</v>
      </c>
      <c r="N182" s="0" t="s">
        <v>93</v>
      </c>
      <c r="O182" s="0" t="s">
        <v>1107</v>
      </c>
      <c r="Q182" s="0" t="s">
        <v>270</v>
      </c>
      <c r="R182" s="0" t="n">
        <v>1</v>
      </c>
      <c r="S182" s="5" t="n">
        <v>650</v>
      </c>
      <c r="T182" s="0" t="s">
        <v>243</v>
      </c>
      <c r="U182" s="0" t="n">
        <v>0</v>
      </c>
      <c r="V182" s="0" t="s">
        <v>230</v>
      </c>
      <c r="W182" s="0" t="s">
        <v>244</v>
      </c>
      <c r="X182" s="0" t="s">
        <v>232</v>
      </c>
      <c r="Y182" s="0" t="s">
        <v>278</v>
      </c>
      <c r="Z182" s="0" t="s">
        <v>234</v>
      </c>
      <c r="AA182" s="0" t="s">
        <v>235</v>
      </c>
      <c r="AB182" s="32" t="n">
        <v>2700</v>
      </c>
      <c r="AC182" s="32" t="n">
        <v>2700</v>
      </c>
      <c r="AD182" s="26" t="n">
        <f aca="false">IFERROR(AB182/B182,"")</f>
        <v>4.15384615384615</v>
      </c>
      <c r="AE182" s="26" t="n">
        <f aca="false">IFERROR(AC182/B182,"")</f>
        <v>4.15384615384615</v>
      </c>
      <c r="AF182" s="0" t="s">
        <v>236</v>
      </c>
      <c r="AG182" s="0" t="s">
        <v>236</v>
      </c>
      <c r="AH182" s="0" t="s">
        <v>230</v>
      </c>
      <c r="AI182" s="0" t="s">
        <v>1103</v>
      </c>
      <c r="AJ182" s="0" t="s">
        <v>1108</v>
      </c>
      <c r="AK182" s="0" t="s">
        <v>1109</v>
      </c>
      <c r="AL182" s="0" t="s">
        <v>1110</v>
      </c>
      <c r="AM182" s="0" t="s">
        <v>94</v>
      </c>
      <c r="AN182" s="26" t="n">
        <f aca="false">IFERROR(E182*(1+IF(AM182="Apartment",Data_Summary!$C$3,0)),"")</f>
        <v>4.15384615384615</v>
      </c>
      <c r="AO182" s="4" t="n">
        <v>46195</v>
      </c>
    </row>
    <row r="183" customFormat="false" ht="15" hidden="false" customHeight="false" outlineLevel="0" collapsed="false">
      <c r="A183" s="0" t="n">
        <f aca="false">IF(AND(ISNUMBER(B183),B183&gt;0,ISNUMBER(AB183),AB183&gt;0,J183&gt;=Data_Summary!$C$1),1,0)</f>
        <v>1</v>
      </c>
      <c r="B183" s="30" t="n">
        <v>505</v>
      </c>
      <c r="C183" s="5" t="n">
        <f aca="false">IF(ISNUMBER(AB183),AB183,"")</f>
        <v>2150</v>
      </c>
      <c r="D183" s="0" t="n">
        <f aca="false">IF(ISNUMBER(C183),C183-U183*Data_Summary!$C$2,"")</f>
        <v>2150</v>
      </c>
      <c r="E183" s="31" t="n">
        <f aca="false">IFERROR(C183/B183,"")</f>
        <v>4.25742574257426</v>
      </c>
      <c r="F183" s="26" t="n">
        <f aca="false">IFERROR(D183/B183,"")</f>
        <v>4.25742574257426</v>
      </c>
      <c r="G183" s="0" t="str">
        <f aca="false">Q183</f>
        <v>1</v>
      </c>
      <c r="H183" s="0" t="str">
        <f aca="false">IFERROR(LEFT(G183,1),"")</f>
        <v>1</v>
      </c>
      <c r="I183" s="0" t="n">
        <f aca="false">IF(LEN(G183)&gt;1,1,0)</f>
        <v>0</v>
      </c>
      <c r="J183" s="4" t="n">
        <v>45849</v>
      </c>
      <c r="K183" s="0" t="s">
        <v>10</v>
      </c>
      <c r="L183" s="0" t="s">
        <v>91</v>
      </c>
      <c r="M183" s="0" t="s">
        <v>226</v>
      </c>
      <c r="N183" s="0" t="s">
        <v>93</v>
      </c>
      <c r="O183" s="0" t="s">
        <v>886</v>
      </c>
      <c r="Q183" s="0" t="s">
        <v>242</v>
      </c>
      <c r="R183" s="0" t="n">
        <v>1</v>
      </c>
      <c r="S183" s="5" t="n">
        <v>505</v>
      </c>
      <c r="T183" s="0" t="s">
        <v>243</v>
      </c>
      <c r="U183" s="0" t="n">
        <v>0</v>
      </c>
      <c r="V183" s="0" t="s">
        <v>230</v>
      </c>
      <c r="W183" s="0" t="s">
        <v>244</v>
      </c>
      <c r="X183" s="0" t="s">
        <v>232</v>
      </c>
      <c r="Y183" s="0" t="s">
        <v>253</v>
      </c>
      <c r="Z183" s="0" t="s">
        <v>234</v>
      </c>
      <c r="AA183" s="0" t="s">
        <v>235</v>
      </c>
      <c r="AB183" s="32" t="n">
        <v>2150</v>
      </c>
      <c r="AC183" s="32" t="n">
        <v>2190</v>
      </c>
      <c r="AD183" s="26" t="n">
        <f aca="false">IFERROR(AB183/B183,"")</f>
        <v>4.25742574257426</v>
      </c>
      <c r="AE183" s="26" t="n">
        <f aca="false">IFERROR(AC183/B183,"")</f>
        <v>4.33663366336634</v>
      </c>
      <c r="AF183" s="0" t="s">
        <v>236</v>
      </c>
      <c r="AG183" s="0" t="s">
        <v>236</v>
      </c>
      <c r="AH183" s="0" t="s">
        <v>230</v>
      </c>
      <c r="AI183" s="0" t="s">
        <v>1111</v>
      </c>
      <c r="AJ183" s="0" t="s">
        <v>1112</v>
      </c>
      <c r="AK183" s="0" t="s">
        <v>1113</v>
      </c>
      <c r="AL183" s="0" t="s">
        <v>1114</v>
      </c>
      <c r="AM183" s="0" t="s">
        <v>94</v>
      </c>
      <c r="AN183" s="26" t="n">
        <f aca="false">IFERROR(E183*(1+IF(AM183="Apartment",Data_Summary!$C$3,0)),"")</f>
        <v>4.25742574257426</v>
      </c>
      <c r="AO183" s="4" t="n">
        <v>46195</v>
      </c>
    </row>
    <row r="184" customFormat="false" ht="15" hidden="false" customHeight="false" outlineLevel="0" collapsed="false">
      <c r="A184" s="0" t="n">
        <f aca="false">IF(AND(ISNUMBER(B184),B184&gt;0,ISNUMBER(AB184),AB184&gt;0,J184&gt;=Data_Summary!$C$1),1,0)</f>
        <v>1</v>
      </c>
      <c r="B184" s="30" t="n">
        <v>505</v>
      </c>
      <c r="C184" s="5" t="n">
        <f aca="false">IF(ISNUMBER(AB184),AB184,"")</f>
        <v>2200</v>
      </c>
      <c r="D184" s="0" t="n">
        <f aca="false">IF(ISNUMBER(C184),C184-U184*Data_Summary!$C$2,"")</f>
        <v>2200</v>
      </c>
      <c r="E184" s="31" t="n">
        <f aca="false">IFERROR(C184/B184,"")</f>
        <v>4.35643564356436</v>
      </c>
      <c r="F184" s="26" t="n">
        <f aca="false">IFERROR(D184/B184,"")</f>
        <v>4.35643564356436</v>
      </c>
      <c r="G184" s="0" t="str">
        <f aca="false">Q184</f>
        <v>1</v>
      </c>
      <c r="H184" s="0" t="str">
        <f aca="false">IFERROR(LEFT(G184,1),"")</f>
        <v>1</v>
      </c>
      <c r="I184" s="0" t="n">
        <f aca="false">IF(LEN(G184)&gt;1,1,0)</f>
        <v>0</v>
      </c>
      <c r="J184" s="4" t="n">
        <v>45849</v>
      </c>
      <c r="K184" s="0" t="s">
        <v>10</v>
      </c>
      <c r="L184" s="0" t="s">
        <v>91</v>
      </c>
      <c r="M184" s="0" t="s">
        <v>226</v>
      </c>
      <c r="N184" s="0" t="s">
        <v>93</v>
      </c>
      <c r="O184" s="0" t="s">
        <v>1115</v>
      </c>
      <c r="Q184" s="0" t="s">
        <v>242</v>
      </c>
      <c r="R184" s="0" t="n">
        <v>1</v>
      </c>
      <c r="S184" s="5" t="n">
        <v>505</v>
      </c>
      <c r="T184" s="0" t="s">
        <v>243</v>
      </c>
      <c r="U184" s="0" t="n">
        <v>0</v>
      </c>
      <c r="V184" s="0" t="s">
        <v>230</v>
      </c>
      <c r="W184" s="0" t="s">
        <v>244</v>
      </c>
      <c r="X184" s="0" t="s">
        <v>232</v>
      </c>
      <c r="Y184" s="0" t="s">
        <v>253</v>
      </c>
      <c r="Z184" s="0" t="s">
        <v>234</v>
      </c>
      <c r="AA184" s="0" t="s">
        <v>235</v>
      </c>
      <c r="AB184" s="32" t="n">
        <v>2200</v>
      </c>
      <c r="AC184" s="32" t="n">
        <v>2225</v>
      </c>
      <c r="AD184" s="26" t="n">
        <f aca="false">IFERROR(AB184/B184,"")</f>
        <v>4.35643564356436</v>
      </c>
      <c r="AE184" s="26" t="n">
        <f aca="false">IFERROR(AC184/B184,"")</f>
        <v>4.40594059405941</v>
      </c>
      <c r="AF184" s="0" t="s">
        <v>236</v>
      </c>
      <c r="AG184" s="0" t="s">
        <v>236</v>
      </c>
      <c r="AH184" s="0" t="s">
        <v>230</v>
      </c>
      <c r="AI184" s="0" t="s">
        <v>1111</v>
      </c>
      <c r="AJ184" s="0" t="s">
        <v>1116</v>
      </c>
      <c r="AK184" s="0" t="s">
        <v>1117</v>
      </c>
      <c r="AL184" s="0" t="s">
        <v>1114</v>
      </c>
      <c r="AM184" s="0" t="s">
        <v>94</v>
      </c>
      <c r="AN184" s="26" t="n">
        <f aca="false">IFERROR(E184*(1+IF(AM184="Apartment",Data_Summary!$C$3,0)),"")</f>
        <v>4.35643564356436</v>
      </c>
      <c r="AO184" s="4" t="n">
        <v>46195</v>
      </c>
    </row>
    <row r="185" customFormat="false" ht="15" hidden="false" customHeight="false" outlineLevel="0" collapsed="false">
      <c r="A185" s="0" t="n">
        <f aca="false">IF(AND(ISNUMBER(B185),B185&gt;0,ISNUMBER(AB185),AB185&gt;0,J185&gt;=Data_Summary!$C$1),1,0)</f>
        <v>1</v>
      </c>
      <c r="B185" s="30" t="n">
        <v>622</v>
      </c>
      <c r="C185" s="5" t="n">
        <f aca="false">IF(ISNUMBER(AB185),AB185,"")</f>
        <v>2500</v>
      </c>
      <c r="D185" s="0" t="n">
        <f aca="false">IF(ISNUMBER(C185),C185-U185*Data_Summary!$C$2,"")</f>
        <v>2500</v>
      </c>
      <c r="E185" s="31" t="n">
        <f aca="false">IFERROR(C185/B185,"")</f>
        <v>4.01929260450161</v>
      </c>
      <c r="F185" s="26" t="n">
        <f aca="false">IFERROR(D185/B185,"")</f>
        <v>4.01929260450161</v>
      </c>
      <c r="G185" s="0" t="str">
        <f aca="false">Q185</f>
        <v>2</v>
      </c>
      <c r="H185" s="0" t="str">
        <f aca="false">IFERROR(LEFT(G185,1),"")</f>
        <v>2</v>
      </c>
      <c r="I185" s="0" t="n">
        <f aca="false">IF(LEN(G185)&gt;1,1,0)</f>
        <v>0</v>
      </c>
      <c r="J185" s="4" t="n">
        <v>45849</v>
      </c>
      <c r="K185" s="0" t="s">
        <v>10</v>
      </c>
      <c r="L185" s="0" t="s">
        <v>91</v>
      </c>
      <c r="M185" s="0" t="s">
        <v>226</v>
      </c>
      <c r="N185" s="0" t="s">
        <v>93</v>
      </c>
      <c r="O185" s="0" t="s">
        <v>1118</v>
      </c>
      <c r="Q185" s="0" t="s">
        <v>251</v>
      </c>
      <c r="R185" s="0" t="n">
        <v>2</v>
      </c>
      <c r="S185" s="5" t="n">
        <v>622</v>
      </c>
      <c r="T185" s="0" t="s">
        <v>271</v>
      </c>
      <c r="U185" s="0" t="n">
        <v>0</v>
      </c>
      <c r="V185" s="0" t="s">
        <v>230</v>
      </c>
      <c r="W185" s="0" t="s">
        <v>244</v>
      </c>
      <c r="X185" s="0" t="s">
        <v>232</v>
      </c>
      <c r="Y185" s="0" t="s">
        <v>278</v>
      </c>
      <c r="Z185" s="0" t="s">
        <v>234</v>
      </c>
      <c r="AA185" s="0" t="s">
        <v>235</v>
      </c>
      <c r="AB185" s="32" t="n">
        <v>2500</v>
      </c>
      <c r="AC185" s="32" t="n">
        <v>2830</v>
      </c>
      <c r="AD185" s="26" t="n">
        <f aca="false">IFERROR(AB185/B185,"")</f>
        <v>4.01929260450161</v>
      </c>
      <c r="AE185" s="26" t="n">
        <f aca="false">IFERROR(AC185/B185,"")</f>
        <v>4.54983922829582</v>
      </c>
      <c r="AF185" s="0" t="s">
        <v>236</v>
      </c>
      <c r="AG185" s="0" t="s">
        <v>236</v>
      </c>
      <c r="AH185" s="0" t="s">
        <v>230</v>
      </c>
      <c r="AI185" s="0" t="s">
        <v>1111</v>
      </c>
      <c r="AJ185" s="0" t="s">
        <v>1119</v>
      </c>
      <c r="AK185" s="0" t="s">
        <v>1120</v>
      </c>
      <c r="AL185" s="0" t="s">
        <v>1121</v>
      </c>
      <c r="AM185" s="0" t="s">
        <v>94</v>
      </c>
      <c r="AN185" s="26" t="n">
        <f aca="false">IFERROR(E185*(1+IF(AM185="Apartment",Data_Summary!$C$3,0)),"")</f>
        <v>4.01929260450161</v>
      </c>
      <c r="AO185" s="4" t="n">
        <v>46195</v>
      </c>
    </row>
    <row r="186" customFormat="false" ht="15" hidden="false" customHeight="false" outlineLevel="0" collapsed="false">
      <c r="A186" s="0" t="n">
        <f aca="false">IF(AND(ISNUMBER(B186),B186&gt;0,ISNUMBER(AB186),AB186&gt;0,J186&gt;=Data_Summary!$C$1),1,0)</f>
        <v>1</v>
      </c>
      <c r="B186" s="33" t="n">
        <v>600</v>
      </c>
      <c r="C186" s="5" t="n">
        <f aca="false">IF(ISNUMBER(AB186),AB186,"")</f>
        <v>2470</v>
      </c>
      <c r="D186" s="0" t="n">
        <f aca="false">IF(ISNUMBER(C186),C186-U186*Data_Summary!$C$2,"")</f>
        <v>2470</v>
      </c>
      <c r="E186" s="34" t="n">
        <f aca="false">IFERROR(C186/B186,"")</f>
        <v>4.11666666666667</v>
      </c>
      <c r="F186" s="26" t="n">
        <f aca="false">IFERROR(D186/B186,"")</f>
        <v>4.11666666666667</v>
      </c>
      <c r="G186" s="0" t="str">
        <f aca="false">Q186</f>
        <v>1</v>
      </c>
      <c r="H186" s="0" t="str">
        <f aca="false">IFERROR(LEFT(G186,1),"")</f>
        <v>1</v>
      </c>
      <c r="I186" s="0" t="n">
        <f aca="false">IF(LEN(G186)&gt;1,1,0)</f>
        <v>0</v>
      </c>
      <c r="J186" s="4" t="n">
        <v>45847</v>
      </c>
      <c r="K186" s="0" t="s">
        <v>10</v>
      </c>
      <c r="L186" s="0" t="s">
        <v>91</v>
      </c>
      <c r="M186" s="0" t="s">
        <v>226</v>
      </c>
      <c r="N186" s="0" t="s">
        <v>93</v>
      </c>
      <c r="O186" s="0" t="s">
        <v>1122</v>
      </c>
      <c r="Q186" s="0" t="s">
        <v>242</v>
      </c>
      <c r="R186" s="0" t="n">
        <v>1</v>
      </c>
      <c r="S186" s="5" t="n">
        <v>600</v>
      </c>
      <c r="T186" s="0" t="s">
        <v>243</v>
      </c>
      <c r="U186" s="0" t="n">
        <v>0</v>
      </c>
      <c r="V186" s="0" t="s">
        <v>230</v>
      </c>
      <c r="W186" s="0" t="s">
        <v>244</v>
      </c>
      <c r="X186" s="0" t="s">
        <v>232</v>
      </c>
      <c r="Y186" s="0" t="s">
        <v>278</v>
      </c>
      <c r="Z186" s="0" t="s">
        <v>234</v>
      </c>
      <c r="AA186" s="0" t="s">
        <v>235</v>
      </c>
      <c r="AB186" s="32" t="n">
        <v>2470</v>
      </c>
      <c r="AC186" s="32" t="n">
        <v>2450</v>
      </c>
      <c r="AD186" s="26" t="n">
        <f aca="false">IFERROR(AB186/B186,"")</f>
        <v>4.11666666666667</v>
      </c>
      <c r="AE186" s="26" t="n">
        <f aca="false">IFERROR(AC186/B186,"")</f>
        <v>4.08333333333333</v>
      </c>
      <c r="AF186" s="0" t="s">
        <v>236</v>
      </c>
      <c r="AG186" s="0" t="s">
        <v>236</v>
      </c>
      <c r="AH186" s="0" t="s">
        <v>230</v>
      </c>
      <c r="AI186" s="0" t="s">
        <v>1123</v>
      </c>
      <c r="AJ186" s="0" t="s">
        <v>1124</v>
      </c>
      <c r="AK186" s="0" t="s">
        <v>1125</v>
      </c>
      <c r="AL186" s="0" t="s">
        <v>1126</v>
      </c>
      <c r="AM186" s="0" t="s">
        <v>94</v>
      </c>
      <c r="AN186" s="26" t="n">
        <f aca="false">IFERROR(E186*(1+IF(AM186="Apartment",Data_Summary!$C$3,0)),"")</f>
        <v>4.11666666666667</v>
      </c>
      <c r="AO186" s="4" t="n">
        <v>46195</v>
      </c>
    </row>
    <row r="187" customFormat="false" ht="15" hidden="false" customHeight="false" outlineLevel="0" collapsed="false">
      <c r="A187" s="0" t="n">
        <f aca="false">IF(AND(ISNUMBER(B187),B187&gt;0,ISNUMBER(AB187),AB187&gt;0,J187&gt;=Data_Summary!$C$1),1,0)</f>
        <v>1</v>
      </c>
      <c r="B187" s="30" t="n">
        <v>492</v>
      </c>
      <c r="C187" s="5" t="n">
        <f aca="false">IF(ISNUMBER(AB187),AB187,"")</f>
        <v>2100</v>
      </c>
      <c r="D187" s="0" t="n">
        <f aca="false">IF(ISNUMBER(C187),C187-U187*Data_Summary!$C$2,"")</f>
        <v>2100</v>
      </c>
      <c r="E187" s="31" t="n">
        <f aca="false">IFERROR(C187/B187,"")</f>
        <v>4.26829268292683</v>
      </c>
      <c r="F187" s="26" t="n">
        <f aca="false">IFERROR(D187/B187,"")</f>
        <v>4.26829268292683</v>
      </c>
      <c r="G187" s="0" t="str">
        <f aca="false">Q187</f>
        <v>1</v>
      </c>
      <c r="H187" s="0" t="str">
        <f aca="false">IFERROR(LEFT(G187,1),"")</f>
        <v>1</v>
      </c>
      <c r="I187" s="0" t="n">
        <f aca="false">IF(LEN(G187)&gt;1,1,0)</f>
        <v>0</v>
      </c>
      <c r="J187" s="4" t="n">
        <v>45847</v>
      </c>
      <c r="K187" s="0" t="s">
        <v>10</v>
      </c>
      <c r="L187" s="0" t="s">
        <v>91</v>
      </c>
      <c r="M187" s="0" t="s">
        <v>226</v>
      </c>
      <c r="N187" s="0" t="s">
        <v>93</v>
      </c>
      <c r="O187" s="0" t="s">
        <v>1127</v>
      </c>
      <c r="Q187" s="0" t="s">
        <v>242</v>
      </c>
      <c r="R187" s="0" t="n">
        <v>1</v>
      </c>
      <c r="S187" s="5" t="n">
        <v>492</v>
      </c>
      <c r="T187" s="0" t="s">
        <v>303</v>
      </c>
      <c r="U187" s="0" t="n">
        <v>0</v>
      </c>
      <c r="V187" s="0" t="s">
        <v>230</v>
      </c>
      <c r="W187" s="0" t="s">
        <v>244</v>
      </c>
      <c r="X187" s="0" t="s">
        <v>232</v>
      </c>
      <c r="Y187" s="0" t="s">
        <v>253</v>
      </c>
      <c r="Z187" s="0" t="s">
        <v>234</v>
      </c>
      <c r="AA187" s="0" t="s">
        <v>235</v>
      </c>
      <c r="AB187" s="32" t="n">
        <v>2100</v>
      </c>
      <c r="AC187" s="32" t="n">
        <v>2100</v>
      </c>
      <c r="AD187" s="26" t="n">
        <f aca="false">IFERROR(AB187/B187,"")</f>
        <v>4.26829268292683</v>
      </c>
      <c r="AE187" s="26" t="n">
        <f aca="false">IFERROR(AC187/B187,"")</f>
        <v>4.26829268292683</v>
      </c>
      <c r="AF187" s="0" t="s">
        <v>236</v>
      </c>
      <c r="AG187" s="0" t="s">
        <v>236</v>
      </c>
      <c r="AH187" s="0" t="s">
        <v>230</v>
      </c>
      <c r="AI187" s="0" t="s">
        <v>1123</v>
      </c>
      <c r="AJ187" s="0" t="s">
        <v>1128</v>
      </c>
      <c r="AK187" s="0" t="s">
        <v>1129</v>
      </c>
      <c r="AL187" s="0" t="s">
        <v>1130</v>
      </c>
      <c r="AM187" s="0" t="s">
        <v>94</v>
      </c>
      <c r="AN187" s="26" t="n">
        <f aca="false">IFERROR(E187*(1+IF(AM187="Apartment",Data_Summary!$C$3,0)),"")</f>
        <v>4.26829268292683</v>
      </c>
      <c r="AO187" s="4" t="n">
        <v>46195</v>
      </c>
    </row>
    <row r="188" customFormat="false" ht="15" hidden="false" customHeight="false" outlineLevel="0" collapsed="false">
      <c r="A188" s="0" t="n">
        <f aca="false">IF(AND(ISNUMBER(B188),B188&gt;0,ISNUMBER(AB188),AB188&gt;0,J188&gt;=Data_Summary!$C$1),1,0)</f>
        <v>1</v>
      </c>
      <c r="B188" s="30" t="n">
        <v>492</v>
      </c>
      <c r="C188" s="5" t="n">
        <f aca="false">IF(ISNUMBER(AB188),AB188,"")</f>
        <v>2150</v>
      </c>
      <c r="D188" s="0" t="n">
        <f aca="false">IF(ISNUMBER(C188),C188-U188*Data_Summary!$C$2,"")</f>
        <v>2150</v>
      </c>
      <c r="E188" s="31" t="n">
        <f aca="false">IFERROR(C188/B188,"")</f>
        <v>4.36991869918699</v>
      </c>
      <c r="F188" s="26" t="n">
        <f aca="false">IFERROR(D188/B188,"")</f>
        <v>4.36991869918699</v>
      </c>
      <c r="G188" s="0" t="str">
        <f aca="false">Q188</f>
        <v>1</v>
      </c>
      <c r="H188" s="0" t="str">
        <f aca="false">IFERROR(LEFT(G188,1),"")</f>
        <v>1</v>
      </c>
      <c r="I188" s="0" t="n">
        <f aca="false">IF(LEN(G188)&gt;1,1,0)</f>
        <v>0</v>
      </c>
      <c r="J188" s="4" t="n">
        <v>45847</v>
      </c>
      <c r="K188" s="0" t="s">
        <v>10</v>
      </c>
      <c r="L188" s="0" t="s">
        <v>91</v>
      </c>
      <c r="M188" s="0" t="s">
        <v>226</v>
      </c>
      <c r="N188" s="0" t="s">
        <v>93</v>
      </c>
      <c r="O188" s="0" t="s">
        <v>1131</v>
      </c>
      <c r="Q188" s="0" t="s">
        <v>242</v>
      </c>
      <c r="R188" s="0" t="n">
        <v>1</v>
      </c>
      <c r="S188" s="5" t="n">
        <v>492</v>
      </c>
      <c r="T188" s="0" t="s">
        <v>303</v>
      </c>
      <c r="U188" s="0" t="n">
        <v>0</v>
      </c>
      <c r="V188" s="0" t="s">
        <v>230</v>
      </c>
      <c r="W188" s="0" t="s">
        <v>244</v>
      </c>
      <c r="X188" s="0" t="s">
        <v>232</v>
      </c>
      <c r="Y188" s="0" t="s">
        <v>253</v>
      </c>
      <c r="Z188" s="0" t="s">
        <v>234</v>
      </c>
      <c r="AA188" s="0" t="s">
        <v>235</v>
      </c>
      <c r="AB188" s="32" t="n">
        <v>2150</v>
      </c>
      <c r="AC188" s="32" t="n">
        <v>2200</v>
      </c>
      <c r="AD188" s="26" t="n">
        <f aca="false">IFERROR(AB188/B188,"")</f>
        <v>4.36991869918699</v>
      </c>
      <c r="AE188" s="26" t="n">
        <f aca="false">IFERROR(AC188/B188,"")</f>
        <v>4.47154471544716</v>
      </c>
      <c r="AF188" s="0" t="s">
        <v>236</v>
      </c>
      <c r="AG188" s="0" t="s">
        <v>236</v>
      </c>
      <c r="AH188" s="0" t="s">
        <v>236</v>
      </c>
      <c r="AI188" s="0" t="s">
        <v>1123</v>
      </c>
      <c r="AJ188" s="0" t="s">
        <v>1132</v>
      </c>
      <c r="AK188" s="0" t="s">
        <v>1133</v>
      </c>
      <c r="AL188" s="0" t="s">
        <v>1130</v>
      </c>
      <c r="AM188" s="0" t="s">
        <v>94</v>
      </c>
      <c r="AN188" s="26" t="n">
        <f aca="false">IFERROR(E188*(1+IF(AM188="Apartment",Data_Summary!$C$3,0)),"")</f>
        <v>4.36991869918699</v>
      </c>
      <c r="AO188" s="4" t="n">
        <v>46195</v>
      </c>
    </row>
    <row r="189" customFormat="false" ht="15" hidden="false" customHeight="false" outlineLevel="0" collapsed="false">
      <c r="A189" s="0" t="n">
        <f aca="false">IF(AND(ISNUMBER(B189),B189&gt;0,ISNUMBER(AB189),AB189&gt;0,J189&gt;=Data_Summary!$C$1),1,0)</f>
        <v>1</v>
      </c>
      <c r="B189" s="33" t="n">
        <v>535</v>
      </c>
      <c r="C189" s="5" t="n">
        <f aca="false">IF(ISNUMBER(AB189),AB189,"")</f>
        <v>2850</v>
      </c>
      <c r="D189" s="0" t="n">
        <f aca="false">IF(ISNUMBER(C189),C189-U189*Data_Summary!$C$2,"")</f>
        <v>2850</v>
      </c>
      <c r="E189" s="34" t="n">
        <f aca="false">IFERROR(C189/B189,"")</f>
        <v>5.32710280373832</v>
      </c>
      <c r="F189" s="26" t="n">
        <f aca="false">IFERROR(D189/B189,"")</f>
        <v>5.32710280373832</v>
      </c>
      <c r="G189" s="0" t="str">
        <f aca="false">Q189</f>
        <v>1+1</v>
      </c>
      <c r="H189" s="0" t="str">
        <f aca="false">IFERROR(LEFT(G189,1),"")</f>
        <v>1</v>
      </c>
      <c r="I189" s="0" t="n">
        <f aca="false">IF(LEN(G189)&gt;1,1,0)</f>
        <v>1</v>
      </c>
      <c r="J189" s="4" t="n">
        <v>45846</v>
      </c>
      <c r="K189" s="0" t="s">
        <v>10</v>
      </c>
      <c r="L189" s="0" t="s">
        <v>91</v>
      </c>
      <c r="M189" s="0" t="s">
        <v>226</v>
      </c>
      <c r="N189" s="0" t="s">
        <v>93</v>
      </c>
      <c r="O189" s="0" t="s">
        <v>1134</v>
      </c>
      <c r="Q189" s="0" t="s">
        <v>270</v>
      </c>
      <c r="R189" s="0" t="n">
        <v>2</v>
      </c>
      <c r="S189" s="5" t="n">
        <v>535</v>
      </c>
      <c r="T189" s="0" t="s">
        <v>271</v>
      </c>
      <c r="U189" s="0" t="n">
        <v>0</v>
      </c>
      <c r="V189" s="0" t="s">
        <v>230</v>
      </c>
      <c r="W189" s="0" t="s">
        <v>244</v>
      </c>
      <c r="X189" s="0" t="s">
        <v>232</v>
      </c>
      <c r="Y189" s="0" t="s">
        <v>278</v>
      </c>
      <c r="Z189" s="0" t="s">
        <v>234</v>
      </c>
      <c r="AA189" s="0" t="s">
        <v>235</v>
      </c>
      <c r="AB189" s="32" t="n">
        <v>2850</v>
      </c>
      <c r="AC189" s="32" t="n">
        <v>2810</v>
      </c>
      <c r="AD189" s="26" t="n">
        <f aca="false">IFERROR(AB189/B189,"")</f>
        <v>5.32710280373832</v>
      </c>
      <c r="AE189" s="26" t="n">
        <f aca="false">IFERROR(AC189/B189,"")</f>
        <v>5.25233644859813</v>
      </c>
      <c r="AF189" s="0" t="s">
        <v>236</v>
      </c>
      <c r="AG189" s="0" t="s">
        <v>236</v>
      </c>
      <c r="AH189" s="0" t="s">
        <v>230</v>
      </c>
      <c r="AI189" s="0" t="s">
        <v>1135</v>
      </c>
      <c r="AJ189" s="0" t="s">
        <v>1136</v>
      </c>
      <c r="AK189" s="0" t="s">
        <v>1137</v>
      </c>
      <c r="AL189" s="0" t="s">
        <v>1138</v>
      </c>
      <c r="AM189" s="0" t="s">
        <v>94</v>
      </c>
      <c r="AN189" s="26" t="n">
        <f aca="false">IFERROR(E189*(1+IF(AM189="Apartment",Data_Summary!$C$3,0)),"")</f>
        <v>5.32710280373832</v>
      </c>
      <c r="AO189" s="4" t="n">
        <v>46195</v>
      </c>
    </row>
    <row r="190" customFormat="false" ht="15" hidden="false" customHeight="false" outlineLevel="0" collapsed="false">
      <c r="A190" s="0" t="n">
        <f aca="false">IF(AND(ISNUMBER(B190),B190&gt;0,ISNUMBER(AB190),AB190&gt;0,J190&gt;=Data_Summary!$C$1),1,0)</f>
        <v>1</v>
      </c>
      <c r="B190" s="33" t="n">
        <v>535</v>
      </c>
      <c r="C190" s="5" t="n">
        <f aca="false">IF(ISNUMBER(AB190),AB190,"")</f>
        <v>2700</v>
      </c>
      <c r="D190" s="0" t="n">
        <f aca="false">IF(ISNUMBER(C190),C190-U190*Data_Summary!$C$2,"")</f>
        <v>2700</v>
      </c>
      <c r="E190" s="34" t="n">
        <f aca="false">IFERROR(C190/B190,"")</f>
        <v>5.04672897196262</v>
      </c>
      <c r="F190" s="26" t="n">
        <f aca="false">IFERROR(D190/B190,"")</f>
        <v>5.04672897196262</v>
      </c>
      <c r="G190" s="0" t="str">
        <f aca="false">Q190</f>
        <v>1+1</v>
      </c>
      <c r="H190" s="0" t="str">
        <f aca="false">IFERROR(LEFT(G190,1),"")</f>
        <v>1</v>
      </c>
      <c r="I190" s="0" t="n">
        <f aca="false">IF(LEN(G190)&gt;1,1,0)</f>
        <v>1</v>
      </c>
      <c r="J190" s="4" t="n">
        <v>45846</v>
      </c>
      <c r="K190" s="0" t="s">
        <v>10</v>
      </c>
      <c r="L190" s="0" t="s">
        <v>91</v>
      </c>
      <c r="M190" s="0" t="s">
        <v>226</v>
      </c>
      <c r="N190" s="0" t="s">
        <v>93</v>
      </c>
      <c r="O190" s="0" t="s">
        <v>1139</v>
      </c>
      <c r="Q190" s="0" t="s">
        <v>270</v>
      </c>
      <c r="R190" s="0" t="n">
        <v>2</v>
      </c>
      <c r="S190" s="5" t="n">
        <v>535</v>
      </c>
      <c r="T190" s="0" t="s">
        <v>271</v>
      </c>
      <c r="U190" s="0" t="n">
        <v>0</v>
      </c>
      <c r="V190" s="0" t="s">
        <v>230</v>
      </c>
      <c r="W190" s="0" t="s">
        <v>244</v>
      </c>
      <c r="X190" s="0" t="s">
        <v>232</v>
      </c>
      <c r="Y190" s="0" t="s">
        <v>278</v>
      </c>
      <c r="Z190" s="0" t="s">
        <v>234</v>
      </c>
      <c r="AA190" s="0" t="s">
        <v>235</v>
      </c>
      <c r="AB190" s="32" t="n">
        <v>2700</v>
      </c>
      <c r="AC190" s="32" t="n">
        <v>2700</v>
      </c>
      <c r="AD190" s="26" t="n">
        <f aca="false">IFERROR(AB190/B190,"")</f>
        <v>5.04672897196262</v>
      </c>
      <c r="AE190" s="26" t="n">
        <f aca="false">IFERROR(AC190/B190,"")</f>
        <v>5.04672897196262</v>
      </c>
      <c r="AF190" s="0" t="s">
        <v>236</v>
      </c>
      <c r="AG190" s="0" t="s">
        <v>236</v>
      </c>
      <c r="AH190" s="0" t="s">
        <v>230</v>
      </c>
      <c r="AI190" s="0" t="s">
        <v>1135</v>
      </c>
      <c r="AJ190" s="0" t="s">
        <v>1140</v>
      </c>
      <c r="AK190" s="0" t="s">
        <v>1141</v>
      </c>
      <c r="AL190" s="0" t="s">
        <v>1138</v>
      </c>
      <c r="AM190" s="0" t="s">
        <v>94</v>
      </c>
      <c r="AN190" s="26" t="n">
        <f aca="false">IFERROR(E190*(1+IF(AM190="Apartment",Data_Summary!$C$3,0)),"")</f>
        <v>5.04672897196262</v>
      </c>
      <c r="AO190" s="4" t="n">
        <v>46195</v>
      </c>
    </row>
    <row r="191" customFormat="false" ht="15" hidden="false" customHeight="false" outlineLevel="0" collapsed="false">
      <c r="A191" s="0" t="n">
        <f aca="false">IF(AND(ISNUMBER(B191),B191&gt;0,ISNUMBER(AB191),AB191&gt;0,J191&gt;=Data_Summary!$C$1),1,0)</f>
        <v>1</v>
      </c>
      <c r="B191" s="30" t="n">
        <v>505</v>
      </c>
      <c r="C191" s="5" t="n">
        <f aca="false">IF(ISNUMBER(AB191),AB191,"")</f>
        <v>2100</v>
      </c>
      <c r="D191" s="0" t="n">
        <f aca="false">IF(ISNUMBER(C191),C191-U191*Data_Summary!$C$2,"")</f>
        <v>2100</v>
      </c>
      <c r="E191" s="31" t="n">
        <f aca="false">IFERROR(C191/B191,"")</f>
        <v>4.15841584158416</v>
      </c>
      <c r="F191" s="26" t="n">
        <f aca="false">IFERROR(D191/B191,"")</f>
        <v>4.15841584158416</v>
      </c>
      <c r="G191" s="0" t="str">
        <f aca="false">Q191</f>
        <v>1</v>
      </c>
      <c r="H191" s="0" t="str">
        <f aca="false">IFERROR(LEFT(G191,1),"")</f>
        <v>1</v>
      </c>
      <c r="I191" s="0" t="n">
        <f aca="false">IF(LEN(G191)&gt;1,1,0)</f>
        <v>0</v>
      </c>
      <c r="J191" s="4" t="n">
        <v>45845</v>
      </c>
      <c r="K191" s="0" t="s">
        <v>10</v>
      </c>
      <c r="L191" s="0" t="s">
        <v>91</v>
      </c>
      <c r="M191" s="0" t="s">
        <v>226</v>
      </c>
      <c r="N191" s="0" t="s">
        <v>93</v>
      </c>
      <c r="O191" s="0" t="s">
        <v>1142</v>
      </c>
      <c r="Q191" s="0" t="s">
        <v>242</v>
      </c>
      <c r="R191" s="0" t="n">
        <v>1</v>
      </c>
      <c r="S191" s="5" t="n">
        <v>505</v>
      </c>
      <c r="T191" s="0" t="s">
        <v>243</v>
      </c>
      <c r="U191" s="0" t="n">
        <v>0</v>
      </c>
      <c r="V191" s="0" t="s">
        <v>230</v>
      </c>
      <c r="W191" s="0" t="s">
        <v>244</v>
      </c>
      <c r="X191" s="0" t="s">
        <v>232</v>
      </c>
      <c r="Y191" s="0" t="s">
        <v>253</v>
      </c>
      <c r="Z191" s="0" t="s">
        <v>234</v>
      </c>
      <c r="AA191" s="0" t="s">
        <v>235</v>
      </c>
      <c r="AB191" s="32" t="n">
        <v>2100</v>
      </c>
      <c r="AC191" s="32" t="n">
        <v>2150</v>
      </c>
      <c r="AD191" s="26" t="n">
        <f aca="false">IFERROR(AB191/B191,"")</f>
        <v>4.15841584158416</v>
      </c>
      <c r="AE191" s="26" t="n">
        <f aca="false">IFERROR(AC191/B191,"")</f>
        <v>4.25742574257426</v>
      </c>
      <c r="AF191" s="0" t="s">
        <v>236</v>
      </c>
      <c r="AG191" s="0" t="s">
        <v>236</v>
      </c>
      <c r="AH191" s="0" t="s">
        <v>230</v>
      </c>
      <c r="AI191" s="0" t="s">
        <v>1143</v>
      </c>
      <c r="AJ191" s="0" t="s">
        <v>1144</v>
      </c>
      <c r="AK191" s="0" t="s">
        <v>1145</v>
      </c>
      <c r="AL191" s="0" t="s">
        <v>1146</v>
      </c>
      <c r="AM191" s="0" t="s">
        <v>94</v>
      </c>
      <c r="AN191" s="26" t="n">
        <f aca="false">IFERROR(E191*(1+IF(AM191="Apartment",Data_Summary!$C$3,0)),"")</f>
        <v>4.15841584158416</v>
      </c>
      <c r="AO191" s="4" t="n">
        <v>46195</v>
      </c>
    </row>
    <row r="192" customFormat="false" ht="15" hidden="false" customHeight="false" outlineLevel="0" collapsed="false">
      <c r="A192" s="0" t="n">
        <f aca="false">IF(AND(ISNUMBER(B192),B192&gt;0,ISNUMBER(AB192),AB192&gt;0,J192&gt;=Data_Summary!$C$1),1,0)</f>
        <v>1</v>
      </c>
      <c r="B192" s="33" t="n">
        <v>600</v>
      </c>
      <c r="C192" s="5" t="n">
        <f aca="false">IF(ISNUMBER(AB192),AB192,"")</f>
        <v>2525</v>
      </c>
      <c r="D192" s="0" t="n">
        <f aca="false">IF(ISNUMBER(C192),C192-U192*Data_Summary!$C$2,"")</f>
        <v>2525</v>
      </c>
      <c r="E192" s="34" t="n">
        <f aca="false">IFERROR(C192/B192,"")</f>
        <v>4.20833333333333</v>
      </c>
      <c r="F192" s="26" t="n">
        <f aca="false">IFERROR(D192/B192,"")</f>
        <v>4.20833333333333</v>
      </c>
      <c r="G192" s="0" t="str">
        <f aca="false">Q192</f>
        <v>1</v>
      </c>
      <c r="H192" s="0" t="str">
        <f aca="false">IFERROR(LEFT(G192,1),"")</f>
        <v>1</v>
      </c>
      <c r="I192" s="0" t="n">
        <f aca="false">IF(LEN(G192)&gt;1,1,0)</f>
        <v>0</v>
      </c>
      <c r="J192" s="4" t="n">
        <v>45844</v>
      </c>
      <c r="K192" s="0" t="s">
        <v>10</v>
      </c>
      <c r="L192" s="0" t="s">
        <v>91</v>
      </c>
      <c r="M192" s="0" t="s">
        <v>226</v>
      </c>
      <c r="N192" s="0" t="s">
        <v>93</v>
      </c>
      <c r="O192" s="0" t="s">
        <v>1147</v>
      </c>
      <c r="Q192" s="0" t="s">
        <v>242</v>
      </c>
      <c r="R192" s="0" t="n">
        <v>1</v>
      </c>
      <c r="S192" s="5" t="n">
        <v>600</v>
      </c>
      <c r="T192" s="0" t="s">
        <v>243</v>
      </c>
      <c r="U192" s="0" t="n">
        <v>0</v>
      </c>
      <c r="V192" s="0" t="s">
        <v>230</v>
      </c>
      <c r="W192" s="0" t="s">
        <v>244</v>
      </c>
      <c r="X192" s="0" t="s">
        <v>232</v>
      </c>
      <c r="Y192" s="0" t="s">
        <v>278</v>
      </c>
      <c r="Z192" s="0" t="s">
        <v>234</v>
      </c>
      <c r="AA192" s="0" t="s">
        <v>235</v>
      </c>
      <c r="AB192" s="32" t="n">
        <v>2525</v>
      </c>
      <c r="AC192" s="32" t="n">
        <v>2500</v>
      </c>
      <c r="AD192" s="26" t="n">
        <f aca="false">IFERROR(AB192/B192,"")</f>
        <v>4.20833333333333</v>
      </c>
      <c r="AE192" s="26" t="n">
        <f aca="false">IFERROR(AC192/B192,"")</f>
        <v>4.16666666666667</v>
      </c>
      <c r="AF192" s="0" t="s">
        <v>236</v>
      </c>
      <c r="AG192" s="0" t="s">
        <v>236</v>
      </c>
      <c r="AH192" s="0" t="s">
        <v>230</v>
      </c>
      <c r="AI192" s="0" t="s">
        <v>1148</v>
      </c>
      <c r="AJ192" s="0" t="s">
        <v>1149</v>
      </c>
      <c r="AK192" s="0" t="s">
        <v>1150</v>
      </c>
      <c r="AL192" s="0" t="s">
        <v>1151</v>
      </c>
      <c r="AM192" s="0" t="s">
        <v>94</v>
      </c>
      <c r="AN192" s="26" t="n">
        <f aca="false">IFERROR(E192*(1+IF(AM192="Apartment",Data_Summary!$C$3,0)),"")</f>
        <v>4.20833333333333</v>
      </c>
      <c r="AO192" s="4" t="n">
        <v>46195</v>
      </c>
    </row>
    <row r="193" customFormat="false" ht="15" hidden="false" customHeight="false" outlineLevel="0" collapsed="false">
      <c r="A193" s="0" t="n">
        <f aca="false">IF(AND(ISNUMBER(B193),B193&gt;0,ISNUMBER(AB193),AB193&gt;0,J193&gt;=Data_Summary!$C$1),1,0)</f>
        <v>1</v>
      </c>
      <c r="B193" s="33" t="n">
        <v>920</v>
      </c>
      <c r="C193" s="5" t="n">
        <f aca="false">IF(ISNUMBER(AB193),AB193,"")</f>
        <v>3500</v>
      </c>
      <c r="D193" s="0" t="n">
        <f aca="false">IF(ISNUMBER(C193),C193-U193*Data_Summary!$C$2,"")</f>
        <v>3500</v>
      </c>
      <c r="E193" s="34" t="n">
        <f aca="false">IFERROR(C193/B193,"")</f>
        <v>3.80434782608696</v>
      </c>
      <c r="F193" s="26" t="n">
        <f aca="false">IFERROR(D193/B193,"")</f>
        <v>3.80434782608696</v>
      </c>
      <c r="G193" s="0" t="str">
        <f aca="false">Q193</f>
        <v>2+1</v>
      </c>
      <c r="H193" s="0" t="str">
        <f aca="false">IFERROR(LEFT(G193,1),"")</f>
        <v>2</v>
      </c>
      <c r="I193" s="0" t="n">
        <f aca="false">IF(LEN(G193)&gt;1,1,0)</f>
        <v>1</v>
      </c>
      <c r="J193" s="4" t="n">
        <v>45843</v>
      </c>
      <c r="K193" s="0" t="s">
        <v>10</v>
      </c>
      <c r="L193" s="0" t="s">
        <v>91</v>
      </c>
      <c r="M193" s="0" t="s">
        <v>226</v>
      </c>
      <c r="N193" s="0" t="s">
        <v>93</v>
      </c>
      <c r="O193" s="0" t="s">
        <v>1152</v>
      </c>
      <c r="Q193" s="0" t="s">
        <v>451</v>
      </c>
      <c r="R193" s="0" t="n">
        <v>2</v>
      </c>
      <c r="S193" s="5" t="n">
        <v>920</v>
      </c>
      <c r="T193" s="0" t="s">
        <v>252</v>
      </c>
      <c r="U193" s="0" t="n">
        <v>0</v>
      </c>
      <c r="V193" s="0" t="s">
        <v>230</v>
      </c>
      <c r="W193" s="0" t="s">
        <v>244</v>
      </c>
      <c r="X193" s="0" t="s">
        <v>232</v>
      </c>
      <c r="Y193" s="0" t="s">
        <v>297</v>
      </c>
      <c r="Z193" s="0" t="s">
        <v>234</v>
      </c>
      <c r="AA193" s="0" t="s">
        <v>235</v>
      </c>
      <c r="AB193" s="32" t="n">
        <v>3500</v>
      </c>
      <c r="AC193" s="32" t="n">
        <v>3300</v>
      </c>
      <c r="AD193" s="26" t="n">
        <f aca="false">IFERROR(AB193/B193,"")</f>
        <v>3.80434782608696</v>
      </c>
      <c r="AE193" s="26" t="n">
        <f aca="false">IFERROR(AC193/B193,"")</f>
        <v>3.58695652173913</v>
      </c>
      <c r="AF193" s="0" t="s">
        <v>236</v>
      </c>
      <c r="AG193" s="0" t="s">
        <v>236</v>
      </c>
      <c r="AH193" s="0" t="s">
        <v>230</v>
      </c>
      <c r="AI193" s="0" t="s">
        <v>1153</v>
      </c>
      <c r="AJ193" s="0" t="s">
        <v>1154</v>
      </c>
      <c r="AK193" s="0" t="s">
        <v>1155</v>
      </c>
      <c r="AL193" s="0" t="s">
        <v>1156</v>
      </c>
      <c r="AM193" s="0" t="s">
        <v>94</v>
      </c>
      <c r="AN193" s="26" t="n">
        <f aca="false">IFERROR(E193*(1+IF(AM193="Apartment",Data_Summary!$C$3,0)),"")</f>
        <v>3.80434782608696</v>
      </c>
      <c r="AO193" s="4" t="n">
        <v>46195</v>
      </c>
    </row>
    <row r="194" customFormat="false" ht="15" hidden="false" customHeight="false" outlineLevel="0" collapsed="false">
      <c r="A194" s="0" t="n">
        <f aca="false">IF(AND(ISNUMBER(B194),B194&gt;0,ISNUMBER(AB194),AB194&gt;0,J194&gt;=Data_Summary!$C$1),1,0)</f>
        <v>1</v>
      </c>
      <c r="B194" s="33" t="n">
        <v>535</v>
      </c>
      <c r="C194" s="5" t="n">
        <f aca="false">IF(ISNUMBER(AB194),AB194,"")</f>
        <v>2600</v>
      </c>
      <c r="D194" s="0" t="n">
        <f aca="false">IF(ISNUMBER(C194),C194-U194*Data_Summary!$C$2,"")</f>
        <v>2600</v>
      </c>
      <c r="E194" s="34" t="n">
        <f aca="false">IFERROR(C194/B194,"")</f>
        <v>4.85981308411215</v>
      </c>
      <c r="F194" s="26" t="n">
        <f aca="false">IFERROR(D194/B194,"")</f>
        <v>4.85981308411215</v>
      </c>
      <c r="G194" s="0" t="str">
        <f aca="false">Q194</f>
        <v>1+1</v>
      </c>
      <c r="H194" s="0" t="str">
        <f aca="false">IFERROR(LEFT(G194,1),"")</f>
        <v>1</v>
      </c>
      <c r="I194" s="0" t="n">
        <f aca="false">IF(LEN(G194)&gt;1,1,0)</f>
        <v>1</v>
      </c>
      <c r="J194" s="4" t="n">
        <v>45843</v>
      </c>
      <c r="K194" s="0" t="s">
        <v>10</v>
      </c>
      <c r="L194" s="0" t="s">
        <v>91</v>
      </c>
      <c r="M194" s="0" t="s">
        <v>226</v>
      </c>
      <c r="N194" s="0" t="s">
        <v>93</v>
      </c>
      <c r="O194" s="0" t="s">
        <v>1157</v>
      </c>
      <c r="Q194" s="0" t="s">
        <v>270</v>
      </c>
      <c r="R194" s="0" t="n">
        <v>2</v>
      </c>
      <c r="S194" s="5" t="n">
        <v>535</v>
      </c>
      <c r="T194" s="0" t="s">
        <v>271</v>
      </c>
      <c r="U194" s="0" t="n">
        <v>0</v>
      </c>
      <c r="V194" s="0" t="s">
        <v>230</v>
      </c>
      <c r="W194" s="0" t="s">
        <v>244</v>
      </c>
      <c r="X194" s="0" t="s">
        <v>232</v>
      </c>
      <c r="Y194" s="0" t="s">
        <v>278</v>
      </c>
      <c r="Z194" s="0" t="s">
        <v>234</v>
      </c>
      <c r="AA194" s="0" t="s">
        <v>235</v>
      </c>
      <c r="AB194" s="32" t="n">
        <v>2600</v>
      </c>
      <c r="AC194" s="32" t="n">
        <v>2680</v>
      </c>
      <c r="AD194" s="26" t="n">
        <f aca="false">IFERROR(AB194/B194,"")</f>
        <v>4.85981308411215</v>
      </c>
      <c r="AE194" s="26" t="n">
        <f aca="false">IFERROR(AC194/B194,"")</f>
        <v>5.00934579439252</v>
      </c>
      <c r="AF194" s="0" t="s">
        <v>236</v>
      </c>
      <c r="AG194" s="0" t="s">
        <v>236</v>
      </c>
      <c r="AH194" s="0" t="s">
        <v>230</v>
      </c>
      <c r="AI194" s="0" t="s">
        <v>1153</v>
      </c>
      <c r="AJ194" s="0" t="s">
        <v>1158</v>
      </c>
      <c r="AK194" s="0" t="s">
        <v>1159</v>
      </c>
      <c r="AL194" s="0" t="s">
        <v>1160</v>
      </c>
      <c r="AM194" s="0" t="s">
        <v>94</v>
      </c>
      <c r="AN194" s="26" t="n">
        <f aca="false">IFERROR(E194*(1+IF(AM194="Apartment",Data_Summary!$C$3,0)),"")</f>
        <v>4.85981308411215</v>
      </c>
      <c r="AO194" s="4" t="n">
        <v>46195</v>
      </c>
    </row>
    <row r="195" customFormat="false" ht="15" hidden="false" customHeight="false" outlineLevel="0" collapsed="false">
      <c r="A195" s="0" t="n">
        <f aca="false">IF(AND(ISNUMBER(B195),B195&gt;0,ISNUMBER(AB195),AB195&gt;0,J195&gt;=Data_Summary!$C$1),1,0)</f>
        <v>1</v>
      </c>
      <c r="B195" s="30" t="n">
        <v>770</v>
      </c>
      <c r="C195" s="5" t="n">
        <f aca="false">IF(ISNUMBER(AB195),AB195,"")</f>
        <v>3200</v>
      </c>
      <c r="D195" s="0" t="n">
        <f aca="false">IF(ISNUMBER(C195),C195-U195*Data_Summary!$C$2,"")</f>
        <v>3050</v>
      </c>
      <c r="E195" s="31" t="n">
        <f aca="false">IFERROR(C195/B195,"")</f>
        <v>4.15584415584416</v>
      </c>
      <c r="F195" s="26" t="n">
        <f aca="false">IFERROR(D195/B195,"")</f>
        <v>3.96103896103896</v>
      </c>
      <c r="G195" s="0" t="str">
        <f aca="false">Q195</f>
        <v>2</v>
      </c>
      <c r="H195" s="0" t="str">
        <f aca="false">IFERROR(LEFT(G195,1),"")</f>
        <v>2</v>
      </c>
      <c r="I195" s="0" t="n">
        <f aca="false">IF(LEN(G195)&gt;1,1,0)</f>
        <v>0</v>
      </c>
      <c r="J195" s="4" t="n">
        <v>45843</v>
      </c>
      <c r="K195" s="0" t="s">
        <v>10</v>
      </c>
      <c r="L195" s="0" t="s">
        <v>91</v>
      </c>
      <c r="M195" s="0" t="s">
        <v>226</v>
      </c>
      <c r="N195" s="0" t="s">
        <v>93</v>
      </c>
      <c r="O195" s="0" t="s">
        <v>1161</v>
      </c>
      <c r="Q195" s="0" t="s">
        <v>251</v>
      </c>
      <c r="R195" s="0" t="n">
        <v>2</v>
      </c>
      <c r="S195" s="5" t="n">
        <v>770</v>
      </c>
      <c r="T195" s="0" t="s">
        <v>252</v>
      </c>
      <c r="U195" s="0" t="n">
        <v>1</v>
      </c>
      <c r="V195" s="0" t="s">
        <v>230</v>
      </c>
      <c r="W195" s="0" t="s">
        <v>244</v>
      </c>
      <c r="X195" s="0" t="s">
        <v>232</v>
      </c>
      <c r="Y195" s="0" t="s">
        <v>233</v>
      </c>
      <c r="Z195" s="0" t="s">
        <v>234</v>
      </c>
      <c r="AA195" s="0" t="s">
        <v>235</v>
      </c>
      <c r="AB195" s="32" t="n">
        <v>3200</v>
      </c>
      <c r="AC195" s="32" t="n">
        <v>3200</v>
      </c>
      <c r="AD195" s="26" t="n">
        <f aca="false">IFERROR(AB195/B195,"")</f>
        <v>4.15584415584416</v>
      </c>
      <c r="AE195" s="26" t="n">
        <f aca="false">IFERROR(AC195/B195,"")</f>
        <v>4.15584415584416</v>
      </c>
      <c r="AF195" s="0" t="s">
        <v>236</v>
      </c>
      <c r="AG195" s="0" t="s">
        <v>236</v>
      </c>
      <c r="AH195" s="0" t="s">
        <v>230</v>
      </c>
      <c r="AI195" s="0" t="s">
        <v>1153</v>
      </c>
      <c r="AJ195" s="0" t="s">
        <v>1162</v>
      </c>
      <c r="AK195" s="0" t="s">
        <v>1163</v>
      </c>
      <c r="AL195" s="0" t="s">
        <v>1164</v>
      </c>
      <c r="AM195" s="0" t="s">
        <v>94</v>
      </c>
      <c r="AN195" s="26" t="n">
        <f aca="false">IFERROR(E195*(1+IF(AM195="Apartment",Data_Summary!$C$3,0)),"")</f>
        <v>4.15584415584416</v>
      </c>
      <c r="AO195" s="4" t="n">
        <v>46195</v>
      </c>
    </row>
    <row r="196" customFormat="false" ht="15" hidden="false" customHeight="false" outlineLevel="0" collapsed="false">
      <c r="A196" s="0" t="n">
        <f aca="false">IF(AND(ISNUMBER(B196),B196&gt;0,ISNUMBER(AB196),AB196&gt;0,J196&gt;=Data_Summary!$C$1),1,0)</f>
        <v>1</v>
      </c>
      <c r="B196" s="30" t="n">
        <v>505</v>
      </c>
      <c r="C196" s="5" t="n">
        <f aca="false">IF(ISNUMBER(AB196),AB196,"")</f>
        <v>2150</v>
      </c>
      <c r="D196" s="0" t="n">
        <f aca="false">IF(ISNUMBER(C196),C196-U196*Data_Summary!$C$2,"")</f>
        <v>2150</v>
      </c>
      <c r="E196" s="31" t="n">
        <f aca="false">IFERROR(C196/B196,"")</f>
        <v>4.25742574257426</v>
      </c>
      <c r="F196" s="26" t="n">
        <f aca="false">IFERROR(D196/B196,"")</f>
        <v>4.25742574257426</v>
      </c>
      <c r="G196" s="0" t="str">
        <f aca="false">Q196</f>
        <v>1</v>
      </c>
      <c r="H196" s="0" t="str">
        <f aca="false">IFERROR(LEFT(G196,1),"")</f>
        <v>1</v>
      </c>
      <c r="I196" s="0" t="n">
        <f aca="false">IF(LEN(G196)&gt;1,1,0)</f>
        <v>0</v>
      </c>
      <c r="J196" s="4" t="n">
        <v>45842</v>
      </c>
      <c r="K196" s="0" t="s">
        <v>10</v>
      </c>
      <c r="L196" s="0" t="s">
        <v>91</v>
      </c>
      <c r="M196" s="0" t="s">
        <v>226</v>
      </c>
      <c r="N196" s="0" t="s">
        <v>93</v>
      </c>
      <c r="O196" s="0" t="s">
        <v>1165</v>
      </c>
      <c r="Q196" s="0" t="s">
        <v>242</v>
      </c>
      <c r="R196" s="0" t="n">
        <v>1</v>
      </c>
      <c r="S196" s="5" t="n">
        <v>505</v>
      </c>
      <c r="T196" s="0" t="s">
        <v>243</v>
      </c>
      <c r="U196" s="0" t="n">
        <v>0</v>
      </c>
      <c r="V196" s="0" t="s">
        <v>230</v>
      </c>
      <c r="W196" s="0" t="s">
        <v>244</v>
      </c>
      <c r="X196" s="0" t="s">
        <v>232</v>
      </c>
      <c r="Y196" s="0" t="s">
        <v>253</v>
      </c>
      <c r="Z196" s="0" t="s">
        <v>234</v>
      </c>
      <c r="AA196" s="0" t="s">
        <v>235</v>
      </c>
      <c r="AB196" s="32" t="n">
        <v>2150</v>
      </c>
      <c r="AC196" s="32" t="n">
        <v>2150</v>
      </c>
      <c r="AD196" s="26" t="n">
        <f aca="false">IFERROR(AB196/B196,"")</f>
        <v>4.25742574257426</v>
      </c>
      <c r="AE196" s="26" t="n">
        <f aca="false">IFERROR(AC196/B196,"")</f>
        <v>4.25742574257426</v>
      </c>
      <c r="AF196" s="0" t="s">
        <v>236</v>
      </c>
      <c r="AG196" s="0" t="s">
        <v>236</v>
      </c>
      <c r="AH196" s="0" t="s">
        <v>236</v>
      </c>
      <c r="AI196" s="0" t="s">
        <v>1166</v>
      </c>
      <c r="AJ196" s="0" t="s">
        <v>1167</v>
      </c>
      <c r="AK196" s="0" t="s">
        <v>1168</v>
      </c>
      <c r="AL196" s="0" t="s">
        <v>1169</v>
      </c>
      <c r="AM196" s="0" t="s">
        <v>94</v>
      </c>
      <c r="AN196" s="26" t="n">
        <f aca="false">IFERROR(E196*(1+IF(AM196="Apartment",Data_Summary!$C$3,0)),"")</f>
        <v>4.25742574257426</v>
      </c>
      <c r="AO196" s="4" t="n">
        <v>46195</v>
      </c>
    </row>
    <row r="197" customFormat="false" ht="15" hidden="false" customHeight="false" outlineLevel="0" collapsed="false">
      <c r="A197" s="0" t="n">
        <f aca="false">IF(AND(ISNUMBER(B197),B197&gt;0,ISNUMBER(AB197),AB197&gt;0,J197&gt;=Data_Summary!$C$1),1,0)</f>
        <v>1</v>
      </c>
      <c r="B197" s="33" t="n">
        <v>920</v>
      </c>
      <c r="C197" s="5" t="n">
        <f aca="false">IF(ISNUMBER(AB197),AB197,"")</f>
        <v>3300</v>
      </c>
      <c r="D197" s="0" t="n">
        <f aca="false">IF(ISNUMBER(C197),C197-U197*Data_Summary!$C$2,"")</f>
        <v>3300</v>
      </c>
      <c r="E197" s="34" t="n">
        <f aca="false">IFERROR(C197/B197,"")</f>
        <v>3.58695652173913</v>
      </c>
      <c r="F197" s="26" t="n">
        <f aca="false">IFERROR(D197/B197,"")</f>
        <v>3.58695652173913</v>
      </c>
      <c r="G197" s="0" t="str">
        <f aca="false">Q197</f>
        <v>2+1</v>
      </c>
      <c r="H197" s="0" t="str">
        <f aca="false">IFERROR(LEFT(G197,1),"")</f>
        <v>2</v>
      </c>
      <c r="I197" s="0" t="n">
        <f aca="false">IF(LEN(G197)&gt;1,1,0)</f>
        <v>1</v>
      </c>
      <c r="J197" s="4" t="n">
        <v>45841</v>
      </c>
      <c r="K197" s="0" t="s">
        <v>10</v>
      </c>
      <c r="L197" s="0" t="s">
        <v>91</v>
      </c>
      <c r="M197" s="0" t="s">
        <v>226</v>
      </c>
      <c r="N197" s="0" t="s">
        <v>93</v>
      </c>
      <c r="O197" s="0" t="s">
        <v>1170</v>
      </c>
      <c r="Q197" s="0" t="s">
        <v>451</v>
      </c>
      <c r="R197" s="0" t="n">
        <v>2</v>
      </c>
      <c r="S197" s="5" t="n">
        <v>920</v>
      </c>
      <c r="T197" s="0" t="s">
        <v>252</v>
      </c>
      <c r="U197" s="0" t="n">
        <v>0</v>
      </c>
      <c r="V197" s="0" t="s">
        <v>230</v>
      </c>
      <c r="W197" s="0" t="s">
        <v>244</v>
      </c>
      <c r="X197" s="0" t="s">
        <v>232</v>
      </c>
      <c r="Y197" s="0" t="s">
        <v>297</v>
      </c>
      <c r="Z197" s="0" t="s">
        <v>234</v>
      </c>
      <c r="AA197" s="0" t="s">
        <v>235</v>
      </c>
      <c r="AB197" s="32" t="n">
        <v>3300</v>
      </c>
      <c r="AC197" s="32" t="n">
        <v>3200</v>
      </c>
      <c r="AD197" s="26" t="n">
        <f aca="false">IFERROR(AB197/B197,"")</f>
        <v>3.58695652173913</v>
      </c>
      <c r="AE197" s="26" t="n">
        <f aca="false">IFERROR(AC197/B197,"")</f>
        <v>3.47826086956522</v>
      </c>
      <c r="AF197" s="0" t="s">
        <v>236</v>
      </c>
      <c r="AG197" s="0" t="s">
        <v>236</v>
      </c>
      <c r="AH197" s="0" t="s">
        <v>230</v>
      </c>
      <c r="AI197" s="0" t="s">
        <v>1171</v>
      </c>
      <c r="AJ197" s="0" t="s">
        <v>1172</v>
      </c>
      <c r="AK197" s="0" t="s">
        <v>1173</v>
      </c>
      <c r="AL197" s="0" t="s">
        <v>1174</v>
      </c>
      <c r="AM197" s="0" t="s">
        <v>94</v>
      </c>
      <c r="AN197" s="26" t="n">
        <f aca="false">IFERROR(E197*(1+IF(AM197="Apartment",Data_Summary!$C$3,0)),"")</f>
        <v>3.58695652173913</v>
      </c>
      <c r="AO197" s="4" t="n">
        <v>46195</v>
      </c>
    </row>
    <row r="198" customFormat="false" ht="15" hidden="false" customHeight="false" outlineLevel="0" collapsed="false">
      <c r="A198" s="0" t="n">
        <f aca="false">IF(AND(ISNUMBER(B198),B198&gt;0,ISNUMBER(AB198),AB198&gt;0,J198&gt;=Data_Summary!$C$1),1,0)</f>
        <v>1</v>
      </c>
      <c r="B198" s="30" t="n">
        <v>545</v>
      </c>
      <c r="C198" s="5" t="n">
        <f aca="false">IF(ISNUMBER(AB198),AB198,"")</f>
        <v>2400</v>
      </c>
      <c r="D198" s="0" t="n">
        <f aca="false">IF(ISNUMBER(C198),C198-U198*Data_Summary!$C$2,"")</f>
        <v>2400</v>
      </c>
      <c r="E198" s="31" t="n">
        <f aca="false">IFERROR(C198/B198,"")</f>
        <v>4.40366972477064</v>
      </c>
      <c r="F198" s="26" t="n">
        <f aca="false">IFERROR(D198/B198,"")</f>
        <v>4.40366972477064</v>
      </c>
      <c r="G198" s="0" t="str">
        <f aca="false">Q198</f>
        <v>1</v>
      </c>
      <c r="H198" s="0" t="str">
        <f aca="false">IFERROR(LEFT(G198,1),"")</f>
        <v>1</v>
      </c>
      <c r="I198" s="0" t="n">
        <f aca="false">IF(LEN(G198)&gt;1,1,0)</f>
        <v>0</v>
      </c>
      <c r="J198" s="4" t="n">
        <v>45841</v>
      </c>
      <c r="K198" s="0" t="s">
        <v>10</v>
      </c>
      <c r="L198" s="0" t="s">
        <v>91</v>
      </c>
      <c r="M198" s="0" t="s">
        <v>226</v>
      </c>
      <c r="N198" s="0" t="s">
        <v>93</v>
      </c>
      <c r="O198" s="0" t="s">
        <v>1175</v>
      </c>
      <c r="Q198" s="0" t="s">
        <v>242</v>
      </c>
      <c r="R198" s="0" t="n">
        <v>1</v>
      </c>
      <c r="S198" s="5" t="n">
        <v>545</v>
      </c>
      <c r="T198" s="0" t="s">
        <v>243</v>
      </c>
      <c r="U198" s="0" t="n">
        <v>0</v>
      </c>
      <c r="V198" s="0" t="s">
        <v>230</v>
      </c>
      <c r="W198" s="0" t="s">
        <v>244</v>
      </c>
      <c r="X198" s="0" t="s">
        <v>232</v>
      </c>
      <c r="Y198" s="0" t="s">
        <v>278</v>
      </c>
      <c r="Z198" s="0" t="s">
        <v>234</v>
      </c>
      <c r="AA198" s="0" t="s">
        <v>235</v>
      </c>
      <c r="AB198" s="32" t="n">
        <v>2400</v>
      </c>
      <c r="AC198" s="32" t="n">
        <v>2400</v>
      </c>
      <c r="AD198" s="26" t="n">
        <f aca="false">IFERROR(AB198/B198,"")</f>
        <v>4.40366972477064</v>
      </c>
      <c r="AE198" s="26" t="n">
        <f aca="false">IFERROR(AC198/B198,"")</f>
        <v>4.40366972477064</v>
      </c>
      <c r="AF198" s="0" t="s">
        <v>236</v>
      </c>
      <c r="AG198" s="0" t="s">
        <v>236</v>
      </c>
      <c r="AH198" s="0" t="s">
        <v>230</v>
      </c>
      <c r="AI198" s="0" t="s">
        <v>1171</v>
      </c>
      <c r="AJ198" s="0" t="s">
        <v>1176</v>
      </c>
      <c r="AK198" s="0" t="s">
        <v>1177</v>
      </c>
      <c r="AL198" s="0" t="s">
        <v>1178</v>
      </c>
      <c r="AM198" s="0" t="s">
        <v>94</v>
      </c>
      <c r="AN198" s="26" t="n">
        <f aca="false">IFERROR(E198*(1+IF(AM198="Apartment",Data_Summary!$C$3,0)),"")</f>
        <v>4.40366972477064</v>
      </c>
      <c r="AO198" s="4" t="n">
        <v>46195</v>
      </c>
    </row>
    <row r="199" customFormat="false" ht="15" hidden="false" customHeight="false" outlineLevel="0" collapsed="false">
      <c r="A199" s="0" t="n">
        <f aca="false">IF(AND(ISNUMBER(B199),B199&gt;0,ISNUMBER(AB199),AB199&gt;0,J199&gt;=Data_Summary!$C$1),1,0)</f>
        <v>1</v>
      </c>
      <c r="B199" s="30" t="n">
        <v>650</v>
      </c>
      <c r="C199" s="5" t="n">
        <f aca="false">IF(ISNUMBER(AB199),AB199,"")</f>
        <v>2650</v>
      </c>
      <c r="D199" s="0" t="n">
        <f aca="false">IF(ISNUMBER(C199),C199-U199*Data_Summary!$C$2,"")</f>
        <v>2650</v>
      </c>
      <c r="E199" s="31" t="n">
        <f aca="false">IFERROR(C199/B199,"")</f>
        <v>4.07692307692308</v>
      </c>
      <c r="F199" s="26" t="n">
        <f aca="false">IFERROR(D199/B199,"")</f>
        <v>4.07692307692308</v>
      </c>
      <c r="G199" s="0" t="str">
        <f aca="false">Q199</f>
        <v>1+1</v>
      </c>
      <c r="H199" s="0" t="str">
        <f aca="false">IFERROR(LEFT(G199,1),"")</f>
        <v>1</v>
      </c>
      <c r="I199" s="0" t="n">
        <f aca="false">IF(LEN(G199)&gt;1,1,0)</f>
        <v>1</v>
      </c>
      <c r="J199" s="4" t="n">
        <v>45841</v>
      </c>
      <c r="K199" s="0" t="s">
        <v>10</v>
      </c>
      <c r="L199" s="0" t="s">
        <v>91</v>
      </c>
      <c r="M199" s="0" t="s">
        <v>226</v>
      </c>
      <c r="N199" s="0" t="s">
        <v>93</v>
      </c>
      <c r="O199" s="0" t="s">
        <v>1179</v>
      </c>
      <c r="Q199" s="0" t="s">
        <v>270</v>
      </c>
      <c r="R199" s="0" t="n">
        <v>1</v>
      </c>
      <c r="S199" s="5" t="n">
        <v>650</v>
      </c>
      <c r="T199" s="0" t="s">
        <v>271</v>
      </c>
      <c r="U199" s="0" t="n">
        <v>0</v>
      </c>
      <c r="V199" s="0" t="s">
        <v>230</v>
      </c>
      <c r="W199" s="0" t="s">
        <v>231</v>
      </c>
      <c r="X199" s="0" t="s">
        <v>232</v>
      </c>
      <c r="Y199" s="0" t="s">
        <v>278</v>
      </c>
      <c r="Z199" s="0" t="s">
        <v>234</v>
      </c>
      <c r="AA199" s="0" t="s">
        <v>235</v>
      </c>
      <c r="AB199" s="32" t="n">
        <v>2650</v>
      </c>
      <c r="AC199" s="32" t="n">
        <v>2650</v>
      </c>
      <c r="AD199" s="26" t="n">
        <f aca="false">IFERROR(AB199/B199,"")</f>
        <v>4.07692307692308</v>
      </c>
      <c r="AE199" s="26" t="n">
        <f aca="false">IFERROR(AC199/B199,"")</f>
        <v>4.07692307692308</v>
      </c>
      <c r="AF199" s="0" t="s">
        <v>236</v>
      </c>
      <c r="AG199" s="0" t="s">
        <v>236</v>
      </c>
      <c r="AH199" s="0" t="s">
        <v>230</v>
      </c>
      <c r="AI199" s="0" t="s">
        <v>1171</v>
      </c>
      <c r="AJ199" s="0" t="s">
        <v>1180</v>
      </c>
      <c r="AK199" s="0" t="s">
        <v>1181</v>
      </c>
      <c r="AL199" s="0" t="s">
        <v>1182</v>
      </c>
      <c r="AM199" s="0" t="s">
        <v>94</v>
      </c>
      <c r="AN199" s="26" t="n">
        <f aca="false">IFERROR(E199*(1+IF(AM199="Apartment",Data_Summary!$C$3,0)),"")</f>
        <v>4.07692307692308</v>
      </c>
      <c r="AO199" s="4" t="n">
        <v>46195</v>
      </c>
    </row>
    <row r="200" customFormat="false" ht="15" hidden="false" customHeight="false" outlineLevel="0" collapsed="false">
      <c r="A200" s="0" t="n">
        <f aca="false">IF(AND(ISNUMBER(B200),B200&gt;0,ISNUMBER(AB200),AB200&gt;0,J200&gt;=Data_Summary!$C$1),1,0)</f>
        <v>1</v>
      </c>
      <c r="B200" s="33" t="n">
        <v>535</v>
      </c>
      <c r="C200" s="5" t="n">
        <f aca="false">IF(ISNUMBER(AB200),AB200,"")</f>
        <v>2700</v>
      </c>
      <c r="D200" s="0" t="n">
        <f aca="false">IF(ISNUMBER(C200),C200-U200*Data_Summary!$C$2,"")</f>
        <v>2700</v>
      </c>
      <c r="E200" s="34" t="n">
        <f aca="false">IFERROR(C200/B200,"")</f>
        <v>5.04672897196262</v>
      </c>
      <c r="F200" s="26" t="n">
        <f aca="false">IFERROR(D200/B200,"")</f>
        <v>5.04672897196262</v>
      </c>
      <c r="G200" s="0" t="str">
        <f aca="false">Q200</f>
        <v>1+1</v>
      </c>
      <c r="H200" s="0" t="str">
        <f aca="false">IFERROR(LEFT(G200,1),"")</f>
        <v>1</v>
      </c>
      <c r="I200" s="0" t="n">
        <f aca="false">IF(LEN(G200)&gt;1,1,0)</f>
        <v>1</v>
      </c>
      <c r="J200" s="4" t="n">
        <v>45841</v>
      </c>
      <c r="K200" s="0" t="s">
        <v>10</v>
      </c>
      <c r="L200" s="0" t="s">
        <v>91</v>
      </c>
      <c r="M200" s="0" t="s">
        <v>226</v>
      </c>
      <c r="N200" s="0" t="s">
        <v>93</v>
      </c>
      <c r="O200" s="0" t="s">
        <v>1183</v>
      </c>
      <c r="Q200" s="0" t="s">
        <v>270</v>
      </c>
      <c r="R200" s="0" t="n">
        <v>2</v>
      </c>
      <c r="S200" s="5" t="n">
        <v>535</v>
      </c>
      <c r="T200" s="0" t="s">
        <v>271</v>
      </c>
      <c r="U200" s="0" t="n">
        <v>0</v>
      </c>
      <c r="V200" s="0" t="s">
        <v>230</v>
      </c>
      <c r="W200" s="0" t="s">
        <v>244</v>
      </c>
      <c r="X200" s="0" t="s">
        <v>232</v>
      </c>
      <c r="Y200" s="0" t="s">
        <v>278</v>
      </c>
      <c r="Z200" s="0" t="s">
        <v>234</v>
      </c>
      <c r="AA200" s="0" t="s">
        <v>235</v>
      </c>
      <c r="AB200" s="32" t="n">
        <v>2700</v>
      </c>
      <c r="AC200" s="32" t="n">
        <v>2680</v>
      </c>
      <c r="AD200" s="26" t="n">
        <f aca="false">IFERROR(AB200/B200,"")</f>
        <v>5.04672897196262</v>
      </c>
      <c r="AE200" s="26" t="n">
        <f aca="false">IFERROR(AC200/B200,"")</f>
        <v>5.00934579439252</v>
      </c>
      <c r="AF200" s="0" t="s">
        <v>236</v>
      </c>
      <c r="AG200" s="0" t="s">
        <v>236</v>
      </c>
      <c r="AH200" s="0" t="s">
        <v>230</v>
      </c>
      <c r="AI200" s="0" t="s">
        <v>1171</v>
      </c>
      <c r="AJ200" s="0" t="s">
        <v>1184</v>
      </c>
      <c r="AK200" s="0" t="s">
        <v>1185</v>
      </c>
      <c r="AL200" s="0" t="s">
        <v>1186</v>
      </c>
      <c r="AM200" s="0" t="s">
        <v>94</v>
      </c>
      <c r="AN200" s="26" t="n">
        <f aca="false">IFERROR(E200*(1+IF(AM200="Apartment",Data_Summary!$C$3,0)),"")</f>
        <v>5.04672897196262</v>
      </c>
      <c r="AO200" s="4" t="n">
        <v>46195</v>
      </c>
    </row>
    <row r="201" customFormat="false" ht="15" hidden="false" customHeight="false" outlineLevel="0" collapsed="false">
      <c r="A201" s="0" t="n">
        <f aca="false">IF(AND(ISNUMBER(B201),B201&gt;0,ISNUMBER(AB201),AB201&gt;0,J201&gt;=Data_Summary!$C$1),1,0)</f>
        <v>1</v>
      </c>
      <c r="B201" s="30" t="n">
        <v>505</v>
      </c>
      <c r="C201" s="5" t="n">
        <f aca="false">IF(ISNUMBER(AB201),AB201,"")</f>
        <v>2175</v>
      </c>
      <c r="D201" s="0" t="n">
        <f aca="false">IF(ISNUMBER(C201),C201-U201*Data_Summary!$C$2,"")</f>
        <v>2175</v>
      </c>
      <c r="E201" s="31" t="n">
        <f aca="false">IFERROR(C201/B201,"")</f>
        <v>4.30693069306931</v>
      </c>
      <c r="F201" s="26" t="n">
        <f aca="false">IFERROR(D201/B201,"")</f>
        <v>4.30693069306931</v>
      </c>
      <c r="G201" s="0" t="str">
        <f aca="false">Q201</f>
        <v>1</v>
      </c>
      <c r="H201" s="0" t="str">
        <f aca="false">IFERROR(LEFT(G201,1),"")</f>
        <v>1</v>
      </c>
      <c r="I201" s="0" t="n">
        <f aca="false">IF(LEN(G201)&gt;1,1,0)</f>
        <v>0</v>
      </c>
      <c r="J201" s="4" t="n">
        <v>45841</v>
      </c>
      <c r="K201" s="0" t="s">
        <v>10</v>
      </c>
      <c r="L201" s="0" t="s">
        <v>91</v>
      </c>
      <c r="M201" s="0" t="s">
        <v>226</v>
      </c>
      <c r="N201" s="0" t="s">
        <v>93</v>
      </c>
      <c r="O201" s="0" t="s">
        <v>1187</v>
      </c>
      <c r="Q201" s="0" t="s">
        <v>242</v>
      </c>
      <c r="R201" s="0" t="n">
        <v>1</v>
      </c>
      <c r="S201" s="5" t="n">
        <v>505</v>
      </c>
      <c r="T201" s="0" t="s">
        <v>243</v>
      </c>
      <c r="U201" s="0" t="n">
        <v>0</v>
      </c>
      <c r="V201" s="0" t="s">
        <v>230</v>
      </c>
      <c r="W201" s="0" t="s">
        <v>244</v>
      </c>
      <c r="X201" s="0" t="s">
        <v>232</v>
      </c>
      <c r="Y201" s="0" t="s">
        <v>253</v>
      </c>
      <c r="Z201" s="0" t="s">
        <v>234</v>
      </c>
      <c r="AA201" s="0" t="s">
        <v>235</v>
      </c>
      <c r="AB201" s="32" t="n">
        <v>2175</v>
      </c>
      <c r="AC201" s="32" t="n">
        <v>2175</v>
      </c>
      <c r="AD201" s="26" t="n">
        <f aca="false">IFERROR(AB201/B201,"")</f>
        <v>4.30693069306931</v>
      </c>
      <c r="AE201" s="26" t="n">
        <f aca="false">IFERROR(AC201/B201,"")</f>
        <v>4.30693069306931</v>
      </c>
      <c r="AF201" s="0" t="s">
        <v>236</v>
      </c>
      <c r="AG201" s="0" t="s">
        <v>236</v>
      </c>
      <c r="AH201" s="0" t="s">
        <v>230</v>
      </c>
      <c r="AI201" s="0" t="s">
        <v>1171</v>
      </c>
      <c r="AJ201" s="0" t="s">
        <v>1188</v>
      </c>
      <c r="AK201" s="0" t="s">
        <v>1189</v>
      </c>
      <c r="AL201" s="0" t="s">
        <v>1190</v>
      </c>
      <c r="AM201" s="0" t="s">
        <v>94</v>
      </c>
      <c r="AN201" s="26" t="n">
        <f aca="false">IFERROR(E201*(1+IF(AM201="Apartment",Data_Summary!$C$3,0)),"")</f>
        <v>4.30693069306931</v>
      </c>
      <c r="AO201" s="4" t="n">
        <v>46195</v>
      </c>
    </row>
    <row r="202" customFormat="false" ht="15" hidden="false" customHeight="false" outlineLevel="0" collapsed="false">
      <c r="A202" s="0" t="n">
        <f aca="false">IF(AND(ISNUMBER(B202),B202&gt;0,ISNUMBER(AB202),AB202&gt;0,J202&gt;=Data_Summary!$C$1),1,0)</f>
        <v>1</v>
      </c>
      <c r="B202" s="33" t="n">
        <v>770</v>
      </c>
      <c r="C202" s="5" t="n">
        <f aca="false">IF(ISNUMBER(AB202),AB202,"")</f>
        <v>3150</v>
      </c>
      <c r="D202" s="0" t="n">
        <f aca="false">IF(ISNUMBER(C202),C202-U202*Data_Summary!$C$2,"")</f>
        <v>3000</v>
      </c>
      <c r="E202" s="34" t="n">
        <f aca="false">IFERROR(C202/B202,"")</f>
        <v>4.09090909090909</v>
      </c>
      <c r="F202" s="26" t="n">
        <f aca="false">IFERROR(D202/B202,"")</f>
        <v>3.8961038961039</v>
      </c>
      <c r="G202" s="0" t="str">
        <f aca="false">Q202</f>
        <v>2</v>
      </c>
      <c r="H202" s="0" t="str">
        <f aca="false">IFERROR(LEFT(G202,1),"")</f>
        <v>2</v>
      </c>
      <c r="I202" s="0" t="n">
        <f aca="false">IF(LEN(G202)&gt;1,1,0)</f>
        <v>0</v>
      </c>
      <c r="J202" s="4" t="n">
        <v>45840</v>
      </c>
      <c r="K202" s="0" t="s">
        <v>10</v>
      </c>
      <c r="L202" s="0" t="s">
        <v>91</v>
      </c>
      <c r="M202" s="0" t="s">
        <v>226</v>
      </c>
      <c r="N202" s="0" t="s">
        <v>93</v>
      </c>
      <c r="O202" s="0" t="s">
        <v>1191</v>
      </c>
      <c r="Q202" s="0" t="s">
        <v>251</v>
      </c>
      <c r="R202" s="0" t="n">
        <v>2</v>
      </c>
      <c r="S202" s="5" t="n">
        <v>770</v>
      </c>
      <c r="T202" s="0" t="s">
        <v>259</v>
      </c>
      <c r="U202" s="0" t="n">
        <v>1</v>
      </c>
      <c r="V202" s="0" t="s">
        <v>230</v>
      </c>
      <c r="W202" s="0" t="s">
        <v>244</v>
      </c>
      <c r="X202" s="0" t="s">
        <v>232</v>
      </c>
      <c r="Y202" s="0" t="s">
        <v>245</v>
      </c>
      <c r="Z202" s="0" t="s">
        <v>234</v>
      </c>
      <c r="AA202" s="0" t="s">
        <v>235</v>
      </c>
      <c r="AB202" s="32" t="n">
        <v>3150</v>
      </c>
      <c r="AC202" s="32" t="n">
        <v>3150</v>
      </c>
      <c r="AD202" s="26" t="n">
        <f aca="false">IFERROR(AB202/B202,"")</f>
        <v>4.09090909090909</v>
      </c>
      <c r="AE202" s="26" t="n">
        <f aca="false">IFERROR(AC202/B202,"")</f>
        <v>4.09090909090909</v>
      </c>
      <c r="AF202" s="0" t="s">
        <v>236</v>
      </c>
      <c r="AG202" s="0" t="s">
        <v>236</v>
      </c>
      <c r="AH202" s="0" t="s">
        <v>230</v>
      </c>
      <c r="AI202" s="0" t="s">
        <v>1192</v>
      </c>
      <c r="AJ202" s="0" t="s">
        <v>1193</v>
      </c>
      <c r="AK202" s="0" t="s">
        <v>1194</v>
      </c>
      <c r="AL202" s="0" t="s">
        <v>1195</v>
      </c>
      <c r="AM202" s="0" t="s">
        <v>94</v>
      </c>
      <c r="AN202" s="26" t="n">
        <f aca="false">IFERROR(E202*(1+IF(AM202="Apartment",Data_Summary!$C$3,0)),"")</f>
        <v>4.09090909090909</v>
      </c>
      <c r="AO202" s="4" t="n">
        <v>46195</v>
      </c>
    </row>
    <row r="203" customFormat="false" ht="15" hidden="false" customHeight="false" outlineLevel="0" collapsed="false">
      <c r="A203" s="0" t="n">
        <f aca="false">IF(AND(ISNUMBER(B203),B203&gt;0,ISNUMBER(AB203),AB203&gt;0,J203&gt;=Data_Summary!$C$1),1,0)</f>
        <v>1</v>
      </c>
      <c r="B203" s="30" t="n">
        <v>492</v>
      </c>
      <c r="C203" s="5" t="n">
        <f aca="false">IF(ISNUMBER(AB203),AB203,"")</f>
        <v>2100</v>
      </c>
      <c r="D203" s="0" t="n">
        <f aca="false">IF(ISNUMBER(C203),C203-U203*Data_Summary!$C$2,"")</f>
        <v>2100</v>
      </c>
      <c r="E203" s="31" t="n">
        <f aca="false">IFERROR(C203/B203,"")</f>
        <v>4.26829268292683</v>
      </c>
      <c r="F203" s="26" t="n">
        <f aca="false">IFERROR(D203/B203,"")</f>
        <v>4.26829268292683</v>
      </c>
      <c r="G203" s="0" t="str">
        <f aca="false">Q203</f>
        <v>1</v>
      </c>
      <c r="H203" s="0" t="str">
        <f aca="false">IFERROR(LEFT(G203,1),"")</f>
        <v>1</v>
      </c>
      <c r="I203" s="0" t="n">
        <f aca="false">IF(LEN(G203)&gt;1,1,0)</f>
        <v>0</v>
      </c>
      <c r="J203" s="4" t="n">
        <v>45840</v>
      </c>
      <c r="K203" s="0" t="s">
        <v>10</v>
      </c>
      <c r="L203" s="0" t="s">
        <v>91</v>
      </c>
      <c r="M203" s="0" t="s">
        <v>226</v>
      </c>
      <c r="N203" s="0" t="s">
        <v>93</v>
      </c>
      <c r="O203" s="0" t="s">
        <v>1196</v>
      </c>
      <c r="Q203" s="0" t="s">
        <v>242</v>
      </c>
      <c r="R203" s="0" t="n">
        <v>1</v>
      </c>
      <c r="S203" s="5" t="n">
        <v>492</v>
      </c>
      <c r="T203" s="0" t="s">
        <v>303</v>
      </c>
      <c r="U203" s="0" t="n">
        <v>0</v>
      </c>
      <c r="V203" s="0" t="s">
        <v>230</v>
      </c>
      <c r="W203" s="0" t="s">
        <v>231</v>
      </c>
      <c r="X203" s="0" t="s">
        <v>232</v>
      </c>
      <c r="Y203" s="0" t="s">
        <v>245</v>
      </c>
      <c r="Z203" s="0" t="s">
        <v>234</v>
      </c>
      <c r="AA203" s="0" t="s">
        <v>235</v>
      </c>
      <c r="AB203" s="32" t="n">
        <v>2100</v>
      </c>
      <c r="AC203" s="32" t="n">
        <v>2100</v>
      </c>
      <c r="AD203" s="26" t="n">
        <f aca="false">IFERROR(AB203/B203,"")</f>
        <v>4.26829268292683</v>
      </c>
      <c r="AE203" s="26" t="n">
        <f aca="false">IFERROR(AC203/B203,"")</f>
        <v>4.26829268292683</v>
      </c>
      <c r="AF203" s="0" t="s">
        <v>236</v>
      </c>
      <c r="AG203" s="0" t="s">
        <v>236</v>
      </c>
      <c r="AH203" s="0" t="s">
        <v>230</v>
      </c>
      <c r="AI203" s="0" t="s">
        <v>1192</v>
      </c>
      <c r="AJ203" s="0" t="s">
        <v>1197</v>
      </c>
      <c r="AK203" s="0" t="s">
        <v>1198</v>
      </c>
      <c r="AL203" s="0" t="s">
        <v>1199</v>
      </c>
      <c r="AM203" s="0" t="s">
        <v>94</v>
      </c>
      <c r="AN203" s="26" t="n">
        <f aca="false">IFERROR(E203*(1+IF(AM203="Apartment",Data_Summary!$C$3,0)),"")</f>
        <v>4.26829268292683</v>
      </c>
      <c r="AO203" s="4" t="n">
        <v>46195</v>
      </c>
    </row>
    <row r="204" customFormat="false" ht="15" hidden="false" customHeight="false" outlineLevel="0" collapsed="false">
      <c r="A204" s="0" t="n">
        <f aca="false">IF(AND(ISNUMBER(B204),B204&gt;0,ISNUMBER(AB204),AB204&gt;0,J204&gt;=Data_Summary!$C$1),1,0)</f>
        <v>1</v>
      </c>
      <c r="B204" s="30" t="n">
        <v>530</v>
      </c>
      <c r="C204" s="5" t="n">
        <f aca="false">IF(ISNUMBER(AB204),AB204,"")</f>
        <v>2200</v>
      </c>
      <c r="D204" s="0" t="n">
        <f aca="false">IF(ISNUMBER(C204),C204-U204*Data_Summary!$C$2,"")</f>
        <v>2200</v>
      </c>
      <c r="E204" s="31" t="n">
        <f aca="false">IFERROR(C204/B204,"")</f>
        <v>4.15094339622642</v>
      </c>
      <c r="F204" s="26" t="n">
        <f aca="false">IFERROR(D204/B204,"")</f>
        <v>4.15094339622642</v>
      </c>
      <c r="G204" s="0" t="str">
        <f aca="false">Q204</f>
        <v>1</v>
      </c>
      <c r="H204" s="0" t="str">
        <f aca="false">IFERROR(LEFT(G204,1),"")</f>
        <v>1</v>
      </c>
      <c r="I204" s="0" t="n">
        <f aca="false">IF(LEN(G204)&gt;1,1,0)</f>
        <v>0</v>
      </c>
      <c r="J204" s="4" t="n">
        <v>45840</v>
      </c>
      <c r="K204" s="0" t="s">
        <v>10</v>
      </c>
      <c r="L204" s="0" t="s">
        <v>91</v>
      </c>
      <c r="M204" s="0" t="s">
        <v>226</v>
      </c>
      <c r="N204" s="0" t="s">
        <v>93</v>
      </c>
      <c r="O204" s="0" t="s">
        <v>1200</v>
      </c>
      <c r="Q204" s="0" t="s">
        <v>242</v>
      </c>
      <c r="R204" s="0" t="n">
        <v>1</v>
      </c>
      <c r="S204" s="5" t="n">
        <v>530</v>
      </c>
      <c r="T204" s="0" t="s">
        <v>243</v>
      </c>
      <c r="U204" s="0" t="n">
        <v>0</v>
      </c>
      <c r="V204" s="0" t="s">
        <v>230</v>
      </c>
      <c r="W204" s="0" t="s">
        <v>244</v>
      </c>
      <c r="X204" s="0" t="s">
        <v>232</v>
      </c>
      <c r="Y204" s="0" t="s">
        <v>260</v>
      </c>
      <c r="Z204" s="0" t="s">
        <v>234</v>
      </c>
      <c r="AA204" s="0" t="s">
        <v>235</v>
      </c>
      <c r="AB204" s="32" t="n">
        <v>2200</v>
      </c>
      <c r="AC204" s="32" t="n">
        <v>2200</v>
      </c>
      <c r="AD204" s="26" t="n">
        <f aca="false">IFERROR(AB204/B204,"")</f>
        <v>4.15094339622642</v>
      </c>
      <c r="AE204" s="26" t="n">
        <f aca="false">IFERROR(AC204/B204,"")</f>
        <v>4.15094339622642</v>
      </c>
      <c r="AF204" s="0" t="s">
        <v>236</v>
      </c>
      <c r="AG204" s="0" t="s">
        <v>236</v>
      </c>
      <c r="AH204" s="0" t="s">
        <v>236</v>
      </c>
      <c r="AI204" s="0" t="s">
        <v>1192</v>
      </c>
      <c r="AJ204" s="0" t="s">
        <v>1201</v>
      </c>
      <c r="AK204" s="0" t="s">
        <v>1202</v>
      </c>
      <c r="AL204" s="0" t="s">
        <v>1203</v>
      </c>
      <c r="AM204" s="0" t="s">
        <v>94</v>
      </c>
      <c r="AN204" s="26" t="n">
        <f aca="false">IFERROR(E204*(1+IF(AM204="Apartment",Data_Summary!$C$3,0)),"")</f>
        <v>4.15094339622642</v>
      </c>
      <c r="AO204" s="4" t="n">
        <v>46195</v>
      </c>
    </row>
    <row r="205" customFormat="false" ht="15" hidden="false" customHeight="false" outlineLevel="0" collapsed="false">
      <c r="A205" s="0" t="n">
        <f aca="false">IF(AND(ISNUMBER(B205),B205&gt;0,ISNUMBER(AB205),AB205&gt;0,J205&gt;=Data_Summary!$C$1),1,0)</f>
        <v>1</v>
      </c>
      <c r="B205" s="30" t="n">
        <v>505</v>
      </c>
      <c r="C205" s="5" t="n">
        <f aca="false">IF(ISNUMBER(AB205),AB205,"")</f>
        <v>2200</v>
      </c>
      <c r="D205" s="0" t="n">
        <f aca="false">IF(ISNUMBER(C205),C205-U205*Data_Summary!$C$2,"")</f>
        <v>2200</v>
      </c>
      <c r="E205" s="31" t="n">
        <f aca="false">IFERROR(C205/B205,"")</f>
        <v>4.35643564356436</v>
      </c>
      <c r="F205" s="26" t="n">
        <f aca="false">IFERROR(D205/B205,"")</f>
        <v>4.35643564356436</v>
      </c>
      <c r="G205" s="0" t="str">
        <f aca="false">Q205</f>
        <v>1</v>
      </c>
      <c r="H205" s="0" t="str">
        <f aca="false">IFERROR(LEFT(G205,1),"")</f>
        <v>1</v>
      </c>
      <c r="I205" s="0" t="n">
        <f aca="false">IF(LEN(G205)&gt;1,1,0)</f>
        <v>0</v>
      </c>
      <c r="J205" s="4" t="n">
        <v>45839</v>
      </c>
      <c r="K205" s="0" t="s">
        <v>10</v>
      </c>
      <c r="L205" s="0" t="s">
        <v>91</v>
      </c>
      <c r="M205" s="0" t="s">
        <v>226</v>
      </c>
      <c r="N205" s="0" t="s">
        <v>93</v>
      </c>
      <c r="O205" s="0" t="s">
        <v>1204</v>
      </c>
      <c r="Q205" s="0" t="s">
        <v>242</v>
      </c>
      <c r="R205" s="0" t="n">
        <v>1</v>
      </c>
      <c r="S205" s="5" t="n">
        <v>505</v>
      </c>
      <c r="T205" s="0" t="s">
        <v>243</v>
      </c>
      <c r="U205" s="0" t="n">
        <v>0</v>
      </c>
      <c r="V205" s="0" t="s">
        <v>230</v>
      </c>
      <c r="W205" s="0" t="s">
        <v>244</v>
      </c>
      <c r="X205" s="0" t="s">
        <v>232</v>
      </c>
      <c r="Y205" s="0" t="s">
        <v>253</v>
      </c>
      <c r="Z205" s="0" t="s">
        <v>234</v>
      </c>
      <c r="AA205" s="0" t="s">
        <v>235</v>
      </c>
      <c r="AB205" s="32" t="n">
        <v>2200</v>
      </c>
      <c r="AC205" s="32" t="n">
        <v>2200</v>
      </c>
      <c r="AD205" s="26" t="n">
        <f aca="false">IFERROR(AB205/B205,"")</f>
        <v>4.35643564356436</v>
      </c>
      <c r="AE205" s="26" t="n">
        <f aca="false">IFERROR(AC205/B205,"")</f>
        <v>4.35643564356436</v>
      </c>
      <c r="AF205" s="0" t="s">
        <v>236</v>
      </c>
      <c r="AG205" s="0" t="s">
        <v>236</v>
      </c>
      <c r="AH205" s="0" t="s">
        <v>230</v>
      </c>
      <c r="AI205" s="0" t="s">
        <v>1205</v>
      </c>
      <c r="AJ205" s="0" t="s">
        <v>1206</v>
      </c>
      <c r="AK205" s="0" t="s">
        <v>1207</v>
      </c>
      <c r="AL205" s="0" t="s">
        <v>1208</v>
      </c>
      <c r="AM205" s="0" t="s">
        <v>94</v>
      </c>
      <c r="AN205" s="26" t="n">
        <f aca="false">IFERROR(E205*(1+IF(AM205="Apartment",Data_Summary!$C$3,0)),"")</f>
        <v>4.35643564356436</v>
      </c>
      <c r="AO205" s="4" t="n">
        <v>46195</v>
      </c>
    </row>
    <row r="206" customFormat="false" ht="15" hidden="false" customHeight="false" outlineLevel="0" collapsed="false">
      <c r="A206" s="0" t="n">
        <f aca="false">IF(AND(ISNUMBER(B206),B206&gt;0,ISNUMBER(AB206),AB206&gt;0,J206&gt;=Data_Summary!$C$1),1,0)</f>
        <v>1</v>
      </c>
      <c r="B206" s="30" t="n">
        <v>530</v>
      </c>
      <c r="C206" s="5" t="n">
        <f aca="false">IF(ISNUMBER(AB206),AB206,"")</f>
        <v>2200</v>
      </c>
      <c r="D206" s="0" t="n">
        <f aca="false">IF(ISNUMBER(C206),C206-U206*Data_Summary!$C$2,"")</f>
        <v>2200</v>
      </c>
      <c r="E206" s="31" t="n">
        <f aca="false">IFERROR(C206/B206,"")</f>
        <v>4.15094339622642</v>
      </c>
      <c r="F206" s="26" t="n">
        <f aca="false">IFERROR(D206/B206,"")</f>
        <v>4.15094339622642</v>
      </c>
      <c r="G206" s="0" t="str">
        <f aca="false">Q206</f>
        <v>1</v>
      </c>
      <c r="H206" s="0" t="str">
        <f aca="false">IFERROR(LEFT(G206,1),"")</f>
        <v>1</v>
      </c>
      <c r="I206" s="0" t="n">
        <f aca="false">IF(LEN(G206)&gt;1,1,0)</f>
        <v>0</v>
      </c>
      <c r="J206" s="4" t="n">
        <v>45838</v>
      </c>
      <c r="K206" s="0" t="s">
        <v>10</v>
      </c>
      <c r="L206" s="0" t="s">
        <v>91</v>
      </c>
      <c r="M206" s="0" t="s">
        <v>226</v>
      </c>
      <c r="N206" s="0" t="s">
        <v>93</v>
      </c>
      <c r="O206" s="0" t="s">
        <v>1209</v>
      </c>
      <c r="Q206" s="0" t="s">
        <v>242</v>
      </c>
      <c r="R206" s="0" t="n">
        <v>1</v>
      </c>
      <c r="S206" s="5" t="n">
        <v>530</v>
      </c>
      <c r="T206" s="0" t="s">
        <v>243</v>
      </c>
      <c r="U206" s="0" t="n">
        <v>0</v>
      </c>
      <c r="V206" s="0" t="s">
        <v>230</v>
      </c>
      <c r="W206" s="0" t="s">
        <v>244</v>
      </c>
      <c r="X206" s="0" t="s">
        <v>232</v>
      </c>
      <c r="Y206" s="0" t="s">
        <v>260</v>
      </c>
      <c r="Z206" s="0" t="s">
        <v>234</v>
      </c>
      <c r="AA206" s="0" t="s">
        <v>235</v>
      </c>
      <c r="AB206" s="32" t="n">
        <v>2200</v>
      </c>
      <c r="AC206" s="32" t="n">
        <v>2200</v>
      </c>
      <c r="AD206" s="26" t="n">
        <f aca="false">IFERROR(AB206/B206,"")</f>
        <v>4.15094339622642</v>
      </c>
      <c r="AE206" s="26" t="n">
        <f aca="false">IFERROR(AC206/B206,"")</f>
        <v>4.15094339622642</v>
      </c>
      <c r="AF206" s="0" t="s">
        <v>236</v>
      </c>
      <c r="AG206" s="0" t="s">
        <v>236</v>
      </c>
      <c r="AH206" s="0" t="s">
        <v>230</v>
      </c>
      <c r="AI206" s="0" t="s">
        <v>1210</v>
      </c>
      <c r="AJ206" s="0" t="s">
        <v>1211</v>
      </c>
      <c r="AK206" s="0" t="s">
        <v>1212</v>
      </c>
      <c r="AL206" s="0" t="s">
        <v>1213</v>
      </c>
      <c r="AM206" s="0" t="s">
        <v>94</v>
      </c>
      <c r="AN206" s="26" t="n">
        <f aca="false">IFERROR(E206*(1+IF(AM206="Apartment",Data_Summary!$C$3,0)),"")</f>
        <v>4.15094339622642</v>
      </c>
      <c r="AO206" s="4" t="n">
        <v>46195</v>
      </c>
    </row>
    <row r="207" customFormat="false" ht="15" hidden="false" customHeight="false" outlineLevel="0" collapsed="false">
      <c r="A207" s="0" t="n">
        <f aca="false">IF(AND(ISNUMBER(B207),B207&gt;0,ISNUMBER(AB207),AB207&gt;0,J207&gt;=Data_Summary!$C$1),1,0)</f>
        <v>1</v>
      </c>
      <c r="B207" s="30" t="n">
        <v>736</v>
      </c>
      <c r="C207" s="5" t="n">
        <f aca="false">IF(ISNUMBER(AB207),AB207,"")</f>
        <v>2800</v>
      </c>
      <c r="D207" s="0" t="n">
        <f aca="false">IF(ISNUMBER(C207),C207-U207*Data_Summary!$C$2,"")</f>
        <v>2800</v>
      </c>
      <c r="E207" s="31" t="n">
        <f aca="false">IFERROR(C207/B207,"")</f>
        <v>3.80434782608696</v>
      </c>
      <c r="F207" s="26" t="n">
        <f aca="false">IFERROR(D207/B207,"")</f>
        <v>3.80434782608696</v>
      </c>
      <c r="G207" s="0" t="str">
        <f aca="false">Q207</f>
        <v>2</v>
      </c>
      <c r="H207" s="0" t="str">
        <f aca="false">IFERROR(LEFT(G207,1),"")</f>
        <v>2</v>
      </c>
      <c r="I207" s="0" t="n">
        <f aca="false">IF(LEN(G207)&gt;1,1,0)</f>
        <v>0</v>
      </c>
      <c r="J207" s="4" t="n">
        <v>45837</v>
      </c>
      <c r="K207" s="0" t="s">
        <v>10</v>
      </c>
      <c r="L207" s="0" t="s">
        <v>91</v>
      </c>
      <c r="M207" s="0" t="s">
        <v>226</v>
      </c>
      <c r="N207" s="0" t="s">
        <v>93</v>
      </c>
      <c r="O207" s="0" t="s">
        <v>1214</v>
      </c>
      <c r="Q207" s="0" t="s">
        <v>251</v>
      </c>
      <c r="R207" s="0" t="n">
        <v>2</v>
      </c>
      <c r="S207" s="5" t="n">
        <v>736</v>
      </c>
      <c r="T207" s="0" t="s">
        <v>252</v>
      </c>
      <c r="U207" s="0" t="n">
        <v>0</v>
      </c>
      <c r="V207" s="0" t="s">
        <v>230</v>
      </c>
      <c r="W207" s="0" t="s">
        <v>244</v>
      </c>
      <c r="X207" s="0" t="s">
        <v>232</v>
      </c>
      <c r="Y207" s="0" t="s">
        <v>278</v>
      </c>
      <c r="Z207" s="0" t="s">
        <v>234</v>
      </c>
      <c r="AA207" s="0" t="s">
        <v>235</v>
      </c>
      <c r="AB207" s="32" t="n">
        <v>2800</v>
      </c>
      <c r="AC207" s="32" t="n">
        <v>2800</v>
      </c>
      <c r="AD207" s="26" t="n">
        <f aca="false">IFERROR(AB207/B207,"")</f>
        <v>3.80434782608696</v>
      </c>
      <c r="AE207" s="26" t="n">
        <f aca="false">IFERROR(AC207/B207,"")</f>
        <v>3.80434782608696</v>
      </c>
      <c r="AF207" s="0" t="s">
        <v>236</v>
      </c>
      <c r="AG207" s="0" t="s">
        <v>236</v>
      </c>
      <c r="AH207" s="0" t="s">
        <v>230</v>
      </c>
      <c r="AI207" s="0" t="s">
        <v>1215</v>
      </c>
      <c r="AJ207" s="0" t="s">
        <v>1216</v>
      </c>
      <c r="AK207" s="0" t="s">
        <v>1217</v>
      </c>
      <c r="AL207" s="0" t="s">
        <v>1218</v>
      </c>
      <c r="AM207" s="0" t="s">
        <v>94</v>
      </c>
      <c r="AN207" s="26" t="n">
        <f aca="false">IFERROR(E207*(1+IF(AM207="Apartment",Data_Summary!$C$3,0)),"")</f>
        <v>3.80434782608696</v>
      </c>
      <c r="AO207" s="4" t="n">
        <v>46195</v>
      </c>
    </row>
    <row r="208" customFormat="false" ht="15" hidden="false" customHeight="false" outlineLevel="0" collapsed="false">
      <c r="A208" s="0" t="n">
        <f aca="false">IF(AND(ISNUMBER(B208),B208&gt;0,ISNUMBER(AB208),AB208&gt;0,J208&gt;=Data_Summary!$C$1),1,0)</f>
        <v>1</v>
      </c>
      <c r="B208" s="30" t="n">
        <v>555</v>
      </c>
      <c r="C208" s="5" t="n">
        <f aca="false">IF(ISNUMBER(AB208),AB208,"")</f>
        <v>2300</v>
      </c>
      <c r="D208" s="0" t="n">
        <f aca="false">IF(ISNUMBER(C208),C208-U208*Data_Summary!$C$2,"")</f>
        <v>2300</v>
      </c>
      <c r="E208" s="31" t="n">
        <f aca="false">IFERROR(C208/B208,"")</f>
        <v>4.14414414414414</v>
      </c>
      <c r="F208" s="26" t="n">
        <f aca="false">IFERROR(D208/B208,"")</f>
        <v>4.14414414414414</v>
      </c>
      <c r="G208" s="0" t="str">
        <f aca="false">Q208</f>
        <v>1+1</v>
      </c>
      <c r="H208" s="0" t="str">
        <f aca="false">IFERROR(LEFT(G208,1),"")</f>
        <v>1</v>
      </c>
      <c r="I208" s="0" t="n">
        <f aca="false">IF(LEN(G208)&gt;1,1,0)</f>
        <v>1</v>
      </c>
      <c r="J208" s="4" t="n">
        <v>45837</v>
      </c>
      <c r="K208" s="0" t="s">
        <v>10</v>
      </c>
      <c r="L208" s="0" t="s">
        <v>91</v>
      </c>
      <c r="M208" s="0" t="s">
        <v>226</v>
      </c>
      <c r="N208" s="0" t="s">
        <v>93</v>
      </c>
      <c r="O208" s="0" t="s">
        <v>1219</v>
      </c>
      <c r="Q208" s="0" t="s">
        <v>270</v>
      </c>
      <c r="R208" s="0" t="n">
        <v>1</v>
      </c>
      <c r="S208" s="5" t="n">
        <v>555</v>
      </c>
      <c r="T208" s="0" t="s">
        <v>243</v>
      </c>
      <c r="U208" s="0" t="n">
        <v>0</v>
      </c>
      <c r="V208" s="0" t="s">
        <v>230</v>
      </c>
      <c r="W208" s="0" t="s">
        <v>244</v>
      </c>
      <c r="X208" s="0" t="s">
        <v>232</v>
      </c>
      <c r="Y208" s="0" t="s">
        <v>253</v>
      </c>
      <c r="Z208" s="0" t="s">
        <v>234</v>
      </c>
      <c r="AA208" s="0" t="s">
        <v>235</v>
      </c>
      <c r="AB208" s="32" t="n">
        <v>2300</v>
      </c>
      <c r="AC208" s="32" t="n">
        <v>2300</v>
      </c>
      <c r="AD208" s="26" t="n">
        <f aca="false">IFERROR(AB208/B208,"")</f>
        <v>4.14414414414414</v>
      </c>
      <c r="AE208" s="26" t="n">
        <f aca="false">IFERROR(AC208/B208,"")</f>
        <v>4.14414414414414</v>
      </c>
      <c r="AF208" s="0" t="s">
        <v>236</v>
      </c>
      <c r="AG208" s="0" t="s">
        <v>236</v>
      </c>
      <c r="AH208" s="0" t="s">
        <v>236</v>
      </c>
      <c r="AI208" s="0" t="s">
        <v>1215</v>
      </c>
      <c r="AJ208" s="0" t="s">
        <v>1220</v>
      </c>
      <c r="AK208" s="0" t="s">
        <v>1221</v>
      </c>
      <c r="AL208" s="0" t="s">
        <v>1222</v>
      </c>
      <c r="AM208" s="0" t="s">
        <v>94</v>
      </c>
      <c r="AN208" s="26" t="n">
        <f aca="false">IFERROR(E208*(1+IF(AM208="Apartment",Data_Summary!$C$3,0)),"")</f>
        <v>4.14414414414414</v>
      </c>
      <c r="AO208" s="4" t="n">
        <v>46195</v>
      </c>
    </row>
    <row r="209" customFormat="false" ht="15" hidden="false" customHeight="false" outlineLevel="0" collapsed="false">
      <c r="A209" s="0" t="n">
        <f aca="false">IF(AND(ISNUMBER(B209),B209&gt;0,ISNUMBER(AB209),AB209&gt;0,J209&gt;=Data_Summary!$C$1),1,0)</f>
        <v>1</v>
      </c>
      <c r="B209" s="33" t="n">
        <v>650</v>
      </c>
      <c r="C209" s="5" t="n">
        <f aca="false">IF(ISNUMBER(AB209),AB209,"")</f>
        <v>2500</v>
      </c>
      <c r="D209" s="0" t="n">
        <f aca="false">IF(ISNUMBER(C209),C209-U209*Data_Summary!$C$2,"")</f>
        <v>2500</v>
      </c>
      <c r="E209" s="34" t="n">
        <f aca="false">IFERROR(C209/B209,"")</f>
        <v>3.84615384615385</v>
      </c>
      <c r="F209" s="26" t="n">
        <f aca="false">IFERROR(D209/B209,"")</f>
        <v>3.84615384615385</v>
      </c>
      <c r="G209" s="0" t="str">
        <f aca="false">Q209</f>
        <v>1+1</v>
      </c>
      <c r="H209" s="0" t="str">
        <f aca="false">IFERROR(LEFT(G209,1),"")</f>
        <v>1</v>
      </c>
      <c r="I209" s="0" t="n">
        <f aca="false">IF(LEN(G209)&gt;1,1,0)</f>
        <v>1</v>
      </c>
      <c r="J209" s="4" t="n">
        <v>45836</v>
      </c>
      <c r="K209" s="0" t="s">
        <v>10</v>
      </c>
      <c r="L209" s="0" t="s">
        <v>91</v>
      </c>
      <c r="M209" s="0" t="s">
        <v>226</v>
      </c>
      <c r="N209" s="0" t="s">
        <v>93</v>
      </c>
      <c r="O209" s="0" t="s">
        <v>1223</v>
      </c>
      <c r="Q209" s="0" t="s">
        <v>270</v>
      </c>
      <c r="R209" s="0" t="n">
        <v>1</v>
      </c>
      <c r="S209" s="5" t="n">
        <v>650</v>
      </c>
      <c r="T209" s="0" t="s">
        <v>243</v>
      </c>
      <c r="U209" s="0" t="n">
        <v>0</v>
      </c>
      <c r="V209" s="0" t="s">
        <v>230</v>
      </c>
      <c r="W209" s="0" t="s">
        <v>244</v>
      </c>
      <c r="X209" s="0" t="s">
        <v>232</v>
      </c>
      <c r="Y209" s="0" t="s">
        <v>278</v>
      </c>
      <c r="Z209" s="0" t="s">
        <v>234</v>
      </c>
      <c r="AA209" s="0" t="s">
        <v>235</v>
      </c>
      <c r="AB209" s="32" t="n">
        <v>2500</v>
      </c>
      <c r="AC209" s="32" t="n">
        <v>2600</v>
      </c>
      <c r="AD209" s="26" t="n">
        <f aca="false">IFERROR(AB209/B209,"")</f>
        <v>3.84615384615385</v>
      </c>
      <c r="AE209" s="26" t="n">
        <f aca="false">IFERROR(AC209/B209,"")</f>
        <v>4</v>
      </c>
      <c r="AF209" s="0" t="s">
        <v>236</v>
      </c>
      <c r="AG209" s="0" t="s">
        <v>236</v>
      </c>
      <c r="AH209" s="0" t="s">
        <v>230</v>
      </c>
      <c r="AI209" s="0" t="s">
        <v>1224</v>
      </c>
      <c r="AJ209" s="0" t="s">
        <v>1225</v>
      </c>
      <c r="AK209" s="0" t="s">
        <v>1226</v>
      </c>
      <c r="AL209" s="0" t="s">
        <v>1227</v>
      </c>
      <c r="AM209" s="0" t="s">
        <v>94</v>
      </c>
      <c r="AN209" s="26" t="n">
        <f aca="false">IFERROR(E209*(1+IF(AM209="Apartment",Data_Summary!$C$3,0)),"")</f>
        <v>3.84615384615385</v>
      </c>
      <c r="AO209" s="4" t="n">
        <v>46195</v>
      </c>
    </row>
    <row r="210" customFormat="false" ht="15" hidden="false" customHeight="false" outlineLevel="0" collapsed="false">
      <c r="A210" s="0" t="n">
        <f aca="false">IF(AND(ISNUMBER(B210),B210&gt;0,ISNUMBER(AB210),AB210&gt;0,J210&gt;=Data_Summary!$C$1),1,0)</f>
        <v>1</v>
      </c>
      <c r="B210" s="30" t="n">
        <v>1122</v>
      </c>
      <c r="C210" s="5" t="n">
        <f aca="false">IF(ISNUMBER(AB210),AB210,"")</f>
        <v>4150</v>
      </c>
      <c r="D210" s="0" t="n">
        <f aca="false">IF(ISNUMBER(C210),C210-U210*Data_Summary!$C$2,"")</f>
        <v>4150</v>
      </c>
      <c r="E210" s="31" t="n">
        <f aca="false">IFERROR(C210/B210,"")</f>
        <v>3.69875222816399</v>
      </c>
      <c r="F210" s="26" t="n">
        <f aca="false">IFERROR(D210/B210,"")</f>
        <v>3.69875222816399</v>
      </c>
      <c r="G210" s="0" t="str">
        <f aca="false">Q210</f>
        <v>3</v>
      </c>
      <c r="H210" s="0" t="str">
        <f aca="false">IFERROR(LEFT(G210,1),"")</f>
        <v>3</v>
      </c>
      <c r="I210" s="0" t="n">
        <f aca="false">IF(LEN(G210)&gt;1,1,0)</f>
        <v>0</v>
      </c>
      <c r="J210" s="4" t="n">
        <v>45836</v>
      </c>
      <c r="K210" s="0" t="s">
        <v>10</v>
      </c>
      <c r="L210" s="0" t="s">
        <v>91</v>
      </c>
      <c r="M210" s="0" t="s">
        <v>226</v>
      </c>
      <c r="N210" s="0" t="s">
        <v>93</v>
      </c>
      <c r="O210" s="0" t="s">
        <v>1228</v>
      </c>
      <c r="Q210" s="0" t="s">
        <v>228</v>
      </c>
      <c r="R210" s="0" t="n">
        <v>3</v>
      </c>
      <c r="S210" s="5" t="n">
        <v>1122</v>
      </c>
      <c r="T210" s="0" t="s">
        <v>265</v>
      </c>
      <c r="U210" s="0" t="n">
        <v>0</v>
      </c>
      <c r="V210" s="0" t="s">
        <v>230</v>
      </c>
      <c r="W210" s="0" t="s">
        <v>244</v>
      </c>
      <c r="X210" s="0" t="s">
        <v>232</v>
      </c>
      <c r="Y210" s="0" t="s">
        <v>260</v>
      </c>
      <c r="Z210" s="0" t="s">
        <v>234</v>
      </c>
      <c r="AA210" s="0" t="s">
        <v>235</v>
      </c>
      <c r="AB210" s="32" t="n">
        <v>4150</v>
      </c>
      <c r="AC210" s="32" t="n">
        <v>4500</v>
      </c>
      <c r="AD210" s="26" t="n">
        <f aca="false">IFERROR(AB210/B210,"")</f>
        <v>3.69875222816399</v>
      </c>
      <c r="AE210" s="26" t="n">
        <f aca="false">IFERROR(AC210/B210,"")</f>
        <v>4.01069518716578</v>
      </c>
      <c r="AF210" s="0" t="s">
        <v>236</v>
      </c>
      <c r="AG210" s="0" t="s">
        <v>236</v>
      </c>
      <c r="AH210" s="0" t="s">
        <v>230</v>
      </c>
      <c r="AI210" s="0" t="s">
        <v>1224</v>
      </c>
      <c r="AJ210" s="0" t="s">
        <v>1229</v>
      </c>
      <c r="AK210" s="0" t="s">
        <v>1230</v>
      </c>
      <c r="AL210" s="0" t="s">
        <v>1231</v>
      </c>
      <c r="AM210" s="0" t="s">
        <v>94</v>
      </c>
      <c r="AN210" s="26" t="n">
        <f aca="false">IFERROR(E210*(1+IF(AM210="Apartment",Data_Summary!$C$3,0)),"")</f>
        <v>3.69875222816399</v>
      </c>
      <c r="AO210" s="4" t="n">
        <v>46195</v>
      </c>
    </row>
    <row r="211" customFormat="false" ht="15" hidden="false" customHeight="false" outlineLevel="0" collapsed="false">
      <c r="A211" s="0" t="n">
        <f aca="false">IF(AND(ISNUMBER(B211),B211&gt;0,ISNUMBER(AB211),AB211&gt;0,J211&gt;=Data_Summary!$C$1),1,0)</f>
        <v>1</v>
      </c>
      <c r="B211" s="33" t="n">
        <v>492</v>
      </c>
      <c r="C211" s="5" t="n">
        <f aca="false">IF(ISNUMBER(AB211),AB211,"")</f>
        <v>2150</v>
      </c>
      <c r="D211" s="0" t="n">
        <f aca="false">IF(ISNUMBER(C211),C211-U211*Data_Summary!$C$2,"")</f>
        <v>2150</v>
      </c>
      <c r="E211" s="34" t="n">
        <f aca="false">IFERROR(C211/B211,"")</f>
        <v>4.36991869918699</v>
      </c>
      <c r="F211" s="26" t="n">
        <f aca="false">IFERROR(D211/B211,"")</f>
        <v>4.36991869918699</v>
      </c>
      <c r="G211" s="0" t="str">
        <f aca="false">Q211</f>
        <v>1</v>
      </c>
      <c r="H211" s="0" t="str">
        <f aca="false">IFERROR(LEFT(G211,1),"")</f>
        <v>1</v>
      </c>
      <c r="I211" s="0" t="n">
        <f aca="false">IF(LEN(G211)&gt;1,1,0)</f>
        <v>0</v>
      </c>
      <c r="J211" s="4" t="n">
        <v>45835</v>
      </c>
      <c r="K211" s="0" t="s">
        <v>10</v>
      </c>
      <c r="L211" s="0" t="s">
        <v>91</v>
      </c>
      <c r="M211" s="0" t="s">
        <v>226</v>
      </c>
      <c r="N211" s="0" t="s">
        <v>93</v>
      </c>
      <c r="O211" s="0" t="s">
        <v>1232</v>
      </c>
      <c r="Q211" s="0" t="s">
        <v>242</v>
      </c>
      <c r="R211" s="0" t="n">
        <v>1</v>
      </c>
      <c r="S211" s="5" t="n">
        <v>492</v>
      </c>
      <c r="T211" s="0" t="s">
        <v>243</v>
      </c>
      <c r="U211" s="0" t="n">
        <v>0</v>
      </c>
      <c r="V211" s="0" t="s">
        <v>230</v>
      </c>
      <c r="W211" s="0" t="s">
        <v>231</v>
      </c>
      <c r="X211" s="0" t="s">
        <v>232</v>
      </c>
      <c r="Y211" s="0" t="s">
        <v>253</v>
      </c>
      <c r="Z211" s="0" t="s">
        <v>234</v>
      </c>
      <c r="AA211" s="0" t="s">
        <v>235</v>
      </c>
      <c r="AB211" s="32" t="n">
        <v>2150</v>
      </c>
      <c r="AC211" s="32" t="n">
        <v>2150</v>
      </c>
      <c r="AD211" s="26" t="n">
        <f aca="false">IFERROR(AB211/B211,"")</f>
        <v>4.36991869918699</v>
      </c>
      <c r="AE211" s="26" t="n">
        <f aca="false">IFERROR(AC211/B211,"")</f>
        <v>4.36991869918699</v>
      </c>
      <c r="AF211" s="0" t="s">
        <v>236</v>
      </c>
      <c r="AG211" s="0" t="s">
        <v>236</v>
      </c>
      <c r="AH211" s="0" t="s">
        <v>230</v>
      </c>
      <c r="AI211" s="0" t="s">
        <v>1233</v>
      </c>
      <c r="AJ211" s="0" t="s">
        <v>1234</v>
      </c>
      <c r="AK211" s="0" t="s">
        <v>1235</v>
      </c>
      <c r="AL211" s="0" t="s">
        <v>1236</v>
      </c>
      <c r="AM211" s="0" t="s">
        <v>94</v>
      </c>
      <c r="AN211" s="26" t="n">
        <f aca="false">IFERROR(E211*(1+IF(AM211="Apartment",Data_Summary!$C$3,0)),"")</f>
        <v>4.36991869918699</v>
      </c>
      <c r="AO211" s="4" t="n">
        <v>46195</v>
      </c>
    </row>
    <row r="212" customFormat="false" ht="15" hidden="false" customHeight="false" outlineLevel="0" collapsed="false">
      <c r="A212" s="0" t="n">
        <f aca="false">IF(AND(ISNUMBER(B212),B212&gt;0,ISNUMBER(AB212),AB212&gt;0,J212&gt;=Data_Summary!$C$1),1,0)</f>
        <v>1</v>
      </c>
      <c r="B212" s="30" t="n">
        <v>505</v>
      </c>
      <c r="C212" s="5" t="n">
        <f aca="false">IF(ISNUMBER(AB212),AB212,"")</f>
        <v>2150</v>
      </c>
      <c r="D212" s="0" t="n">
        <f aca="false">IF(ISNUMBER(C212),C212-U212*Data_Summary!$C$2,"")</f>
        <v>2150</v>
      </c>
      <c r="E212" s="31" t="n">
        <f aca="false">IFERROR(C212/B212,"")</f>
        <v>4.25742574257426</v>
      </c>
      <c r="F212" s="26" t="n">
        <f aca="false">IFERROR(D212/B212,"")</f>
        <v>4.25742574257426</v>
      </c>
      <c r="G212" s="0" t="str">
        <f aca="false">Q212</f>
        <v>1</v>
      </c>
      <c r="H212" s="0" t="str">
        <f aca="false">IFERROR(LEFT(G212,1),"")</f>
        <v>1</v>
      </c>
      <c r="I212" s="0" t="n">
        <f aca="false">IF(LEN(G212)&gt;1,1,0)</f>
        <v>0</v>
      </c>
      <c r="J212" s="4" t="n">
        <v>45835</v>
      </c>
      <c r="K212" s="0" t="s">
        <v>10</v>
      </c>
      <c r="L212" s="0" t="s">
        <v>91</v>
      </c>
      <c r="M212" s="0" t="s">
        <v>226</v>
      </c>
      <c r="N212" s="0" t="s">
        <v>93</v>
      </c>
      <c r="O212" s="0" t="s">
        <v>405</v>
      </c>
      <c r="Q212" s="0" t="s">
        <v>242</v>
      </c>
      <c r="R212" s="0" t="n">
        <v>1</v>
      </c>
      <c r="S212" s="5" t="n">
        <v>505</v>
      </c>
      <c r="T212" s="0" t="s">
        <v>243</v>
      </c>
      <c r="U212" s="0" t="n">
        <v>0</v>
      </c>
      <c r="V212" s="0" t="s">
        <v>230</v>
      </c>
      <c r="W212" s="0" t="s">
        <v>244</v>
      </c>
      <c r="X212" s="0" t="s">
        <v>232</v>
      </c>
      <c r="Y212" s="0" t="s">
        <v>253</v>
      </c>
      <c r="Z212" s="0" t="s">
        <v>234</v>
      </c>
      <c r="AA212" s="0" t="s">
        <v>235</v>
      </c>
      <c r="AB212" s="32" t="n">
        <v>2150</v>
      </c>
      <c r="AC212" s="32" t="n">
        <v>2150</v>
      </c>
      <c r="AD212" s="26" t="n">
        <f aca="false">IFERROR(AB212/B212,"")</f>
        <v>4.25742574257426</v>
      </c>
      <c r="AE212" s="26" t="n">
        <f aca="false">IFERROR(AC212/B212,"")</f>
        <v>4.25742574257426</v>
      </c>
      <c r="AF212" s="0" t="s">
        <v>236</v>
      </c>
      <c r="AG212" s="0" t="s">
        <v>236</v>
      </c>
      <c r="AH212" s="0" t="s">
        <v>230</v>
      </c>
      <c r="AI212" s="0" t="s">
        <v>1233</v>
      </c>
      <c r="AJ212" s="0" t="s">
        <v>1237</v>
      </c>
      <c r="AK212" s="0" t="s">
        <v>1238</v>
      </c>
      <c r="AL212" s="0" t="s">
        <v>1239</v>
      </c>
      <c r="AM212" s="0" t="s">
        <v>94</v>
      </c>
      <c r="AN212" s="26" t="n">
        <f aca="false">IFERROR(E212*(1+IF(AM212="Apartment",Data_Summary!$C$3,0)),"")</f>
        <v>4.25742574257426</v>
      </c>
      <c r="AO212" s="4" t="n">
        <v>46195</v>
      </c>
    </row>
    <row r="213" customFormat="false" ht="15" hidden="false" customHeight="false" outlineLevel="0" collapsed="false">
      <c r="A213" s="0" t="n">
        <f aca="false">IF(AND(ISNUMBER(B213),B213&gt;0,ISNUMBER(AB213),AB213&gt;0,J213&gt;=Data_Summary!$C$1),1,0)</f>
        <v>1</v>
      </c>
      <c r="B213" s="30" t="n">
        <v>505</v>
      </c>
      <c r="C213" s="5" t="n">
        <f aca="false">IF(ISNUMBER(AB213),AB213,"")</f>
        <v>2200</v>
      </c>
      <c r="D213" s="0" t="n">
        <f aca="false">IF(ISNUMBER(C213),C213-U213*Data_Summary!$C$2,"")</f>
        <v>2200</v>
      </c>
      <c r="E213" s="31" t="n">
        <f aca="false">IFERROR(C213/B213,"")</f>
        <v>4.35643564356436</v>
      </c>
      <c r="F213" s="26" t="n">
        <f aca="false">IFERROR(D213/B213,"")</f>
        <v>4.35643564356436</v>
      </c>
      <c r="G213" s="0" t="str">
        <f aca="false">Q213</f>
        <v>1</v>
      </c>
      <c r="H213" s="0" t="str">
        <f aca="false">IFERROR(LEFT(G213,1),"")</f>
        <v>1</v>
      </c>
      <c r="I213" s="0" t="n">
        <f aca="false">IF(LEN(G213)&gt;1,1,0)</f>
        <v>0</v>
      </c>
      <c r="J213" s="4" t="n">
        <v>45834</v>
      </c>
      <c r="K213" s="0" t="s">
        <v>10</v>
      </c>
      <c r="L213" s="0" t="s">
        <v>91</v>
      </c>
      <c r="M213" s="0" t="s">
        <v>226</v>
      </c>
      <c r="N213" s="0" t="s">
        <v>93</v>
      </c>
      <c r="O213" s="0" t="s">
        <v>1240</v>
      </c>
      <c r="Q213" s="0" t="s">
        <v>242</v>
      </c>
      <c r="R213" s="0" t="n">
        <v>1</v>
      </c>
      <c r="S213" s="5" t="n">
        <v>505</v>
      </c>
      <c r="T213" s="0" t="s">
        <v>243</v>
      </c>
      <c r="U213" s="0" t="n">
        <v>0</v>
      </c>
      <c r="V213" s="0" t="s">
        <v>230</v>
      </c>
      <c r="W213" s="0" t="s">
        <v>231</v>
      </c>
      <c r="X213" s="0" t="s">
        <v>232</v>
      </c>
      <c r="Y213" s="0" t="s">
        <v>253</v>
      </c>
      <c r="Z213" s="0" t="s">
        <v>234</v>
      </c>
      <c r="AA213" s="0" t="s">
        <v>235</v>
      </c>
      <c r="AB213" s="32" t="n">
        <v>2200</v>
      </c>
      <c r="AC213" s="32" t="n">
        <v>2250</v>
      </c>
      <c r="AD213" s="26" t="n">
        <f aca="false">IFERROR(AB213/B213,"")</f>
        <v>4.35643564356436</v>
      </c>
      <c r="AE213" s="26" t="n">
        <f aca="false">IFERROR(AC213/B213,"")</f>
        <v>4.45544554455446</v>
      </c>
      <c r="AF213" s="0" t="s">
        <v>236</v>
      </c>
      <c r="AG213" s="0" t="s">
        <v>236</v>
      </c>
      <c r="AH213" s="0" t="s">
        <v>230</v>
      </c>
      <c r="AI213" s="0" t="s">
        <v>1241</v>
      </c>
      <c r="AJ213" s="0" t="s">
        <v>1242</v>
      </c>
      <c r="AK213" s="0" t="s">
        <v>1243</v>
      </c>
      <c r="AL213" s="0" t="s">
        <v>1244</v>
      </c>
      <c r="AM213" s="0" t="s">
        <v>94</v>
      </c>
      <c r="AN213" s="26" t="n">
        <f aca="false">IFERROR(E213*(1+IF(AM213="Apartment",Data_Summary!$C$3,0)),"")</f>
        <v>4.35643564356436</v>
      </c>
      <c r="AO213" s="4" t="n">
        <v>46195</v>
      </c>
    </row>
    <row r="214" customFormat="false" ht="15" hidden="false" customHeight="false" outlineLevel="0" collapsed="false">
      <c r="A214" s="0" t="n">
        <f aca="false">IF(AND(ISNUMBER(B214),B214&gt;0,ISNUMBER(AB214),AB214&gt;0,J214&gt;=Data_Summary!$C$1),1,0)</f>
        <v>1</v>
      </c>
      <c r="B214" s="30" t="n">
        <v>492</v>
      </c>
      <c r="C214" s="5" t="n">
        <f aca="false">IF(ISNUMBER(AB214),AB214,"")</f>
        <v>2100</v>
      </c>
      <c r="D214" s="0" t="n">
        <f aca="false">IF(ISNUMBER(C214),C214-U214*Data_Summary!$C$2,"")</f>
        <v>2100</v>
      </c>
      <c r="E214" s="31" t="n">
        <f aca="false">IFERROR(C214/B214,"")</f>
        <v>4.26829268292683</v>
      </c>
      <c r="F214" s="26" t="n">
        <f aca="false">IFERROR(D214/B214,"")</f>
        <v>4.26829268292683</v>
      </c>
      <c r="G214" s="0" t="str">
        <f aca="false">Q214</f>
        <v>1</v>
      </c>
      <c r="H214" s="0" t="str">
        <f aca="false">IFERROR(LEFT(G214,1),"")</f>
        <v>1</v>
      </c>
      <c r="I214" s="0" t="n">
        <f aca="false">IF(LEN(G214)&gt;1,1,0)</f>
        <v>0</v>
      </c>
      <c r="J214" s="4" t="n">
        <v>45833</v>
      </c>
      <c r="K214" s="0" t="s">
        <v>10</v>
      </c>
      <c r="L214" s="0" t="s">
        <v>91</v>
      </c>
      <c r="M214" s="0" t="s">
        <v>226</v>
      </c>
      <c r="N214" s="0" t="s">
        <v>93</v>
      </c>
      <c r="O214" s="0" t="s">
        <v>1245</v>
      </c>
      <c r="Q214" s="0" t="s">
        <v>242</v>
      </c>
      <c r="R214" s="0" t="n">
        <v>1</v>
      </c>
      <c r="S214" s="5" t="n">
        <v>492</v>
      </c>
      <c r="T214" s="0" t="s">
        <v>303</v>
      </c>
      <c r="U214" s="0" t="n">
        <v>0</v>
      </c>
      <c r="V214" s="0" t="s">
        <v>230</v>
      </c>
      <c r="W214" s="0" t="s">
        <v>244</v>
      </c>
      <c r="X214" s="0" t="s">
        <v>232</v>
      </c>
      <c r="Y214" s="0" t="s">
        <v>253</v>
      </c>
      <c r="Z214" s="0" t="s">
        <v>234</v>
      </c>
      <c r="AA214" s="0" t="s">
        <v>235</v>
      </c>
      <c r="AB214" s="32" t="n">
        <v>2100</v>
      </c>
      <c r="AC214" s="32" t="n">
        <v>2100</v>
      </c>
      <c r="AD214" s="26" t="n">
        <f aca="false">IFERROR(AB214/B214,"")</f>
        <v>4.26829268292683</v>
      </c>
      <c r="AE214" s="26" t="n">
        <f aca="false">IFERROR(AC214/B214,"")</f>
        <v>4.26829268292683</v>
      </c>
      <c r="AF214" s="0" t="s">
        <v>236</v>
      </c>
      <c r="AG214" s="0" t="s">
        <v>236</v>
      </c>
      <c r="AH214" s="0" t="s">
        <v>230</v>
      </c>
      <c r="AI214" s="0" t="s">
        <v>1246</v>
      </c>
      <c r="AJ214" s="0" t="s">
        <v>1247</v>
      </c>
      <c r="AK214" s="0" t="s">
        <v>1248</v>
      </c>
      <c r="AL214" s="0" t="s">
        <v>1249</v>
      </c>
      <c r="AM214" s="0" t="s">
        <v>94</v>
      </c>
      <c r="AN214" s="26" t="n">
        <f aca="false">IFERROR(E214*(1+IF(AM214="Apartment",Data_Summary!$C$3,0)),"")</f>
        <v>4.26829268292683</v>
      </c>
      <c r="AO214" s="4" t="n">
        <v>46195</v>
      </c>
    </row>
    <row r="215" customFormat="false" ht="15" hidden="false" customHeight="false" outlineLevel="0" collapsed="false">
      <c r="A215" s="0" t="n">
        <f aca="false">IF(AND(ISNUMBER(B215),B215&gt;0,ISNUMBER(AB215),AB215&gt;0,J215&gt;=Data_Summary!$C$1),1,0)</f>
        <v>1</v>
      </c>
      <c r="B215" s="30" t="n">
        <v>505</v>
      </c>
      <c r="C215" s="5" t="n">
        <f aca="false">IF(ISNUMBER(AB215),AB215,"")</f>
        <v>2200</v>
      </c>
      <c r="D215" s="0" t="n">
        <f aca="false">IF(ISNUMBER(C215),C215-U215*Data_Summary!$C$2,"")</f>
        <v>2200</v>
      </c>
      <c r="E215" s="31" t="n">
        <f aca="false">IFERROR(C215/B215,"")</f>
        <v>4.35643564356436</v>
      </c>
      <c r="F215" s="26" t="n">
        <f aca="false">IFERROR(D215/B215,"")</f>
        <v>4.35643564356436</v>
      </c>
      <c r="G215" s="0" t="str">
        <f aca="false">Q215</f>
        <v>1</v>
      </c>
      <c r="H215" s="0" t="str">
        <f aca="false">IFERROR(LEFT(G215,1),"")</f>
        <v>1</v>
      </c>
      <c r="I215" s="0" t="n">
        <f aca="false">IF(LEN(G215)&gt;1,1,0)</f>
        <v>0</v>
      </c>
      <c r="J215" s="4" t="n">
        <v>45833</v>
      </c>
      <c r="K215" s="0" t="s">
        <v>10</v>
      </c>
      <c r="L215" s="0" t="s">
        <v>91</v>
      </c>
      <c r="M215" s="0" t="s">
        <v>226</v>
      </c>
      <c r="N215" s="0" t="s">
        <v>93</v>
      </c>
      <c r="O215" s="0" t="s">
        <v>312</v>
      </c>
      <c r="Q215" s="0" t="s">
        <v>242</v>
      </c>
      <c r="R215" s="0" t="n">
        <v>1</v>
      </c>
      <c r="S215" s="5" t="n">
        <v>505</v>
      </c>
      <c r="T215" s="0" t="s">
        <v>243</v>
      </c>
      <c r="U215" s="0" t="n">
        <v>0</v>
      </c>
      <c r="V215" s="0" t="s">
        <v>230</v>
      </c>
      <c r="W215" s="0" t="s">
        <v>231</v>
      </c>
      <c r="X215" s="0" t="s">
        <v>232</v>
      </c>
      <c r="Y215" s="0" t="s">
        <v>253</v>
      </c>
      <c r="Z215" s="0" t="s">
        <v>234</v>
      </c>
      <c r="AA215" s="0" t="s">
        <v>235</v>
      </c>
      <c r="AB215" s="32" t="n">
        <v>2200</v>
      </c>
      <c r="AC215" s="32" t="n">
        <v>2200</v>
      </c>
      <c r="AD215" s="26" t="n">
        <f aca="false">IFERROR(AB215/B215,"")</f>
        <v>4.35643564356436</v>
      </c>
      <c r="AE215" s="26" t="n">
        <f aca="false">IFERROR(AC215/B215,"")</f>
        <v>4.35643564356436</v>
      </c>
      <c r="AF215" s="0" t="s">
        <v>236</v>
      </c>
      <c r="AG215" s="0" t="s">
        <v>236</v>
      </c>
      <c r="AH215" s="0" t="s">
        <v>230</v>
      </c>
      <c r="AI215" s="0" t="s">
        <v>1246</v>
      </c>
      <c r="AJ215" s="0" t="s">
        <v>1250</v>
      </c>
      <c r="AK215" s="0" t="s">
        <v>1251</v>
      </c>
      <c r="AL215" s="0" t="s">
        <v>1252</v>
      </c>
      <c r="AM215" s="0" t="s">
        <v>94</v>
      </c>
      <c r="AN215" s="26" t="n">
        <f aca="false">IFERROR(E215*(1+IF(AM215="Apartment",Data_Summary!$C$3,0)),"")</f>
        <v>4.35643564356436</v>
      </c>
      <c r="AO215" s="4" t="n">
        <v>46195</v>
      </c>
    </row>
    <row r="216" customFormat="false" ht="15" hidden="false" customHeight="false" outlineLevel="0" collapsed="false">
      <c r="A216" s="0" t="n">
        <f aca="false">IF(AND(ISNUMBER(B216),B216&gt;0,ISNUMBER(AB216),AB216&gt;0,J216&gt;=Data_Summary!$C$1),1,0)</f>
        <v>1</v>
      </c>
      <c r="B216" s="30" t="n">
        <v>492</v>
      </c>
      <c r="C216" s="5" t="n">
        <f aca="false">IF(ISNUMBER(AB216),AB216,"")</f>
        <v>2100</v>
      </c>
      <c r="D216" s="0" t="n">
        <f aca="false">IF(ISNUMBER(C216),C216-U216*Data_Summary!$C$2,"")</f>
        <v>2100</v>
      </c>
      <c r="E216" s="31" t="n">
        <f aca="false">IFERROR(C216/B216,"")</f>
        <v>4.26829268292683</v>
      </c>
      <c r="F216" s="26" t="n">
        <f aca="false">IFERROR(D216/B216,"")</f>
        <v>4.26829268292683</v>
      </c>
      <c r="G216" s="0" t="str">
        <f aca="false">Q216</f>
        <v>1</v>
      </c>
      <c r="H216" s="0" t="str">
        <f aca="false">IFERROR(LEFT(G216,1),"")</f>
        <v>1</v>
      </c>
      <c r="I216" s="0" t="n">
        <f aca="false">IF(LEN(G216)&gt;1,1,0)</f>
        <v>0</v>
      </c>
      <c r="J216" s="4" t="n">
        <v>45833</v>
      </c>
      <c r="K216" s="0" t="s">
        <v>10</v>
      </c>
      <c r="L216" s="0" t="s">
        <v>91</v>
      </c>
      <c r="M216" s="0" t="s">
        <v>226</v>
      </c>
      <c r="N216" s="0" t="s">
        <v>93</v>
      </c>
      <c r="O216" s="0" t="s">
        <v>1253</v>
      </c>
      <c r="Q216" s="0" t="s">
        <v>242</v>
      </c>
      <c r="R216" s="0" t="n">
        <v>1</v>
      </c>
      <c r="S216" s="5" t="n">
        <v>492</v>
      </c>
      <c r="T216" s="0" t="s">
        <v>303</v>
      </c>
      <c r="U216" s="0" t="n">
        <v>0</v>
      </c>
      <c r="V216" s="0" t="s">
        <v>230</v>
      </c>
      <c r="W216" s="0" t="s">
        <v>244</v>
      </c>
      <c r="X216" s="0" t="s">
        <v>232</v>
      </c>
      <c r="Y216" s="0" t="s">
        <v>253</v>
      </c>
      <c r="Z216" s="0" t="s">
        <v>234</v>
      </c>
      <c r="AA216" s="0" t="s">
        <v>235</v>
      </c>
      <c r="AB216" s="32" t="n">
        <v>2100</v>
      </c>
      <c r="AC216" s="32" t="n">
        <v>2150</v>
      </c>
      <c r="AD216" s="26" t="n">
        <f aca="false">IFERROR(AB216/B216,"")</f>
        <v>4.26829268292683</v>
      </c>
      <c r="AE216" s="26" t="n">
        <f aca="false">IFERROR(AC216/B216,"")</f>
        <v>4.36991869918699</v>
      </c>
      <c r="AF216" s="0" t="s">
        <v>236</v>
      </c>
      <c r="AG216" s="0" t="s">
        <v>236</v>
      </c>
      <c r="AH216" s="0" t="s">
        <v>230</v>
      </c>
      <c r="AI216" s="0" t="s">
        <v>1246</v>
      </c>
      <c r="AJ216" s="0" t="s">
        <v>1254</v>
      </c>
      <c r="AK216" s="0" t="s">
        <v>1255</v>
      </c>
      <c r="AL216" s="0" t="s">
        <v>1249</v>
      </c>
      <c r="AM216" s="0" t="s">
        <v>94</v>
      </c>
      <c r="AN216" s="26" t="n">
        <f aca="false">IFERROR(E216*(1+IF(AM216="Apartment",Data_Summary!$C$3,0)),"")</f>
        <v>4.26829268292683</v>
      </c>
      <c r="AO216" s="4" t="n">
        <v>46195</v>
      </c>
    </row>
    <row r="217" customFormat="false" ht="15" hidden="false" customHeight="false" outlineLevel="0" collapsed="false">
      <c r="A217" s="0" t="n">
        <f aca="false">IF(AND(ISNUMBER(B217),B217&gt;0,ISNUMBER(AB217),AB217&gt;0,J217&gt;=Data_Summary!$C$1),1,0)</f>
        <v>1</v>
      </c>
      <c r="B217" s="33" t="n">
        <v>920</v>
      </c>
      <c r="C217" s="5" t="n">
        <f aca="false">IF(ISNUMBER(AB217),AB217,"")</f>
        <v>3380</v>
      </c>
      <c r="D217" s="0" t="n">
        <f aca="false">IF(ISNUMBER(C217),C217-U217*Data_Summary!$C$2,"")</f>
        <v>3230</v>
      </c>
      <c r="E217" s="34" t="n">
        <f aca="false">IFERROR(C217/B217,"")</f>
        <v>3.67391304347826</v>
      </c>
      <c r="F217" s="26" t="n">
        <f aca="false">IFERROR(D217/B217,"")</f>
        <v>3.51086956521739</v>
      </c>
      <c r="G217" s="0" t="str">
        <f aca="false">Q217</f>
        <v>2+1</v>
      </c>
      <c r="H217" s="0" t="str">
        <f aca="false">IFERROR(LEFT(G217,1),"")</f>
        <v>2</v>
      </c>
      <c r="I217" s="0" t="n">
        <f aca="false">IF(LEN(G217)&gt;1,1,0)</f>
        <v>1</v>
      </c>
      <c r="J217" s="4" t="n">
        <v>45833</v>
      </c>
      <c r="K217" s="0" t="s">
        <v>10</v>
      </c>
      <c r="L217" s="0" t="s">
        <v>91</v>
      </c>
      <c r="M217" s="0" t="s">
        <v>226</v>
      </c>
      <c r="N217" s="0" t="s">
        <v>93</v>
      </c>
      <c r="O217" s="0" t="s">
        <v>1256</v>
      </c>
      <c r="Q217" s="0" t="s">
        <v>451</v>
      </c>
      <c r="R217" s="0" t="n">
        <v>2</v>
      </c>
      <c r="S217" s="5" t="n">
        <v>920</v>
      </c>
      <c r="T217" s="0" t="s">
        <v>252</v>
      </c>
      <c r="U217" s="0" t="n">
        <v>1</v>
      </c>
      <c r="V217" s="0" t="s">
        <v>230</v>
      </c>
      <c r="W217" s="0" t="s">
        <v>231</v>
      </c>
      <c r="X217" s="0" t="s">
        <v>232</v>
      </c>
      <c r="Y217" s="0" t="s">
        <v>297</v>
      </c>
      <c r="Z217" s="0" t="s">
        <v>234</v>
      </c>
      <c r="AA217" s="0" t="s">
        <v>235</v>
      </c>
      <c r="AB217" s="32" t="n">
        <v>3380</v>
      </c>
      <c r="AC217" s="32" t="n">
        <v>3380</v>
      </c>
      <c r="AD217" s="26" t="n">
        <f aca="false">IFERROR(AB217/B217,"")</f>
        <v>3.67391304347826</v>
      </c>
      <c r="AE217" s="26" t="n">
        <f aca="false">IFERROR(AC217/B217,"")</f>
        <v>3.67391304347826</v>
      </c>
      <c r="AF217" s="0" t="s">
        <v>236</v>
      </c>
      <c r="AG217" s="0" t="s">
        <v>236</v>
      </c>
      <c r="AH217" s="0" t="s">
        <v>230</v>
      </c>
      <c r="AI217" s="0" t="s">
        <v>1246</v>
      </c>
      <c r="AJ217" s="0" t="s">
        <v>1257</v>
      </c>
      <c r="AK217" s="0" t="s">
        <v>1258</v>
      </c>
      <c r="AL217" s="0" t="s">
        <v>1259</v>
      </c>
      <c r="AM217" s="0" t="s">
        <v>94</v>
      </c>
      <c r="AN217" s="26" t="n">
        <f aca="false">IFERROR(E217*(1+IF(AM217="Apartment",Data_Summary!$C$3,0)),"")</f>
        <v>3.67391304347826</v>
      </c>
      <c r="AO217" s="4" t="n">
        <v>46195</v>
      </c>
    </row>
    <row r="218" customFormat="false" ht="15" hidden="false" customHeight="false" outlineLevel="0" collapsed="false">
      <c r="A218" s="0" t="n">
        <f aca="false">IF(AND(ISNUMBER(B218),B218&gt;0,ISNUMBER(AB218),AB218&gt;0,J218&gt;=Data_Summary!$C$1),1,0)</f>
        <v>1</v>
      </c>
      <c r="B218" s="33" t="n">
        <v>600</v>
      </c>
      <c r="C218" s="5" t="n">
        <f aca="false">IF(ISNUMBER(AB218),AB218,"")</f>
        <v>2375</v>
      </c>
      <c r="D218" s="0" t="n">
        <f aca="false">IF(ISNUMBER(C218),C218-U218*Data_Summary!$C$2,"")</f>
        <v>2375</v>
      </c>
      <c r="E218" s="34" t="n">
        <f aca="false">IFERROR(C218/B218,"")</f>
        <v>3.95833333333333</v>
      </c>
      <c r="F218" s="26" t="n">
        <f aca="false">IFERROR(D218/B218,"")</f>
        <v>3.95833333333333</v>
      </c>
      <c r="G218" s="0" t="str">
        <f aca="false">Q218</f>
        <v>1</v>
      </c>
      <c r="H218" s="0" t="str">
        <f aca="false">IFERROR(LEFT(G218,1),"")</f>
        <v>1</v>
      </c>
      <c r="I218" s="0" t="n">
        <f aca="false">IF(LEN(G218)&gt;1,1,0)</f>
        <v>0</v>
      </c>
      <c r="J218" s="4" t="n">
        <v>45833</v>
      </c>
      <c r="K218" s="0" t="s">
        <v>10</v>
      </c>
      <c r="L218" s="0" t="s">
        <v>91</v>
      </c>
      <c r="M218" s="0" t="s">
        <v>226</v>
      </c>
      <c r="N218" s="0" t="s">
        <v>93</v>
      </c>
      <c r="O218" s="0" t="s">
        <v>1260</v>
      </c>
      <c r="Q218" s="0" t="s">
        <v>242</v>
      </c>
      <c r="R218" s="0" t="n">
        <v>1</v>
      </c>
      <c r="S218" s="5" t="n">
        <v>600</v>
      </c>
      <c r="T218" s="0" t="s">
        <v>243</v>
      </c>
      <c r="U218" s="0" t="n">
        <v>0</v>
      </c>
      <c r="V218" s="0" t="s">
        <v>230</v>
      </c>
      <c r="W218" s="0" t="s">
        <v>244</v>
      </c>
      <c r="X218" s="0" t="s">
        <v>232</v>
      </c>
      <c r="Y218" s="0" t="s">
        <v>260</v>
      </c>
      <c r="Z218" s="0" t="s">
        <v>234</v>
      </c>
      <c r="AA218" s="0" t="s">
        <v>235</v>
      </c>
      <c r="AB218" s="32" t="n">
        <v>2375</v>
      </c>
      <c r="AC218" s="32" t="n">
        <v>2420</v>
      </c>
      <c r="AD218" s="26" t="n">
        <f aca="false">IFERROR(AB218/B218,"")</f>
        <v>3.95833333333333</v>
      </c>
      <c r="AE218" s="26" t="n">
        <f aca="false">IFERROR(AC218/B218,"")</f>
        <v>4.03333333333333</v>
      </c>
      <c r="AF218" s="0" t="s">
        <v>236</v>
      </c>
      <c r="AG218" s="0" t="s">
        <v>236</v>
      </c>
      <c r="AH218" s="0" t="s">
        <v>230</v>
      </c>
      <c r="AI218" s="0" t="s">
        <v>1246</v>
      </c>
      <c r="AJ218" s="0" t="s">
        <v>1261</v>
      </c>
      <c r="AK218" s="0" t="s">
        <v>1262</v>
      </c>
      <c r="AL218" s="0" t="s">
        <v>1263</v>
      </c>
      <c r="AM218" s="0" t="s">
        <v>94</v>
      </c>
      <c r="AN218" s="26" t="n">
        <f aca="false">IFERROR(E218*(1+IF(AM218="Apartment",Data_Summary!$C$3,0)),"")</f>
        <v>3.95833333333333</v>
      </c>
      <c r="AO218" s="4" t="n">
        <v>46195</v>
      </c>
    </row>
    <row r="219" customFormat="false" ht="15" hidden="false" customHeight="false" outlineLevel="0" collapsed="false">
      <c r="A219" s="0" t="n">
        <f aca="false">IF(AND(ISNUMBER(B219),B219&gt;0,ISNUMBER(AB219),AB219&gt;0,J219&gt;=Data_Summary!$C$1),1,0)</f>
        <v>1</v>
      </c>
      <c r="B219" s="33" t="n">
        <v>650</v>
      </c>
      <c r="C219" s="5" t="n">
        <f aca="false">IF(ISNUMBER(AB219),AB219,"")</f>
        <v>2450</v>
      </c>
      <c r="D219" s="0" t="n">
        <f aca="false">IF(ISNUMBER(C219),C219-U219*Data_Summary!$C$2,"")</f>
        <v>2450</v>
      </c>
      <c r="E219" s="34" t="n">
        <f aca="false">IFERROR(C219/B219,"")</f>
        <v>3.76923076923077</v>
      </c>
      <c r="F219" s="26" t="n">
        <f aca="false">IFERROR(D219/B219,"")</f>
        <v>3.76923076923077</v>
      </c>
      <c r="G219" s="0" t="str">
        <f aca="false">Q219</f>
        <v>1+1</v>
      </c>
      <c r="H219" s="0" t="str">
        <f aca="false">IFERROR(LEFT(G219,1),"")</f>
        <v>1</v>
      </c>
      <c r="I219" s="0" t="n">
        <f aca="false">IF(LEN(G219)&gt;1,1,0)</f>
        <v>1</v>
      </c>
      <c r="J219" s="4" t="n">
        <v>45833</v>
      </c>
      <c r="K219" s="0" t="s">
        <v>10</v>
      </c>
      <c r="L219" s="0" t="s">
        <v>91</v>
      </c>
      <c r="M219" s="0" t="s">
        <v>226</v>
      </c>
      <c r="N219" s="0" t="s">
        <v>93</v>
      </c>
      <c r="O219" s="0" t="s">
        <v>1264</v>
      </c>
      <c r="Q219" s="0" t="s">
        <v>270</v>
      </c>
      <c r="R219" s="0" t="n">
        <v>1</v>
      </c>
      <c r="S219" s="5" t="n">
        <v>650</v>
      </c>
      <c r="T219" s="0" t="s">
        <v>243</v>
      </c>
      <c r="U219" s="0" t="n">
        <v>0</v>
      </c>
      <c r="V219" s="0" t="s">
        <v>230</v>
      </c>
      <c r="W219" s="0" t="s">
        <v>244</v>
      </c>
      <c r="X219" s="0" t="s">
        <v>232</v>
      </c>
      <c r="Y219" s="0" t="s">
        <v>278</v>
      </c>
      <c r="Z219" s="0" t="s">
        <v>234</v>
      </c>
      <c r="AA219" s="0" t="s">
        <v>235</v>
      </c>
      <c r="AB219" s="32" t="n">
        <v>2450</v>
      </c>
      <c r="AC219" s="32" t="n">
        <v>2480</v>
      </c>
      <c r="AD219" s="26" t="n">
        <f aca="false">IFERROR(AB219/B219,"")</f>
        <v>3.76923076923077</v>
      </c>
      <c r="AE219" s="26" t="n">
        <f aca="false">IFERROR(AC219/B219,"")</f>
        <v>3.81538461538462</v>
      </c>
      <c r="AF219" s="0" t="s">
        <v>236</v>
      </c>
      <c r="AG219" s="0" t="s">
        <v>236</v>
      </c>
      <c r="AH219" s="0" t="s">
        <v>230</v>
      </c>
      <c r="AI219" s="0" t="s">
        <v>1246</v>
      </c>
      <c r="AJ219" s="0" t="s">
        <v>1265</v>
      </c>
      <c r="AK219" s="0" t="s">
        <v>1266</v>
      </c>
      <c r="AL219" s="0" t="s">
        <v>1267</v>
      </c>
      <c r="AM219" s="0" t="s">
        <v>94</v>
      </c>
      <c r="AN219" s="26" t="n">
        <f aca="false">IFERROR(E219*(1+IF(AM219="Apartment",Data_Summary!$C$3,0)),"")</f>
        <v>3.76923076923077</v>
      </c>
      <c r="AO219" s="4" t="n">
        <v>46195</v>
      </c>
    </row>
    <row r="220" customFormat="false" ht="15" hidden="false" customHeight="false" outlineLevel="0" collapsed="false">
      <c r="A220" s="0" t="n">
        <f aca="false">IF(AND(ISNUMBER(B220),B220&gt;0,ISNUMBER(AB220),AB220&gt;0,J220&gt;=Data_Summary!$C$1),1,0)</f>
        <v>1</v>
      </c>
      <c r="B220" s="30" t="n">
        <v>492</v>
      </c>
      <c r="C220" s="5" t="n">
        <f aca="false">IF(ISNUMBER(AB220),AB220,"")</f>
        <v>2100</v>
      </c>
      <c r="D220" s="0" t="n">
        <f aca="false">IF(ISNUMBER(C220),C220-U220*Data_Summary!$C$2,"")</f>
        <v>2100</v>
      </c>
      <c r="E220" s="31" t="n">
        <f aca="false">IFERROR(C220/B220,"")</f>
        <v>4.26829268292683</v>
      </c>
      <c r="F220" s="26" t="n">
        <f aca="false">IFERROR(D220/B220,"")</f>
        <v>4.26829268292683</v>
      </c>
      <c r="G220" s="0" t="str">
        <f aca="false">Q220</f>
        <v>1</v>
      </c>
      <c r="H220" s="0" t="str">
        <f aca="false">IFERROR(LEFT(G220,1),"")</f>
        <v>1</v>
      </c>
      <c r="I220" s="0" t="n">
        <f aca="false">IF(LEN(G220)&gt;1,1,0)</f>
        <v>0</v>
      </c>
      <c r="J220" s="4" t="n">
        <v>45832</v>
      </c>
      <c r="K220" s="0" t="s">
        <v>10</v>
      </c>
      <c r="L220" s="0" t="s">
        <v>91</v>
      </c>
      <c r="M220" s="0" t="s">
        <v>226</v>
      </c>
      <c r="N220" s="0" t="s">
        <v>93</v>
      </c>
      <c r="O220" s="0" t="s">
        <v>1268</v>
      </c>
      <c r="Q220" s="0" t="s">
        <v>242</v>
      </c>
      <c r="R220" s="0" t="n">
        <v>1</v>
      </c>
      <c r="S220" s="5" t="n">
        <v>492</v>
      </c>
      <c r="T220" s="0" t="s">
        <v>303</v>
      </c>
      <c r="U220" s="0" t="n">
        <v>0</v>
      </c>
      <c r="V220" s="0" t="s">
        <v>230</v>
      </c>
      <c r="W220" s="0" t="s">
        <v>244</v>
      </c>
      <c r="X220" s="0" t="s">
        <v>232</v>
      </c>
      <c r="Y220" s="0" t="s">
        <v>253</v>
      </c>
      <c r="Z220" s="0" t="s">
        <v>234</v>
      </c>
      <c r="AA220" s="0" t="s">
        <v>235</v>
      </c>
      <c r="AB220" s="32" t="n">
        <v>2100</v>
      </c>
      <c r="AC220" s="32" t="n">
        <v>2100</v>
      </c>
      <c r="AD220" s="26" t="n">
        <f aca="false">IFERROR(AB220/B220,"")</f>
        <v>4.26829268292683</v>
      </c>
      <c r="AE220" s="26" t="n">
        <f aca="false">IFERROR(AC220/B220,"")</f>
        <v>4.26829268292683</v>
      </c>
      <c r="AF220" s="0" t="s">
        <v>236</v>
      </c>
      <c r="AG220" s="0" t="s">
        <v>236</v>
      </c>
      <c r="AH220" s="0" t="s">
        <v>230</v>
      </c>
      <c r="AI220" s="0" t="s">
        <v>1269</v>
      </c>
      <c r="AJ220" s="0" t="s">
        <v>1270</v>
      </c>
      <c r="AK220" s="0" t="s">
        <v>1271</v>
      </c>
      <c r="AL220" s="0" t="s">
        <v>1272</v>
      </c>
      <c r="AM220" s="0" t="s">
        <v>94</v>
      </c>
      <c r="AN220" s="26" t="n">
        <f aca="false">IFERROR(E220*(1+IF(AM220="Apartment",Data_Summary!$C$3,0)),"")</f>
        <v>4.26829268292683</v>
      </c>
      <c r="AO220" s="4" t="n">
        <v>46195</v>
      </c>
    </row>
    <row r="221" customFormat="false" ht="15" hidden="false" customHeight="false" outlineLevel="0" collapsed="false">
      <c r="A221" s="0" t="n">
        <f aca="false">IF(AND(ISNUMBER(B221),B221&gt;0,ISNUMBER(AB221),AB221&gt;0,J221&gt;=Data_Summary!$C$1),1,0)</f>
        <v>1</v>
      </c>
      <c r="B221" s="30" t="n">
        <v>492</v>
      </c>
      <c r="C221" s="5" t="n">
        <f aca="false">IF(ISNUMBER(AB221),AB221,"")</f>
        <v>2100</v>
      </c>
      <c r="D221" s="0" t="n">
        <f aca="false">IF(ISNUMBER(C221),C221-U221*Data_Summary!$C$2,"")</f>
        <v>2100</v>
      </c>
      <c r="E221" s="31" t="n">
        <f aca="false">IFERROR(C221/B221,"")</f>
        <v>4.26829268292683</v>
      </c>
      <c r="F221" s="26" t="n">
        <f aca="false">IFERROR(D221/B221,"")</f>
        <v>4.26829268292683</v>
      </c>
      <c r="G221" s="0" t="str">
        <f aca="false">Q221</f>
        <v>1</v>
      </c>
      <c r="H221" s="0" t="str">
        <f aca="false">IFERROR(LEFT(G221,1),"")</f>
        <v>1</v>
      </c>
      <c r="I221" s="0" t="n">
        <f aca="false">IF(LEN(G221)&gt;1,1,0)</f>
        <v>0</v>
      </c>
      <c r="J221" s="4" t="n">
        <v>45832</v>
      </c>
      <c r="K221" s="0" t="s">
        <v>10</v>
      </c>
      <c r="L221" s="0" t="s">
        <v>91</v>
      </c>
      <c r="M221" s="0" t="s">
        <v>226</v>
      </c>
      <c r="N221" s="0" t="s">
        <v>93</v>
      </c>
      <c r="O221" s="0" t="s">
        <v>1273</v>
      </c>
      <c r="Q221" s="0" t="s">
        <v>242</v>
      </c>
      <c r="R221" s="0" t="n">
        <v>1</v>
      </c>
      <c r="S221" s="5" t="n">
        <v>492</v>
      </c>
      <c r="T221" s="0" t="s">
        <v>303</v>
      </c>
      <c r="U221" s="0" t="n">
        <v>0</v>
      </c>
      <c r="V221" s="0" t="s">
        <v>230</v>
      </c>
      <c r="W221" s="0" t="s">
        <v>244</v>
      </c>
      <c r="X221" s="0" t="s">
        <v>232</v>
      </c>
      <c r="Y221" s="0" t="s">
        <v>253</v>
      </c>
      <c r="Z221" s="0" t="s">
        <v>234</v>
      </c>
      <c r="AA221" s="0" t="s">
        <v>235</v>
      </c>
      <c r="AB221" s="32" t="n">
        <v>2100</v>
      </c>
      <c r="AC221" s="32" t="n">
        <v>2150</v>
      </c>
      <c r="AD221" s="26" t="n">
        <f aca="false">IFERROR(AB221/B221,"")</f>
        <v>4.26829268292683</v>
      </c>
      <c r="AE221" s="26" t="n">
        <f aca="false">IFERROR(AC221/B221,"")</f>
        <v>4.36991869918699</v>
      </c>
      <c r="AF221" s="0" t="s">
        <v>236</v>
      </c>
      <c r="AG221" s="0" t="s">
        <v>236</v>
      </c>
      <c r="AH221" s="0" t="s">
        <v>230</v>
      </c>
      <c r="AI221" s="0" t="s">
        <v>1269</v>
      </c>
      <c r="AJ221" s="0" t="s">
        <v>1274</v>
      </c>
      <c r="AK221" s="0" t="s">
        <v>1275</v>
      </c>
      <c r="AL221" s="0" t="s">
        <v>1272</v>
      </c>
      <c r="AM221" s="0" t="s">
        <v>94</v>
      </c>
      <c r="AN221" s="26" t="n">
        <f aca="false">IFERROR(E221*(1+IF(AM221="Apartment",Data_Summary!$C$3,0)),"")</f>
        <v>4.26829268292683</v>
      </c>
      <c r="AO221" s="4" t="n">
        <v>46195</v>
      </c>
    </row>
    <row r="222" customFormat="false" ht="15" hidden="false" customHeight="false" outlineLevel="0" collapsed="false">
      <c r="A222" s="0" t="n">
        <f aca="false">IF(AND(ISNUMBER(B222),B222&gt;0,ISNUMBER(AB222),AB222&gt;0,J222&gt;=Data_Summary!$C$1),1,0)</f>
        <v>1</v>
      </c>
      <c r="B222" s="30" t="n">
        <v>505</v>
      </c>
      <c r="C222" s="5" t="n">
        <f aca="false">IF(ISNUMBER(AB222),AB222,"")</f>
        <v>2100</v>
      </c>
      <c r="D222" s="0" t="n">
        <f aca="false">IF(ISNUMBER(C222),C222-U222*Data_Summary!$C$2,"")</f>
        <v>2100</v>
      </c>
      <c r="E222" s="31" t="n">
        <f aca="false">IFERROR(C222/B222,"")</f>
        <v>4.15841584158416</v>
      </c>
      <c r="F222" s="26" t="n">
        <f aca="false">IFERROR(D222/B222,"")</f>
        <v>4.15841584158416</v>
      </c>
      <c r="G222" s="0" t="str">
        <f aca="false">Q222</f>
        <v>1</v>
      </c>
      <c r="H222" s="0" t="str">
        <f aca="false">IFERROR(LEFT(G222,1),"")</f>
        <v>1</v>
      </c>
      <c r="I222" s="0" t="n">
        <f aca="false">IF(LEN(G222)&gt;1,1,0)</f>
        <v>0</v>
      </c>
      <c r="J222" s="4" t="n">
        <v>45832</v>
      </c>
      <c r="K222" s="0" t="s">
        <v>10</v>
      </c>
      <c r="L222" s="0" t="s">
        <v>91</v>
      </c>
      <c r="M222" s="0" t="s">
        <v>226</v>
      </c>
      <c r="N222" s="0" t="s">
        <v>93</v>
      </c>
      <c r="O222" s="0" t="s">
        <v>1276</v>
      </c>
      <c r="Q222" s="0" t="s">
        <v>242</v>
      </c>
      <c r="R222" s="0" t="n">
        <v>1</v>
      </c>
      <c r="S222" s="5" t="n">
        <v>505</v>
      </c>
      <c r="T222" s="0" t="s">
        <v>243</v>
      </c>
      <c r="U222" s="0" t="n">
        <v>0</v>
      </c>
      <c r="V222" s="0" t="s">
        <v>230</v>
      </c>
      <c r="W222" s="0" t="s">
        <v>244</v>
      </c>
      <c r="X222" s="0" t="s">
        <v>232</v>
      </c>
      <c r="Y222" s="0" t="s">
        <v>253</v>
      </c>
      <c r="Z222" s="0" t="s">
        <v>234</v>
      </c>
      <c r="AA222" s="0" t="s">
        <v>235</v>
      </c>
      <c r="AB222" s="32" t="n">
        <v>2100</v>
      </c>
      <c r="AC222" s="32" t="n">
        <v>2100</v>
      </c>
      <c r="AD222" s="26" t="n">
        <f aca="false">IFERROR(AB222/B222,"")</f>
        <v>4.15841584158416</v>
      </c>
      <c r="AE222" s="26" t="n">
        <f aca="false">IFERROR(AC222/B222,"")</f>
        <v>4.15841584158416</v>
      </c>
      <c r="AF222" s="0" t="s">
        <v>236</v>
      </c>
      <c r="AG222" s="0" t="s">
        <v>236</v>
      </c>
      <c r="AH222" s="0" t="s">
        <v>230</v>
      </c>
      <c r="AI222" s="0" t="s">
        <v>1269</v>
      </c>
      <c r="AJ222" s="0" t="s">
        <v>1277</v>
      </c>
      <c r="AK222" s="0" t="s">
        <v>1278</v>
      </c>
      <c r="AL222" s="0" t="s">
        <v>1279</v>
      </c>
      <c r="AM222" s="0" t="s">
        <v>94</v>
      </c>
      <c r="AN222" s="26" t="n">
        <f aca="false">IFERROR(E222*(1+IF(AM222="Apartment",Data_Summary!$C$3,0)),"")</f>
        <v>4.15841584158416</v>
      </c>
      <c r="AO222" s="4" t="n">
        <v>46195</v>
      </c>
    </row>
    <row r="223" customFormat="false" ht="15" hidden="false" customHeight="false" outlineLevel="0" collapsed="false">
      <c r="A223" s="0" t="n">
        <f aca="false">IF(AND(ISNUMBER(B223),B223&gt;0,ISNUMBER(AB223),AB223&gt;0,J223&gt;=Data_Summary!$C$1),1,0)</f>
        <v>1</v>
      </c>
      <c r="B223" s="33" t="n">
        <v>492</v>
      </c>
      <c r="C223" s="5" t="n">
        <f aca="false">IF(ISNUMBER(AB223),AB223,"")</f>
        <v>2100</v>
      </c>
      <c r="D223" s="0" t="n">
        <f aca="false">IF(ISNUMBER(C223),C223-U223*Data_Summary!$C$2,"")</f>
        <v>2100</v>
      </c>
      <c r="E223" s="34" t="n">
        <f aca="false">IFERROR(C223/B223,"")</f>
        <v>4.26829268292683</v>
      </c>
      <c r="F223" s="26" t="n">
        <f aca="false">IFERROR(D223/B223,"")</f>
        <v>4.26829268292683</v>
      </c>
      <c r="G223" s="0" t="str">
        <f aca="false">Q223</f>
        <v>1</v>
      </c>
      <c r="H223" s="0" t="str">
        <f aca="false">IFERROR(LEFT(G223,1),"")</f>
        <v>1</v>
      </c>
      <c r="I223" s="0" t="n">
        <f aca="false">IF(LEN(G223)&gt;1,1,0)</f>
        <v>0</v>
      </c>
      <c r="J223" s="4" t="n">
        <v>45831</v>
      </c>
      <c r="K223" s="0" t="s">
        <v>10</v>
      </c>
      <c r="L223" s="0" t="s">
        <v>91</v>
      </c>
      <c r="M223" s="0" t="s">
        <v>226</v>
      </c>
      <c r="N223" s="0" t="s">
        <v>93</v>
      </c>
      <c r="O223" s="0" t="s">
        <v>1280</v>
      </c>
      <c r="Q223" s="0" t="s">
        <v>242</v>
      </c>
      <c r="R223" s="0" t="n">
        <v>1</v>
      </c>
      <c r="S223" s="5" t="n">
        <v>492</v>
      </c>
      <c r="T223" s="0" t="s">
        <v>243</v>
      </c>
      <c r="U223" s="0" t="n">
        <v>0</v>
      </c>
      <c r="V223" s="0" t="s">
        <v>230</v>
      </c>
      <c r="W223" s="0" t="s">
        <v>244</v>
      </c>
      <c r="X223" s="0" t="s">
        <v>232</v>
      </c>
      <c r="Y223" s="0" t="s">
        <v>253</v>
      </c>
      <c r="Z223" s="0" t="s">
        <v>234</v>
      </c>
      <c r="AA223" s="0" t="s">
        <v>235</v>
      </c>
      <c r="AB223" s="32" t="n">
        <v>2100</v>
      </c>
      <c r="AC223" s="32" t="n">
        <v>2100</v>
      </c>
      <c r="AD223" s="26" t="n">
        <f aca="false">IFERROR(AB223/B223,"")</f>
        <v>4.26829268292683</v>
      </c>
      <c r="AE223" s="26" t="n">
        <f aca="false">IFERROR(AC223/B223,"")</f>
        <v>4.26829268292683</v>
      </c>
      <c r="AF223" s="0" t="s">
        <v>236</v>
      </c>
      <c r="AG223" s="0" t="s">
        <v>236</v>
      </c>
      <c r="AH223" s="0" t="s">
        <v>230</v>
      </c>
      <c r="AI223" s="0" t="s">
        <v>1281</v>
      </c>
      <c r="AJ223" s="0" t="s">
        <v>1282</v>
      </c>
      <c r="AK223" s="0" t="s">
        <v>1283</v>
      </c>
      <c r="AL223" s="0" t="s">
        <v>1284</v>
      </c>
      <c r="AM223" s="0" t="s">
        <v>94</v>
      </c>
      <c r="AN223" s="26" t="n">
        <f aca="false">IFERROR(E223*(1+IF(AM223="Apartment",Data_Summary!$C$3,0)),"")</f>
        <v>4.26829268292683</v>
      </c>
      <c r="AO223" s="4" t="n">
        <v>46195</v>
      </c>
    </row>
    <row r="224" customFormat="false" ht="15" hidden="false" customHeight="false" outlineLevel="0" collapsed="false">
      <c r="A224" s="0" t="n">
        <f aca="false">IF(AND(ISNUMBER(B224),B224&gt;0,ISNUMBER(AB224),AB224&gt;0,J224&gt;=Data_Summary!$C$1),1,0)</f>
        <v>1</v>
      </c>
      <c r="B224" s="30" t="n">
        <v>545</v>
      </c>
      <c r="C224" s="5" t="n">
        <f aca="false">IF(ISNUMBER(AB224),AB224,"")</f>
        <v>2100</v>
      </c>
      <c r="D224" s="0" t="n">
        <f aca="false">IF(ISNUMBER(C224),C224-U224*Data_Summary!$C$2,"")</f>
        <v>2100</v>
      </c>
      <c r="E224" s="31" t="n">
        <f aca="false">IFERROR(C224/B224,"")</f>
        <v>3.85321100917431</v>
      </c>
      <c r="F224" s="26" t="n">
        <f aca="false">IFERROR(D224/B224,"")</f>
        <v>3.85321100917431</v>
      </c>
      <c r="G224" s="0" t="str">
        <f aca="false">Q224</f>
        <v>1</v>
      </c>
      <c r="H224" s="0" t="str">
        <f aca="false">IFERROR(LEFT(G224,1),"")</f>
        <v>1</v>
      </c>
      <c r="I224" s="0" t="n">
        <f aca="false">IF(LEN(G224)&gt;1,1,0)</f>
        <v>0</v>
      </c>
      <c r="J224" s="4" t="n">
        <v>45831</v>
      </c>
      <c r="K224" s="0" t="s">
        <v>10</v>
      </c>
      <c r="L224" s="0" t="s">
        <v>91</v>
      </c>
      <c r="M224" s="0" t="s">
        <v>226</v>
      </c>
      <c r="N224" s="0" t="s">
        <v>93</v>
      </c>
      <c r="O224" s="0" t="s">
        <v>1285</v>
      </c>
      <c r="Q224" s="0" t="s">
        <v>242</v>
      </c>
      <c r="R224" s="0" t="n">
        <v>1</v>
      </c>
      <c r="S224" s="5" t="n">
        <v>545</v>
      </c>
      <c r="T224" s="0" t="s">
        <v>243</v>
      </c>
      <c r="U224" s="0" t="n">
        <v>0</v>
      </c>
      <c r="V224" s="0" t="s">
        <v>230</v>
      </c>
      <c r="W224" s="0" t="s">
        <v>244</v>
      </c>
      <c r="X224" s="0" t="s">
        <v>232</v>
      </c>
      <c r="Y224" s="0" t="s">
        <v>253</v>
      </c>
      <c r="Z224" s="0" t="s">
        <v>234</v>
      </c>
      <c r="AA224" s="0" t="s">
        <v>235</v>
      </c>
      <c r="AB224" s="32" t="n">
        <v>2100</v>
      </c>
      <c r="AC224" s="32" t="n">
        <v>2100</v>
      </c>
      <c r="AD224" s="26" t="n">
        <f aca="false">IFERROR(AB224/B224,"")</f>
        <v>3.85321100917431</v>
      </c>
      <c r="AE224" s="26" t="n">
        <f aca="false">IFERROR(AC224/B224,"")</f>
        <v>3.85321100917431</v>
      </c>
      <c r="AF224" s="0" t="s">
        <v>236</v>
      </c>
      <c r="AG224" s="0" t="s">
        <v>236</v>
      </c>
      <c r="AH224" s="0" t="s">
        <v>230</v>
      </c>
      <c r="AI224" s="0" t="s">
        <v>1281</v>
      </c>
      <c r="AJ224" s="0" t="s">
        <v>1286</v>
      </c>
      <c r="AK224" s="0" t="s">
        <v>1287</v>
      </c>
      <c r="AL224" s="0" t="s">
        <v>1288</v>
      </c>
      <c r="AM224" s="0" t="s">
        <v>94</v>
      </c>
      <c r="AN224" s="26" t="n">
        <f aca="false">IFERROR(E224*(1+IF(AM224="Apartment",Data_Summary!$C$3,0)),"")</f>
        <v>3.85321100917431</v>
      </c>
      <c r="AO224" s="4" t="n">
        <v>46195</v>
      </c>
    </row>
    <row r="225" customFormat="false" ht="15" hidden="false" customHeight="false" outlineLevel="0" collapsed="false">
      <c r="A225" s="0" t="n">
        <f aca="false">IF(AND(ISNUMBER(B225),B225&gt;0,ISNUMBER(AB225),AB225&gt;0,J225&gt;=Data_Summary!$C$1),1,0)</f>
        <v>1</v>
      </c>
      <c r="B225" s="33" t="n">
        <v>535</v>
      </c>
      <c r="C225" s="5" t="n">
        <f aca="false">IF(ISNUMBER(AB225),AB225,"")</f>
        <v>2500</v>
      </c>
      <c r="D225" s="0" t="n">
        <f aca="false">IF(ISNUMBER(C225),C225-U225*Data_Summary!$C$2,"")</f>
        <v>2500</v>
      </c>
      <c r="E225" s="34" t="n">
        <f aca="false">IFERROR(C225/B225,"")</f>
        <v>4.67289719626168</v>
      </c>
      <c r="F225" s="26" t="n">
        <f aca="false">IFERROR(D225/B225,"")</f>
        <v>4.67289719626168</v>
      </c>
      <c r="G225" s="0" t="str">
        <f aca="false">Q225</f>
        <v>1+1</v>
      </c>
      <c r="H225" s="0" t="str">
        <f aca="false">IFERROR(LEFT(G225,1),"")</f>
        <v>1</v>
      </c>
      <c r="I225" s="0" t="n">
        <f aca="false">IF(LEN(G225)&gt;1,1,0)</f>
        <v>1</v>
      </c>
      <c r="J225" s="4" t="n">
        <v>45831</v>
      </c>
      <c r="K225" s="0" t="s">
        <v>10</v>
      </c>
      <c r="L225" s="0" t="s">
        <v>91</v>
      </c>
      <c r="M225" s="0" t="s">
        <v>226</v>
      </c>
      <c r="N225" s="0" t="s">
        <v>93</v>
      </c>
      <c r="O225" s="0" t="s">
        <v>1289</v>
      </c>
      <c r="Q225" s="0" t="s">
        <v>270</v>
      </c>
      <c r="R225" s="0" t="n">
        <v>2</v>
      </c>
      <c r="S225" s="5" t="n">
        <v>535</v>
      </c>
      <c r="T225" s="0" t="s">
        <v>271</v>
      </c>
      <c r="U225" s="0" t="n">
        <v>0</v>
      </c>
      <c r="V225" s="0" t="s">
        <v>230</v>
      </c>
      <c r="W225" s="0" t="s">
        <v>231</v>
      </c>
      <c r="X225" s="0" t="s">
        <v>232</v>
      </c>
      <c r="Y225" s="0" t="s">
        <v>278</v>
      </c>
      <c r="Z225" s="0" t="s">
        <v>234</v>
      </c>
      <c r="AA225" s="0" t="s">
        <v>235</v>
      </c>
      <c r="AB225" s="32" t="n">
        <v>2500</v>
      </c>
      <c r="AC225" s="32" t="n">
        <v>2600</v>
      </c>
      <c r="AD225" s="26" t="n">
        <f aca="false">IFERROR(AB225/B225,"")</f>
        <v>4.67289719626168</v>
      </c>
      <c r="AE225" s="26" t="n">
        <f aca="false">IFERROR(AC225/B225,"")</f>
        <v>4.85981308411215</v>
      </c>
      <c r="AF225" s="0" t="s">
        <v>236</v>
      </c>
      <c r="AG225" s="0" t="s">
        <v>236</v>
      </c>
      <c r="AH225" s="0" t="s">
        <v>230</v>
      </c>
      <c r="AI225" s="0" t="s">
        <v>1281</v>
      </c>
      <c r="AJ225" s="0" t="s">
        <v>1290</v>
      </c>
      <c r="AK225" s="0" t="s">
        <v>1291</v>
      </c>
      <c r="AL225" s="0" t="s">
        <v>1292</v>
      </c>
      <c r="AM225" s="0" t="s">
        <v>94</v>
      </c>
      <c r="AN225" s="26" t="n">
        <f aca="false">IFERROR(E225*(1+IF(AM225="Apartment",Data_Summary!$C$3,0)),"")</f>
        <v>4.67289719626168</v>
      </c>
      <c r="AO225" s="4" t="n">
        <v>46195</v>
      </c>
    </row>
    <row r="226" customFormat="false" ht="15" hidden="false" customHeight="false" outlineLevel="0" collapsed="false">
      <c r="A226" s="0" t="n">
        <f aca="false">IF(AND(ISNUMBER(B226),B226&gt;0,ISNUMBER(AB226),AB226&gt;0,J226&gt;=Data_Summary!$C$1),1,0)</f>
        <v>1</v>
      </c>
      <c r="B226" s="33" t="n">
        <v>535</v>
      </c>
      <c r="C226" s="5" t="n">
        <f aca="false">IF(ISNUMBER(AB226),AB226,"")</f>
        <v>2600</v>
      </c>
      <c r="D226" s="0" t="n">
        <f aca="false">IF(ISNUMBER(C226),C226-U226*Data_Summary!$C$2,"")</f>
        <v>2600</v>
      </c>
      <c r="E226" s="34" t="n">
        <f aca="false">IFERROR(C226/B226,"")</f>
        <v>4.85981308411215</v>
      </c>
      <c r="F226" s="26" t="n">
        <f aca="false">IFERROR(D226/B226,"")</f>
        <v>4.85981308411215</v>
      </c>
      <c r="G226" s="0" t="str">
        <f aca="false">Q226</f>
        <v>1+1</v>
      </c>
      <c r="H226" s="0" t="str">
        <f aca="false">IFERROR(LEFT(G226,1),"")</f>
        <v>1</v>
      </c>
      <c r="I226" s="0" t="n">
        <f aca="false">IF(LEN(G226)&gt;1,1,0)</f>
        <v>1</v>
      </c>
      <c r="J226" s="4" t="n">
        <v>45831</v>
      </c>
      <c r="K226" s="0" t="s">
        <v>10</v>
      </c>
      <c r="L226" s="0" t="s">
        <v>91</v>
      </c>
      <c r="M226" s="0" t="s">
        <v>226</v>
      </c>
      <c r="N226" s="0" t="s">
        <v>93</v>
      </c>
      <c r="O226" s="0" t="s">
        <v>1293</v>
      </c>
      <c r="Q226" s="0" t="s">
        <v>270</v>
      </c>
      <c r="R226" s="0" t="n">
        <v>2</v>
      </c>
      <c r="S226" s="5" t="n">
        <v>535</v>
      </c>
      <c r="T226" s="0" t="s">
        <v>271</v>
      </c>
      <c r="U226" s="0" t="n">
        <v>0</v>
      </c>
      <c r="V226" s="0" t="s">
        <v>230</v>
      </c>
      <c r="W226" s="0" t="s">
        <v>244</v>
      </c>
      <c r="X226" s="0" t="s">
        <v>232</v>
      </c>
      <c r="Y226" s="0" t="s">
        <v>278</v>
      </c>
      <c r="Z226" s="0" t="s">
        <v>234</v>
      </c>
      <c r="AA226" s="0" t="s">
        <v>235</v>
      </c>
      <c r="AB226" s="32" t="n">
        <v>2600</v>
      </c>
      <c r="AC226" s="32" t="n">
        <v>2600</v>
      </c>
      <c r="AD226" s="26" t="n">
        <f aca="false">IFERROR(AB226/B226,"")</f>
        <v>4.85981308411215</v>
      </c>
      <c r="AE226" s="26" t="n">
        <f aca="false">IFERROR(AC226/B226,"")</f>
        <v>4.85981308411215</v>
      </c>
      <c r="AF226" s="0" t="s">
        <v>236</v>
      </c>
      <c r="AG226" s="0" t="s">
        <v>236</v>
      </c>
      <c r="AH226" s="0" t="s">
        <v>230</v>
      </c>
      <c r="AI226" s="0" t="s">
        <v>1281</v>
      </c>
      <c r="AJ226" s="0" t="s">
        <v>1294</v>
      </c>
      <c r="AK226" s="0" t="s">
        <v>1295</v>
      </c>
      <c r="AL226" s="0" t="s">
        <v>1292</v>
      </c>
      <c r="AM226" s="0" t="s">
        <v>94</v>
      </c>
      <c r="AN226" s="26" t="n">
        <f aca="false">IFERROR(E226*(1+IF(AM226="Apartment",Data_Summary!$C$3,0)),"")</f>
        <v>4.85981308411215</v>
      </c>
      <c r="AO226" s="4" t="n">
        <v>46195</v>
      </c>
    </row>
    <row r="227" customFormat="false" ht="15" hidden="false" customHeight="false" outlineLevel="0" collapsed="false">
      <c r="A227" s="0" t="n">
        <f aca="false">IF(AND(ISNUMBER(B227),B227&gt;0,ISNUMBER(AB227),AB227&gt;0,J227&gt;=Data_Summary!$C$1),1,0)</f>
        <v>1</v>
      </c>
      <c r="B227" s="30" t="n">
        <v>505</v>
      </c>
      <c r="C227" s="5" t="n">
        <f aca="false">IF(ISNUMBER(AB227),AB227,"")</f>
        <v>2200</v>
      </c>
      <c r="D227" s="0" t="n">
        <f aca="false">IF(ISNUMBER(C227),C227-U227*Data_Summary!$C$2,"")</f>
        <v>2200</v>
      </c>
      <c r="E227" s="31" t="n">
        <f aca="false">IFERROR(C227/B227,"")</f>
        <v>4.35643564356436</v>
      </c>
      <c r="F227" s="26" t="n">
        <f aca="false">IFERROR(D227/B227,"")</f>
        <v>4.35643564356436</v>
      </c>
      <c r="G227" s="0" t="str">
        <f aca="false">Q227</f>
        <v>1</v>
      </c>
      <c r="H227" s="0" t="str">
        <f aca="false">IFERROR(LEFT(G227,1),"")</f>
        <v>1</v>
      </c>
      <c r="I227" s="0" t="n">
        <f aca="false">IF(LEN(G227)&gt;1,1,0)</f>
        <v>0</v>
      </c>
      <c r="J227" s="4" t="n">
        <v>45831</v>
      </c>
      <c r="K227" s="0" t="s">
        <v>10</v>
      </c>
      <c r="L227" s="0" t="s">
        <v>91</v>
      </c>
      <c r="M227" s="0" t="s">
        <v>226</v>
      </c>
      <c r="N227" s="0" t="s">
        <v>93</v>
      </c>
      <c r="O227" s="0" t="s">
        <v>241</v>
      </c>
      <c r="Q227" s="0" t="s">
        <v>242</v>
      </c>
      <c r="R227" s="0" t="n">
        <v>1</v>
      </c>
      <c r="S227" s="5" t="n">
        <v>505</v>
      </c>
      <c r="T227" s="0" t="s">
        <v>243</v>
      </c>
      <c r="U227" s="0" t="n">
        <v>0</v>
      </c>
      <c r="V227" s="0" t="s">
        <v>230</v>
      </c>
      <c r="W227" s="0" t="s">
        <v>244</v>
      </c>
      <c r="X227" s="0" t="s">
        <v>232</v>
      </c>
      <c r="Y227" s="0" t="s">
        <v>253</v>
      </c>
      <c r="Z227" s="0" t="s">
        <v>234</v>
      </c>
      <c r="AA227" s="0" t="s">
        <v>235</v>
      </c>
      <c r="AB227" s="32" t="n">
        <v>2200</v>
      </c>
      <c r="AC227" s="32" t="n">
        <v>2200</v>
      </c>
      <c r="AD227" s="26" t="n">
        <f aca="false">IFERROR(AB227/B227,"")</f>
        <v>4.35643564356436</v>
      </c>
      <c r="AE227" s="26" t="n">
        <f aca="false">IFERROR(AC227/B227,"")</f>
        <v>4.35643564356436</v>
      </c>
      <c r="AF227" s="0" t="s">
        <v>236</v>
      </c>
      <c r="AG227" s="0" t="s">
        <v>236</v>
      </c>
      <c r="AH227" s="0" t="s">
        <v>230</v>
      </c>
      <c r="AI227" s="0" t="s">
        <v>1281</v>
      </c>
      <c r="AJ227" s="0" t="s">
        <v>1296</v>
      </c>
      <c r="AK227" s="0" t="s">
        <v>1297</v>
      </c>
      <c r="AL227" s="0" t="s">
        <v>1298</v>
      </c>
      <c r="AM227" s="0" t="s">
        <v>94</v>
      </c>
      <c r="AN227" s="26" t="n">
        <f aca="false">IFERROR(E227*(1+IF(AM227="Apartment",Data_Summary!$C$3,0)),"")</f>
        <v>4.35643564356436</v>
      </c>
      <c r="AO227" s="4" t="n">
        <v>46195</v>
      </c>
    </row>
    <row r="228" customFormat="false" ht="15" hidden="false" customHeight="false" outlineLevel="0" collapsed="false">
      <c r="A228" s="0" t="n">
        <f aca="false">IF(AND(ISNUMBER(B228),B228&gt;0,ISNUMBER(AB228),AB228&gt;0,J228&gt;=Data_Summary!$C$1),1,0)</f>
        <v>1</v>
      </c>
      <c r="B228" s="30" t="n">
        <v>492</v>
      </c>
      <c r="C228" s="5" t="n">
        <f aca="false">IF(ISNUMBER(AB228),AB228,"")</f>
        <v>2200</v>
      </c>
      <c r="D228" s="0" t="n">
        <f aca="false">IF(ISNUMBER(C228),C228-U228*Data_Summary!$C$2,"")</f>
        <v>2200</v>
      </c>
      <c r="E228" s="31" t="n">
        <f aca="false">IFERROR(C228/B228,"")</f>
        <v>4.47154471544716</v>
      </c>
      <c r="F228" s="26" t="n">
        <f aca="false">IFERROR(D228/B228,"")</f>
        <v>4.47154471544716</v>
      </c>
      <c r="G228" s="0" t="str">
        <f aca="false">Q228</f>
        <v>1</v>
      </c>
      <c r="H228" s="0" t="str">
        <f aca="false">IFERROR(LEFT(G228,1),"")</f>
        <v>1</v>
      </c>
      <c r="I228" s="0" t="n">
        <f aca="false">IF(LEN(G228)&gt;1,1,0)</f>
        <v>0</v>
      </c>
      <c r="J228" s="4" t="n">
        <v>45831</v>
      </c>
      <c r="K228" s="0" t="s">
        <v>10</v>
      </c>
      <c r="L228" s="0" t="s">
        <v>91</v>
      </c>
      <c r="M228" s="0" t="s">
        <v>226</v>
      </c>
      <c r="N228" s="0" t="s">
        <v>93</v>
      </c>
      <c r="O228" s="0" t="s">
        <v>1299</v>
      </c>
      <c r="Q228" s="0" t="s">
        <v>242</v>
      </c>
      <c r="R228" s="0" t="n">
        <v>1</v>
      </c>
      <c r="S228" s="5" t="n">
        <v>492</v>
      </c>
      <c r="T228" s="0" t="s">
        <v>303</v>
      </c>
      <c r="U228" s="0" t="n">
        <v>0</v>
      </c>
      <c r="V228" s="0" t="s">
        <v>230</v>
      </c>
      <c r="W228" s="0" t="s">
        <v>1300</v>
      </c>
      <c r="X228" s="0" t="s">
        <v>232</v>
      </c>
      <c r="Y228" s="0" t="s">
        <v>253</v>
      </c>
      <c r="Z228" s="0" t="s">
        <v>234</v>
      </c>
      <c r="AA228" s="0" t="s">
        <v>235</v>
      </c>
      <c r="AB228" s="32" t="n">
        <v>2200</v>
      </c>
      <c r="AC228" s="32" t="n">
        <v>2200</v>
      </c>
      <c r="AD228" s="26" t="n">
        <f aca="false">IFERROR(AB228/B228,"")</f>
        <v>4.47154471544716</v>
      </c>
      <c r="AE228" s="26" t="n">
        <f aca="false">IFERROR(AC228/B228,"")</f>
        <v>4.47154471544716</v>
      </c>
      <c r="AF228" s="0" t="s">
        <v>236</v>
      </c>
      <c r="AG228" s="0" t="s">
        <v>236</v>
      </c>
      <c r="AH228" s="0" t="s">
        <v>230</v>
      </c>
      <c r="AI228" s="0" t="s">
        <v>1281</v>
      </c>
      <c r="AJ228" s="0" t="s">
        <v>1301</v>
      </c>
      <c r="AK228" s="0" t="s">
        <v>1302</v>
      </c>
      <c r="AL228" s="0" t="s">
        <v>1303</v>
      </c>
      <c r="AM228" s="0" t="s">
        <v>94</v>
      </c>
      <c r="AN228" s="26" t="n">
        <f aca="false">IFERROR(E228*(1+IF(AM228="Apartment",Data_Summary!$C$3,0)),"")</f>
        <v>4.47154471544716</v>
      </c>
      <c r="AO228" s="4" t="n">
        <v>46195</v>
      </c>
    </row>
    <row r="229" customFormat="false" ht="15" hidden="false" customHeight="false" outlineLevel="0" collapsed="false">
      <c r="A229" s="0" t="n">
        <f aca="false">IF(AND(ISNUMBER(B229),B229&gt;0,ISNUMBER(AB229),AB229&gt;0,J229&gt;=Data_Summary!$C$1),1,0)</f>
        <v>1</v>
      </c>
      <c r="B229" s="30" t="n">
        <v>770</v>
      </c>
      <c r="C229" s="5" t="n">
        <f aca="false">IF(ISNUMBER(AB229),AB229,"")</f>
        <v>3200</v>
      </c>
      <c r="D229" s="0" t="n">
        <f aca="false">IF(ISNUMBER(C229),C229-U229*Data_Summary!$C$2,"")</f>
        <v>3050</v>
      </c>
      <c r="E229" s="31" t="n">
        <f aca="false">IFERROR(C229/B229,"")</f>
        <v>4.15584415584416</v>
      </c>
      <c r="F229" s="26" t="n">
        <f aca="false">IFERROR(D229/B229,"")</f>
        <v>3.96103896103896</v>
      </c>
      <c r="G229" s="0" t="str">
        <f aca="false">Q229</f>
        <v>2</v>
      </c>
      <c r="H229" s="0" t="str">
        <f aca="false">IFERROR(LEFT(G229,1),"")</f>
        <v>2</v>
      </c>
      <c r="I229" s="0" t="n">
        <f aca="false">IF(LEN(G229)&gt;1,1,0)</f>
        <v>0</v>
      </c>
      <c r="J229" s="4" t="n">
        <v>45830</v>
      </c>
      <c r="K229" s="0" t="s">
        <v>10</v>
      </c>
      <c r="L229" s="0" t="s">
        <v>91</v>
      </c>
      <c r="M229" s="0" t="s">
        <v>226</v>
      </c>
      <c r="N229" s="0" t="s">
        <v>93</v>
      </c>
      <c r="O229" s="0" t="s">
        <v>1304</v>
      </c>
      <c r="Q229" s="0" t="s">
        <v>251</v>
      </c>
      <c r="R229" s="0" t="n">
        <v>2</v>
      </c>
      <c r="S229" s="5" t="n">
        <v>770</v>
      </c>
      <c r="T229" s="0" t="s">
        <v>252</v>
      </c>
      <c r="U229" s="0" t="n">
        <v>1</v>
      </c>
      <c r="V229" s="0" t="s">
        <v>230</v>
      </c>
      <c r="W229" s="0" t="s">
        <v>244</v>
      </c>
      <c r="X229" s="0" t="s">
        <v>232</v>
      </c>
      <c r="Y229" s="0" t="s">
        <v>308</v>
      </c>
      <c r="Z229" s="0" t="s">
        <v>234</v>
      </c>
      <c r="AA229" s="0" t="s">
        <v>235</v>
      </c>
      <c r="AB229" s="32" t="n">
        <v>3200</v>
      </c>
      <c r="AC229" s="32" t="n">
        <v>3200</v>
      </c>
      <c r="AD229" s="26" t="n">
        <f aca="false">IFERROR(AB229/B229,"")</f>
        <v>4.15584415584416</v>
      </c>
      <c r="AE229" s="26" t="n">
        <f aca="false">IFERROR(AC229/B229,"")</f>
        <v>4.15584415584416</v>
      </c>
      <c r="AF229" s="0" t="s">
        <v>236</v>
      </c>
      <c r="AG229" s="0" t="s">
        <v>236</v>
      </c>
      <c r="AH229" s="0" t="s">
        <v>230</v>
      </c>
      <c r="AI229" s="0" t="s">
        <v>1305</v>
      </c>
      <c r="AJ229" s="0" t="s">
        <v>1306</v>
      </c>
      <c r="AK229" s="0" t="s">
        <v>1307</v>
      </c>
      <c r="AL229" s="0" t="s">
        <v>1308</v>
      </c>
      <c r="AM229" s="0" t="s">
        <v>94</v>
      </c>
      <c r="AN229" s="26" t="n">
        <f aca="false">IFERROR(E229*(1+IF(AM229="Apartment",Data_Summary!$C$3,0)),"")</f>
        <v>4.15584415584416</v>
      </c>
      <c r="AO229" s="4" t="n">
        <v>46195</v>
      </c>
    </row>
    <row r="230" customFormat="false" ht="15" hidden="false" customHeight="false" outlineLevel="0" collapsed="false">
      <c r="A230" s="0" t="n">
        <f aca="false">IF(AND(ISNUMBER(B230),B230&gt;0,ISNUMBER(AB230),AB230&gt;0,J230&gt;=Data_Summary!$C$1),1,0)</f>
        <v>1</v>
      </c>
      <c r="B230" s="30" t="n">
        <v>492</v>
      </c>
      <c r="C230" s="5" t="n">
        <f aca="false">IF(ISNUMBER(AB230),AB230,"")</f>
        <v>2100</v>
      </c>
      <c r="D230" s="0" t="n">
        <f aca="false">IF(ISNUMBER(C230),C230-U230*Data_Summary!$C$2,"")</f>
        <v>2100</v>
      </c>
      <c r="E230" s="31" t="n">
        <f aca="false">IFERROR(C230/B230,"")</f>
        <v>4.26829268292683</v>
      </c>
      <c r="F230" s="26" t="n">
        <f aca="false">IFERROR(D230/B230,"")</f>
        <v>4.26829268292683</v>
      </c>
      <c r="G230" s="0" t="str">
        <f aca="false">Q230</f>
        <v>1</v>
      </c>
      <c r="H230" s="0" t="str">
        <f aca="false">IFERROR(LEFT(G230,1),"")</f>
        <v>1</v>
      </c>
      <c r="I230" s="0" t="n">
        <f aca="false">IF(LEN(G230)&gt;1,1,0)</f>
        <v>0</v>
      </c>
      <c r="J230" s="4" t="n">
        <v>45829</v>
      </c>
      <c r="K230" s="0" t="s">
        <v>10</v>
      </c>
      <c r="L230" s="0" t="s">
        <v>91</v>
      </c>
      <c r="M230" s="0" t="s">
        <v>226</v>
      </c>
      <c r="N230" s="0" t="s">
        <v>93</v>
      </c>
      <c r="O230" s="0" t="s">
        <v>1309</v>
      </c>
      <c r="Q230" s="0" t="s">
        <v>242</v>
      </c>
      <c r="R230" s="0" t="n">
        <v>1</v>
      </c>
      <c r="S230" s="5" t="n">
        <v>492</v>
      </c>
      <c r="T230" s="0" t="s">
        <v>303</v>
      </c>
      <c r="U230" s="0" t="n">
        <v>0</v>
      </c>
      <c r="V230" s="0" t="s">
        <v>230</v>
      </c>
      <c r="W230" s="0" t="s">
        <v>244</v>
      </c>
      <c r="X230" s="0" t="s">
        <v>232</v>
      </c>
      <c r="Y230" s="0" t="s">
        <v>253</v>
      </c>
      <c r="Z230" s="0" t="s">
        <v>234</v>
      </c>
      <c r="AA230" s="0" t="s">
        <v>235</v>
      </c>
      <c r="AB230" s="32" t="n">
        <v>2100</v>
      </c>
      <c r="AC230" s="32" t="n">
        <v>2100</v>
      </c>
      <c r="AD230" s="26" t="n">
        <f aca="false">IFERROR(AB230/B230,"")</f>
        <v>4.26829268292683</v>
      </c>
      <c r="AE230" s="26" t="n">
        <f aca="false">IFERROR(AC230/B230,"")</f>
        <v>4.26829268292683</v>
      </c>
      <c r="AF230" s="0" t="s">
        <v>236</v>
      </c>
      <c r="AG230" s="0" t="s">
        <v>236</v>
      </c>
      <c r="AH230" s="0" t="s">
        <v>230</v>
      </c>
      <c r="AI230" s="0" t="s">
        <v>1310</v>
      </c>
      <c r="AJ230" s="0" t="s">
        <v>1311</v>
      </c>
      <c r="AK230" s="0" t="s">
        <v>1312</v>
      </c>
      <c r="AL230" s="0" t="s">
        <v>1313</v>
      </c>
      <c r="AM230" s="0" t="s">
        <v>94</v>
      </c>
      <c r="AN230" s="26" t="n">
        <f aca="false">IFERROR(E230*(1+IF(AM230="Apartment",Data_Summary!$C$3,0)),"")</f>
        <v>4.26829268292683</v>
      </c>
      <c r="AO230" s="4" t="n">
        <v>46195</v>
      </c>
    </row>
    <row r="231" customFormat="false" ht="15" hidden="false" customHeight="false" outlineLevel="0" collapsed="false">
      <c r="A231" s="0" t="n">
        <f aca="false">IF(AND(ISNUMBER(B231),B231&gt;0,ISNUMBER(AB231),AB231&gt;0,J231&gt;=Data_Summary!$C$1),1,0)</f>
        <v>1</v>
      </c>
      <c r="B231" s="33" t="n">
        <v>600</v>
      </c>
      <c r="C231" s="5" t="n">
        <f aca="false">IF(ISNUMBER(AB231),AB231,"")</f>
        <v>2350</v>
      </c>
      <c r="D231" s="0" t="n">
        <f aca="false">IF(ISNUMBER(C231),C231-U231*Data_Summary!$C$2,"")</f>
        <v>2350</v>
      </c>
      <c r="E231" s="34" t="n">
        <f aca="false">IFERROR(C231/B231,"")</f>
        <v>3.91666666666667</v>
      </c>
      <c r="F231" s="26" t="n">
        <f aca="false">IFERROR(D231/B231,"")</f>
        <v>3.91666666666667</v>
      </c>
      <c r="G231" s="0" t="str">
        <f aca="false">Q231</f>
        <v>1</v>
      </c>
      <c r="H231" s="0" t="str">
        <f aca="false">IFERROR(LEFT(G231,1),"")</f>
        <v>1</v>
      </c>
      <c r="I231" s="0" t="n">
        <f aca="false">IF(LEN(G231)&gt;1,1,0)</f>
        <v>0</v>
      </c>
      <c r="J231" s="4" t="n">
        <v>45828</v>
      </c>
      <c r="K231" s="0" t="s">
        <v>10</v>
      </c>
      <c r="L231" s="0" t="s">
        <v>91</v>
      </c>
      <c r="M231" s="0" t="s">
        <v>226</v>
      </c>
      <c r="N231" s="0" t="s">
        <v>93</v>
      </c>
      <c r="O231" s="0" t="s">
        <v>1314</v>
      </c>
      <c r="Q231" s="0" t="s">
        <v>242</v>
      </c>
      <c r="R231" s="0" t="n">
        <v>1</v>
      </c>
      <c r="S231" s="5" t="n">
        <v>600</v>
      </c>
      <c r="T231" s="0" t="s">
        <v>243</v>
      </c>
      <c r="U231" s="0" t="n">
        <v>0</v>
      </c>
      <c r="V231" s="0" t="s">
        <v>230</v>
      </c>
      <c r="W231" s="0" t="s">
        <v>244</v>
      </c>
      <c r="X231" s="0" t="s">
        <v>232</v>
      </c>
      <c r="Y231" s="0" t="s">
        <v>278</v>
      </c>
      <c r="Z231" s="0" t="s">
        <v>234</v>
      </c>
      <c r="AA231" s="0" t="s">
        <v>235</v>
      </c>
      <c r="AB231" s="32" t="n">
        <v>2350</v>
      </c>
      <c r="AC231" s="32" t="n">
        <v>2350</v>
      </c>
      <c r="AD231" s="26" t="n">
        <f aca="false">IFERROR(AB231/B231,"")</f>
        <v>3.91666666666667</v>
      </c>
      <c r="AE231" s="26" t="n">
        <f aca="false">IFERROR(AC231/B231,"")</f>
        <v>3.91666666666667</v>
      </c>
      <c r="AF231" s="0" t="s">
        <v>236</v>
      </c>
      <c r="AG231" s="0" t="s">
        <v>236</v>
      </c>
      <c r="AH231" s="0" t="s">
        <v>230</v>
      </c>
      <c r="AI231" s="0" t="s">
        <v>1315</v>
      </c>
      <c r="AJ231" s="0" t="s">
        <v>1316</v>
      </c>
      <c r="AK231" s="0" t="s">
        <v>1317</v>
      </c>
      <c r="AL231" s="0" t="s">
        <v>1318</v>
      </c>
      <c r="AM231" s="0" t="s">
        <v>94</v>
      </c>
      <c r="AN231" s="26" t="n">
        <f aca="false">IFERROR(E231*(1+IF(AM231="Apartment",Data_Summary!$C$3,0)),"")</f>
        <v>3.91666666666667</v>
      </c>
      <c r="AO231" s="4" t="n">
        <v>46195</v>
      </c>
    </row>
    <row r="232" customFormat="false" ht="15" hidden="false" customHeight="false" outlineLevel="0" collapsed="false">
      <c r="A232" s="0" t="n">
        <f aca="false">IF(AND(ISNUMBER(B232),B232&gt;0,ISNUMBER(AB232),AB232&gt;0,J232&gt;=Data_Summary!$C$1),1,0)</f>
        <v>1</v>
      </c>
      <c r="B232" s="33" t="n">
        <v>600</v>
      </c>
      <c r="C232" s="5" t="n">
        <f aca="false">IF(ISNUMBER(AB232),AB232,"")</f>
        <v>2300</v>
      </c>
      <c r="D232" s="0" t="n">
        <f aca="false">IF(ISNUMBER(C232),C232-U232*Data_Summary!$C$2,"")</f>
        <v>2300</v>
      </c>
      <c r="E232" s="34" t="n">
        <f aca="false">IFERROR(C232/B232,"")</f>
        <v>3.83333333333333</v>
      </c>
      <c r="F232" s="26" t="n">
        <f aca="false">IFERROR(D232/B232,"")</f>
        <v>3.83333333333333</v>
      </c>
      <c r="G232" s="0" t="str">
        <f aca="false">Q232</f>
        <v>1</v>
      </c>
      <c r="H232" s="0" t="str">
        <f aca="false">IFERROR(LEFT(G232,1),"")</f>
        <v>1</v>
      </c>
      <c r="I232" s="0" t="n">
        <f aca="false">IF(LEN(G232)&gt;1,1,0)</f>
        <v>0</v>
      </c>
      <c r="J232" s="4" t="n">
        <v>45828</v>
      </c>
      <c r="K232" s="0" t="s">
        <v>10</v>
      </c>
      <c r="L232" s="0" t="s">
        <v>91</v>
      </c>
      <c r="M232" s="0" t="s">
        <v>226</v>
      </c>
      <c r="N232" s="0" t="s">
        <v>93</v>
      </c>
      <c r="O232" s="0" t="s">
        <v>1319</v>
      </c>
      <c r="Q232" s="0" t="s">
        <v>242</v>
      </c>
      <c r="R232" s="0" t="n">
        <v>1</v>
      </c>
      <c r="S232" s="5" t="n">
        <v>600</v>
      </c>
      <c r="T232" s="0" t="s">
        <v>243</v>
      </c>
      <c r="U232" s="0" t="n">
        <v>0</v>
      </c>
      <c r="V232" s="0" t="s">
        <v>230</v>
      </c>
      <c r="W232" s="0" t="s">
        <v>244</v>
      </c>
      <c r="X232" s="0" t="s">
        <v>232</v>
      </c>
      <c r="Y232" s="0" t="s">
        <v>278</v>
      </c>
      <c r="Z232" s="0" t="s">
        <v>234</v>
      </c>
      <c r="AA232" s="0" t="s">
        <v>235</v>
      </c>
      <c r="AB232" s="32" t="n">
        <v>2300</v>
      </c>
      <c r="AC232" s="32" t="n">
        <v>2300</v>
      </c>
      <c r="AD232" s="26" t="n">
        <f aca="false">IFERROR(AB232/B232,"")</f>
        <v>3.83333333333333</v>
      </c>
      <c r="AE232" s="26" t="n">
        <f aca="false">IFERROR(AC232/B232,"")</f>
        <v>3.83333333333333</v>
      </c>
      <c r="AF232" s="0" t="s">
        <v>236</v>
      </c>
      <c r="AG232" s="0" t="s">
        <v>236</v>
      </c>
      <c r="AH232" s="0" t="s">
        <v>230</v>
      </c>
      <c r="AI232" s="0" t="s">
        <v>1315</v>
      </c>
      <c r="AJ232" s="0" t="s">
        <v>1320</v>
      </c>
      <c r="AK232" s="0" t="s">
        <v>1321</v>
      </c>
      <c r="AL232" s="0" t="s">
        <v>1318</v>
      </c>
      <c r="AM232" s="0" t="s">
        <v>94</v>
      </c>
      <c r="AN232" s="26" t="n">
        <f aca="false">IFERROR(E232*(1+IF(AM232="Apartment",Data_Summary!$C$3,0)),"")</f>
        <v>3.83333333333333</v>
      </c>
      <c r="AO232" s="4" t="n">
        <v>46195</v>
      </c>
    </row>
    <row r="233" customFormat="false" ht="15" hidden="false" customHeight="false" outlineLevel="0" collapsed="false">
      <c r="A233" s="0" t="n">
        <f aca="false">IF(AND(ISNUMBER(B233),B233&gt;0,ISNUMBER(AB233),AB233&gt;0,J233&gt;=Data_Summary!$C$1),1,0)</f>
        <v>1</v>
      </c>
      <c r="B233" s="30" t="n">
        <v>505</v>
      </c>
      <c r="C233" s="5" t="n">
        <f aca="false">IF(ISNUMBER(AB233),AB233,"")</f>
        <v>2200</v>
      </c>
      <c r="D233" s="0" t="n">
        <f aca="false">IF(ISNUMBER(C233),C233-U233*Data_Summary!$C$2,"")</f>
        <v>2200</v>
      </c>
      <c r="E233" s="31" t="n">
        <f aca="false">IFERROR(C233/B233,"")</f>
        <v>4.35643564356436</v>
      </c>
      <c r="F233" s="26" t="n">
        <f aca="false">IFERROR(D233/B233,"")</f>
        <v>4.35643564356436</v>
      </c>
      <c r="G233" s="0" t="str">
        <f aca="false">Q233</f>
        <v>1</v>
      </c>
      <c r="H233" s="0" t="str">
        <f aca="false">IFERROR(LEFT(G233,1),"")</f>
        <v>1</v>
      </c>
      <c r="I233" s="0" t="n">
        <f aca="false">IF(LEN(G233)&gt;1,1,0)</f>
        <v>0</v>
      </c>
      <c r="J233" s="4" t="n">
        <v>45828</v>
      </c>
      <c r="K233" s="0" t="s">
        <v>10</v>
      </c>
      <c r="L233" s="0" t="s">
        <v>91</v>
      </c>
      <c r="M233" s="0" t="s">
        <v>226</v>
      </c>
      <c r="N233" s="0" t="s">
        <v>93</v>
      </c>
      <c r="O233" s="0" t="s">
        <v>1322</v>
      </c>
      <c r="Q233" s="0" t="s">
        <v>242</v>
      </c>
      <c r="R233" s="0" t="n">
        <v>1</v>
      </c>
      <c r="S233" s="5" t="n">
        <v>505</v>
      </c>
      <c r="T233" s="0" t="s">
        <v>243</v>
      </c>
      <c r="U233" s="0" t="n">
        <v>0</v>
      </c>
      <c r="V233" s="0" t="s">
        <v>230</v>
      </c>
      <c r="W233" s="0" t="s">
        <v>244</v>
      </c>
      <c r="X233" s="0" t="s">
        <v>232</v>
      </c>
      <c r="Y233" s="0" t="s">
        <v>253</v>
      </c>
      <c r="Z233" s="0" t="s">
        <v>234</v>
      </c>
      <c r="AA233" s="0" t="s">
        <v>235</v>
      </c>
      <c r="AB233" s="32" t="n">
        <v>2200</v>
      </c>
      <c r="AC233" s="32" t="n">
        <v>2200</v>
      </c>
      <c r="AD233" s="26" t="n">
        <f aca="false">IFERROR(AB233/B233,"")</f>
        <v>4.35643564356436</v>
      </c>
      <c r="AE233" s="26" t="n">
        <f aca="false">IFERROR(AC233/B233,"")</f>
        <v>4.35643564356436</v>
      </c>
      <c r="AF233" s="0" t="s">
        <v>236</v>
      </c>
      <c r="AG233" s="0" t="s">
        <v>236</v>
      </c>
      <c r="AH233" s="0" t="s">
        <v>230</v>
      </c>
      <c r="AI233" s="0" t="s">
        <v>1315</v>
      </c>
      <c r="AJ233" s="0" t="s">
        <v>1323</v>
      </c>
      <c r="AK233" s="0" t="s">
        <v>1324</v>
      </c>
      <c r="AL233" s="0" t="s">
        <v>1325</v>
      </c>
      <c r="AM233" s="0" t="s">
        <v>94</v>
      </c>
      <c r="AN233" s="26" t="n">
        <f aca="false">IFERROR(E233*(1+IF(AM233="Apartment",Data_Summary!$C$3,0)),"")</f>
        <v>4.35643564356436</v>
      </c>
      <c r="AO233" s="4" t="n">
        <v>46195</v>
      </c>
    </row>
    <row r="234" customFormat="false" ht="15" hidden="false" customHeight="false" outlineLevel="0" collapsed="false">
      <c r="A234" s="0" t="n">
        <f aca="false">IF(AND(ISNUMBER(B234),B234&gt;0,ISNUMBER(AB234),AB234&gt;0,J234&gt;=Data_Summary!$C$1),1,0)</f>
        <v>1</v>
      </c>
      <c r="B234" s="30" t="n">
        <v>492</v>
      </c>
      <c r="C234" s="5" t="n">
        <f aca="false">IF(ISNUMBER(AB234),AB234,"")</f>
        <v>2100</v>
      </c>
      <c r="D234" s="0" t="n">
        <f aca="false">IF(ISNUMBER(C234),C234-U234*Data_Summary!$C$2,"")</f>
        <v>2100</v>
      </c>
      <c r="E234" s="31" t="n">
        <f aca="false">IFERROR(C234/B234,"")</f>
        <v>4.26829268292683</v>
      </c>
      <c r="F234" s="26" t="n">
        <f aca="false">IFERROR(D234/B234,"")</f>
        <v>4.26829268292683</v>
      </c>
      <c r="G234" s="0" t="str">
        <f aca="false">Q234</f>
        <v>1</v>
      </c>
      <c r="H234" s="0" t="str">
        <f aca="false">IFERROR(LEFT(G234,1),"")</f>
        <v>1</v>
      </c>
      <c r="I234" s="0" t="n">
        <f aca="false">IF(LEN(G234)&gt;1,1,0)</f>
        <v>0</v>
      </c>
      <c r="J234" s="4" t="n">
        <v>45828</v>
      </c>
      <c r="K234" s="0" t="s">
        <v>10</v>
      </c>
      <c r="L234" s="0" t="s">
        <v>91</v>
      </c>
      <c r="M234" s="0" t="s">
        <v>226</v>
      </c>
      <c r="N234" s="0" t="s">
        <v>93</v>
      </c>
      <c r="O234" s="0" t="s">
        <v>1326</v>
      </c>
      <c r="Q234" s="0" t="s">
        <v>242</v>
      </c>
      <c r="R234" s="0" t="n">
        <v>1</v>
      </c>
      <c r="S234" s="5" t="n">
        <v>492</v>
      </c>
      <c r="T234" s="0" t="s">
        <v>303</v>
      </c>
      <c r="U234" s="0" t="n">
        <v>0</v>
      </c>
      <c r="V234" s="0" t="s">
        <v>230</v>
      </c>
      <c r="W234" s="0" t="s">
        <v>244</v>
      </c>
      <c r="X234" s="0" t="s">
        <v>232</v>
      </c>
      <c r="Y234" s="0" t="s">
        <v>253</v>
      </c>
      <c r="Z234" s="0" t="s">
        <v>234</v>
      </c>
      <c r="AA234" s="0" t="s">
        <v>235</v>
      </c>
      <c r="AB234" s="32" t="n">
        <v>2100</v>
      </c>
      <c r="AC234" s="32" t="n">
        <v>2100</v>
      </c>
      <c r="AD234" s="26" t="n">
        <f aca="false">IFERROR(AB234/B234,"")</f>
        <v>4.26829268292683</v>
      </c>
      <c r="AE234" s="26" t="n">
        <f aca="false">IFERROR(AC234/B234,"")</f>
        <v>4.26829268292683</v>
      </c>
      <c r="AF234" s="0" t="s">
        <v>236</v>
      </c>
      <c r="AG234" s="0" t="s">
        <v>236</v>
      </c>
      <c r="AH234" s="0" t="s">
        <v>230</v>
      </c>
      <c r="AI234" s="0" t="s">
        <v>1315</v>
      </c>
      <c r="AJ234" s="0" t="s">
        <v>1327</v>
      </c>
      <c r="AK234" s="0" t="s">
        <v>1328</v>
      </c>
      <c r="AL234" s="0" t="s">
        <v>1329</v>
      </c>
      <c r="AM234" s="0" t="s">
        <v>94</v>
      </c>
      <c r="AN234" s="26" t="n">
        <f aca="false">IFERROR(E234*(1+IF(AM234="Apartment",Data_Summary!$C$3,0)),"")</f>
        <v>4.26829268292683</v>
      </c>
      <c r="AO234" s="4" t="n">
        <v>46195</v>
      </c>
    </row>
    <row r="235" customFormat="false" ht="15" hidden="false" customHeight="false" outlineLevel="0" collapsed="false">
      <c r="A235" s="0" t="n">
        <f aca="false">IF(AND(ISNUMBER(B235),B235&gt;0,ISNUMBER(AB235),AB235&gt;0,J235&gt;=Data_Summary!$C$1),1,0)</f>
        <v>1</v>
      </c>
      <c r="B235" s="30" t="n">
        <v>545</v>
      </c>
      <c r="C235" s="5" t="n">
        <f aca="false">IF(ISNUMBER(AB235),AB235,"")</f>
        <v>2300</v>
      </c>
      <c r="D235" s="0" t="n">
        <f aca="false">IF(ISNUMBER(C235),C235-U235*Data_Summary!$C$2,"")</f>
        <v>2300</v>
      </c>
      <c r="E235" s="31" t="n">
        <f aca="false">IFERROR(C235/B235,"")</f>
        <v>4.22018348623853</v>
      </c>
      <c r="F235" s="26" t="n">
        <f aca="false">IFERROR(D235/B235,"")</f>
        <v>4.22018348623853</v>
      </c>
      <c r="G235" s="0" t="str">
        <f aca="false">Q235</f>
        <v>1</v>
      </c>
      <c r="H235" s="0" t="str">
        <f aca="false">IFERROR(LEFT(G235,1),"")</f>
        <v>1</v>
      </c>
      <c r="I235" s="0" t="n">
        <f aca="false">IF(LEN(G235)&gt;1,1,0)</f>
        <v>0</v>
      </c>
      <c r="J235" s="4" t="n">
        <v>45828</v>
      </c>
      <c r="K235" s="0" t="s">
        <v>10</v>
      </c>
      <c r="L235" s="0" t="s">
        <v>91</v>
      </c>
      <c r="M235" s="0" t="s">
        <v>226</v>
      </c>
      <c r="N235" s="0" t="s">
        <v>93</v>
      </c>
      <c r="O235" s="0" t="s">
        <v>380</v>
      </c>
      <c r="Q235" s="0" t="s">
        <v>242</v>
      </c>
      <c r="R235" s="0" t="n">
        <v>1</v>
      </c>
      <c r="S235" s="5" t="n">
        <v>545</v>
      </c>
      <c r="T235" s="0" t="s">
        <v>243</v>
      </c>
      <c r="U235" s="0" t="n">
        <v>0</v>
      </c>
      <c r="V235" s="0" t="s">
        <v>230</v>
      </c>
      <c r="W235" s="0" t="s">
        <v>244</v>
      </c>
      <c r="X235" s="0" t="s">
        <v>232</v>
      </c>
      <c r="Y235" s="0" t="s">
        <v>278</v>
      </c>
      <c r="Z235" s="0" t="s">
        <v>234</v>
      </c>
      <c r="AA235" s="0" t="s">
        <v>235</v>
      </c>
      <c r="AB235" s="32" t="n">
        <v>2300</v>
      </c>
      <c r="AC235" s="32" t="n">
        <v>2300</v>
      </c>
      <c r="AD235" s="26" t="n">
        <f aca="false">IFERROR(AB235/B235,"")</f>
        <v>4.22018348623853</v>
      </c>
      <c r="AE235" s="26" t="n">
        <f aca="false">IFERROR(AC235/B235,"")</f>
        <v>4.22018348623853</v>
      </c>
      <c r="AF235" s="0" t="s">
        <v>236</v>
      </c>
      <c r="AG235" s="0" t="s">
        <v>236</v>
      </c>
      <c r="AH235" s="0" t="s">
        <v>230</v>
      </c>
      <c r="AI235" s="0" t="s">
        <v>1315</v>
      </c>
      <c r="AJ235" s="0" t="s">
        <v>1330</v>
      </c>
      <c r="AK235" s="0" t="s">
        <v>1331</v>
      </c>
      <c r="AL235" s="0" t="s">
        <v>1332</v>
      </c>
      <c r="AM235" s="0" t="s">
        <v>94</v>
      </c>
      <c r="AN235" s="26" t="n">
        <f aca="false">IFERROR(E235*(1+IF(AM235="Apartment",Data_Summary!$C$3,0)),"")</f>
        <v>4.22018348623853</v>
      </c>
      <c r="AO235" s="4" t="n">
        <v>46195</v>
      </c>
    </row>
    <row r="236" customFormat="false" ht="15" hidden="false" customHeight="false" outlineLevel="0" collapsed="false">
      <c r="A236" s="0" t="n">
        <f aca="false">IF(AND(ISNUMBER(B236),B236&gt;0,ISNUMBER(AB236),AB236&gt;0,J236&gt;=Data_Summary!$C$1),1,0)</f>
        <v>1</v>
      </c>
      <c r="B236" s="33" t="n">
        <v>920</v>
      </c>
      <c r="C236" s="5" t="n">
        <f aca="false">IF(ISNUMBER(AB236),AB236,"")</f>
        <v>3400</v>
      </c>
      <c r="D236" s="0" t="n">
        <f aca="false">IF(ISNUMBER(C236),C236-U236*Data_Summary!$C$2,"")</f>
        <v>3250</v>
      </c>
      <c r="E236" s="34" t="n">
        <f aca="false">IFERROR(C236/B236,"")</f>
        <v>3.69565217391304</v>
      </c>
      <c r="F236" s="26" t="n">
        <f aca="false">IFERROR(D236/B236,"")</f>
        <v>3.53260869565217</v>
      </c>
      <c r="G236" s="0" t="str">
        <f aca="false">Q236</f>
        <v>2+1</v>
      </c>
      <c r="H236" s="0" t="str">
        <f aca="false">IFERROR(LEFT(G236,1),"")</f>
        <v>2</v>
      </c>
      <c r="I236" s="0" t="n">
        <f aca="false">IF(LEN(G236)&gt;1,1,0)</f>
        <v>1</v>
      </c>
      <c r="J236" s="4" t="n">
        <v>45827</v>
      </c>
      <c r="K236" s="0" t="s">
        <v>10</v>
      </c>
      <c r="L236" s="0" t="s">
        <v>91</v>
      </c>
      <c r="M236" s="0" t="s">
        <v>226</v>
      </c>
      <c r="N236" s="0" t="s">
        <v>93</v>
      </c>
      <c r="O236" s="0" t="s">
        <v>1333</v>
      </c>
      <c r="Q236" s="0" t="s">
        <v>451</v>
      </c>
      <c r="R236" s="0" t="n">
        <v>2</v>
      </c>
      <c r="S236" s="5" t="n">
        <v>920</v>
      </c>
      <c r="T236" s="0" t="s">
        <v>252</v>
      </c>
      <c r="U236" s="0" t="n">
        <v>1</v>
      </c>
      <c r="V236" s="0" t="s">
        <v>230</v>
      </c>
      <c r="W236" s="0" t="s">
        <v>231</v>
      </c>
      <c r="X236" s="0" t="s">
        <v>232</v>
      </c>
      <c r="Y236" s="0" t="s">
        <v>297</v>
      </c>
      <c r="Z236" s="0" t="s">
        <v>234</v>
      </c>
      <c r="AA236" s="0" t="s">
        <v>235</v>
      </c>
      <c r="AB236" s="32" t="n">
        <v>3400</v>
      </c>
      <c r="AC236" s="32" t="n">
        <v>3400</v>
      </c>
      <c r="AD236" s="26" t="n">
        <f aca="false">IFERROR(AB236/B236,"")</f>
        <v>3.69565217391304</v>
      </c>
      <c r="AE236" s="26" t="n">
        <f aca="false">IFERROR(AC236/B236,"")</f>
        <v>3.69565217391304</v>
      </c>
      <c r="AF236" s="0" t="s">
        <v>236</v>
      </c>
      <c r="AG236" s="0" t="s">
        <v>236</v>
      </c>
      <c r="AH236" s="0" t="s">
        <v>230</v>
      </c>
      <c r="AI236" s="0" t="s">
        <v>1334</v>
      </c>
      <c r="AJ236" s="0" t="s">
        <v>1335</v>
      </c>
      <c r="AK236" s="0" t="s">
        <v>1336</v>
      </c>
      <c r="AL236" s="0" t="s">
        <v>1337</v>
      </c>
      <c r="AM236" s="0" t="s">
        <v>94</v>
      </c>
      <c r="AN236" s="26" t="n">
        <f aca="false">IFERROR(E236*(1+IF(AM236="Apartment",Data_Summary!$C$3,0)),"")</f>
        <v>3.69565217391304</v>
      </c>
      <c r="AO236" s="4" t="n">
        <v>46195</v>
      </c>
    </row>
    <row r="237" customFormat="false" ht="15" hidden="false" customHeight="false" outlineLevel="0" collapsed="false">
      <c r="A237" s="0" t="n">
        <f aca="false">IF(AND(ISNUMBER(B237),B237&gt;0,ISNUMBER(AB237),AB237&gt;0,J237&gt;=Data_Summary!$C$1),1,0)</f>
        <v>1</v>
      </c>
      <c r="B237" s="33" t="n">
        <v>600</v>
      </c>
      <c r="C237" s="5" t="n">
        <f aca="false">IF(ISNUMBER(AB237),AB237,"")</f>
        <v>2350</v>
      </c>
      <c r="D237" s="0" t="n">
        <f aca="false">IF(ISNUMBER(C237),C237-U237*Data_Summary!$C$2,"")</f>
        <v>2350</v>
      </c>
      <c r="E237" s="34" t="n">
        <f aca="false">IFERROR(C237/B237,"")</f>
        <v>3.91666666666667</v>
      </c>
      <c r="F237" s="26" t="n">
        <f aca="false">IFERROR(D237/B237,"")</f>
        <v>3.91666666666667</v>
      </c>
      <c r="G237" s="0" t="str">
        <f aca="false">Q237</f>
        <v>1</v>
      </c>
      <c r="H237" s="0" t="str">
        <f aca="false">IFERROR(LEFT(G237,1),"")</f>
        <v>1</v>
      </c>
      <c r="I237" s="0" t="n">
        <f aca="false">IF(LEN(G237)&gt;1,1,0)</f>
        <v>0</v>
      </c>
      <c r="J237" s="4" t="n">
        <v>45827</v>
      </c>
      <c r="K237" s="0" t="s">
        <v>10</v>
      </c>
      <c r="L237" s="0" t="s">
        <v>91</v>
      </c>
      <c r="M237" s="0" t="s">
        <v>226</v>
      </c>
      <c r="N237" s="0" t="s">
        <v>93</v>
      </c>
      <c r="O237" s="0" t="s">
        <v>1338</v>
      </c>
      <c r="Q237" s="0" t="s">
        <v>242</v>
      </c>
      <c r="R237" s="0" t="n">
        <v>1</v>
      </c>
      <c r="S237" s="5" t="n">
        <v>600</v>
      </c>
      <c r="T237" s="0" t="s">
        <v>243</v>
      </c>
      <c r="U237" s="0" t="n">
        <v>0</v>
      </c>
      <c r="V237" s="0" t="s">
        <v>230</v>
      </c>
      <c r="W237" s="0" t="s">
        <v>244</v>
      </c>
      <c r="X237" s="0" t="s">
        <v>232</v>
      </c>
      <c r="Y237" s="0" t="s">
        <v>278</v>
      </c>
      <c r="Z237" s="0" t="s">
        <v>234</v>
      </c>
      <c r="AA237" s="0" t="s">
        <v>235</v>
      </c>
      <c r="AB237" s="32" t="n">
        <v>2350</v>
      </c>
      <c r="AC237" s="32" t="n">
        <v>2350</v>
      </c>
      <c r="AD237" s="26" t="n">
        <f aca="false">IFERROR(AB237/B237,"")</f>
        <v>3.91666666666667</v>
      </c>
      <c r="AE237" s="26" t="n">
        <f aca="false">IFERROR(AC237/B237,"")</f>
        <v>3.91666666666667</v>
      </c>
      <c r="AF237" s="0" t="s">
        <v>236</v>
      </c>
      <c r="AG237" s="0" t="s">
        <v>236</v>
      </c>
      <c r="AH237" s="0" t="s">
        <v>230</v>
      </c>
      <c r="AI237" s="0" t="s">
        <v>1334</v>
      </c>
      <c r="AJ237" s="0" t="s">
        <v>1339</v>
      </c>
      <c r="AK237" s="0" t="s">
        <v>1340</v>
      </c>
      <c r="AL237" s="0" t="s">
        <v>1341</v>
      </c>
      <c r="AM237" s="0" t="s">
        <v>94</v>
      </c>
      <c r="AN237" s="26" t="n">
        <f aca="false">IFERROR(E237*(1+IF(AM237="Apartment",Data_Summary!$C$3,0)),"")</f>
        <v>3.91666666666667</v>
      </c>
      <c r="AO237" s="4" t="n">
        <v>46195</v>
      </c>
    </row>
    <row r="238" customFormat="false" ht="15" hidden="false" customHeight="false" outlineLevel="0" collapsed="false">
      <c r="A238" s="0" t="n">
        <f aca="false">IF(AND(ISNUMBER(B238),B238&gt;0,ISNUMBER(AB238),AB238&gt;0,J238&gt;=Data_Summary!$C$1),1,0)</f>
        <v>1</v>
      </c>
      <c r="B238" s="33" t="n">
        <v>650</v>
      </c>
      <c r="C238" s="5" t="n">
        <f aca="false">IF(ISNUMBER(AB238),AB238,"")</f>
        <v>2600</v>
      </c>
      <c r="D238" s="0" t="n">
        <f aca="false">IF(ISNUMBER(C238),C238-U238*Data_Summary!$C$2,"")</f>
        <v>2600</v>
      </c>
      <c r="E238" s="34" t="n">
        <f aca="false">IFERROR(C238/B238,"")</f>
        <v>4</v>
      </c>
      <c r="F238" s="26" t="n">
        <f aca="false">IFERROR(D238/B238,"")</f>
        <v>4</v>
      </c>
      <c r="G238" s="0" t="str">
        <f aca="false">Q238</f>
        <v>1+1</v>
      </c>
      <c r="H238" s="0" t="str">
        <f aca="false">IFERROR(LEFT(G238,1),"")</f>
        <v>1</v>
      </c>
      <c r="I238" s="0" t="n">
        <f aca="false">IF(LEN(G238)&gt;1,1,0)</f>
        <v>1</v>
      </c>
      <c r="J238" s="4" t="n">
        <v>45827</v>
      </c>
      <c r="K238" s="0" t="s">
        <v>10</v>
      </c>
      <c r="L238" s="0" t="s">
        <v>91</v>
      </c>
      <c r="M238" s="0" t="s">
        <v>226</v>
      </c>
      <c r="N238" s="0" t="s">
        <v>93</v>
      </c>
      <c r="O238" s="0" t="s">
        <v>1342</v>
      </c>
      <c r="Q238" s="0" t="s">
        <v>270</v>
      </c>
      <c r="R238" s="0" t="n">
        <v>1</v>
      </c>
      <c r="S238" s="5" t="n">
        <v>650</v>
      </c>
      <c r="T238" s="0" t="s">
        <v>243</v>
      </c>
      <c r="U238" s="0" t="n">
        <v>0</v>
      </c>
      <c r="V238" s="0" t="s">
        <v>230</v>
      </c>
      <c r="W238" s="0" t="s">
        <v>244</v>
      </c>
      <c r="X238" s="0" t="s">
        <v>232</v>
      </c>
      <c r="Y238" s="0" t="s">
        <v>278</v>
      </c>
      <c r="Z238" s="0" t="s">
        <v>234</v>
      </c>
      <c r="AA238" s="0" t="s">
        <v>235</v>
      </c>
      <c r="AB238" s="32" t="n">
        <v>2600</v>
      </c>
      <c r="AC238" s="32" t="n">
        <v>2600</v>
      </c>
      <c r="AD238" s="26" t="n">
        <f aca="false">IFERROR(AB238/B238,"")</f>
        <v>4</v>
      </c>
      <c r="AE238" s="26" t="n">
        <f aca="false">IFERROR(AC238/B238,"")</f>
        <v>4</v>
      </c>
      <c r="AF238" s="0" t="s">
        <v>236</v>
      </c>
      <c r="AG238" s="0" t="s">
        <v>236</v>
      </c>
      <c r="AH238" s="0" t="s">
        <v>230</v>
      </c>
      <c r="AI238" s="0" t="s">
        <v>1334</v>
      </c>
      <c r="AJ238" s="0" t="s">
        <v>1343</v>
      </c>
      <c r="AK238" s="0" t="s">
        <v>1344</v>
      </c>
      <c r="AL238" s="0" t="s">
        <v>1345</v>
      </c>
      <c r="AM238" s="0" t="s">
        <v>94</v>
      </c>
      <c r="AN238" s="26" t="n">
        <f aca="false">IFERROR(E238*(1+IF(AM238="Apartment",Data_Summary!$C$3,0)),"")</f>
        <v>4</v>
      </c>
      <c r="AO238" s="4" t="n">
        <v>46195</v>
      </c>
    </row>
    <row r="239" customFormat="false" ht="15" hidden="false" customHeight="false" outlineLevel="0" collapsed="false">
      <c r="A239" s="0" t="n">
        <f aca="false">IF(AND(ISNUMBER(B239),B239&gt;0,ISNUMBER(AB239),AB239&gt;0,J239&gt;=Data_Summary!$C$1),1,0)</f>
        <v>1</v>
      </c>
      <c r="B239" s="30" t="n">
        <v>492</v>
      </c>
      <c r="C239" s="5" t="n">
        <f aca="false">IF(ISNUMBER(AB239),AB239,"")</f>
        <v>2100</v>
      </c>
      <c r="D239" s="0" t="n">
        <f aca="false">IF(ISNUMBER(C239),C239-U239*Data_Summary!$C$2,"")</f>
        <v>2100</v>
      </c>
      <c r="E239" s="31" t="n">
        <f aca="false">IFERROR(C239/B239,"")</f>
        <v>4.26829268292683</v>
      </c>
      <c r="F239" s="26" t="n">
        <f aca="false">IFERROR(D239/B239,"")</f>
        <v>4.26829268292683</v>
      </c>
      <c r="G239" s="0" t="str">
        <f aca="false">Q239</f>
        <v>1</v>
      </c>
      <c r="H239" s="0" t="str">
        <f aca="false">IFERROR(LEFT(G239,1),"")</f>
        <v>1</v>
      </c>
      <c r="I239" s="0" t="n">
        <f aca="false">IF(LEN(G239)&gt;1,1,0)</f>
        <v>0</v>
      </c>
      <c r="J239" s="4" t="n">
        <v>45827</v>
      </c>
      <c r="K239" s="0" t="s">
        <v>10</v>
      </c>
      <c r="L239" s="0" t="s">
        <v>91</v>
      </c>
      <c r="M239" s="0" t="s">
        <v>226</v>
      </c>
      <c r="N239" s="0" t="s">
        <v>93</v>
      </c>
      <c r="O239" s="0" t="s">
        <v>1346</v>
      </c>
      <c r="Q239" s="0" t="s">
        <v>242</v>
      </c>
      <c r="R239" s="0" t="n">
        <v>1</v>
      </c>
      <c r="S239" s="5" t="n">
        <v>492</v>
      </c>
      <c r="T239" s="0" t="s">
        <v>303</v>
      </c>
      <c r="U239" s="0" t="n">
        <v>0</v>
      </c>
      <c r="V239" s="0" t="s">
        <v>230</v>
      </c>
      <c r="W239" s="0" t="s">
        <v>244</v>
      </c>
      <c r="X239" s="0" t="s">
        <v>232</v>
      </c>
      <c r="Y239" s="0" t="s">
        <v>253</v>
      </c>
      <c r="Z239" s="0" t="s">
        <v>234</v>
      </c>
      <c r="AA239" s="0" t="s">
        <v>235</v>
      </c>
      <c r="AB239" s="32" t="n">
        <v>2100</v>
      </c>
      <c r="AC239" s="32" t="n">
        <v>2100</v>
      </c>
      <c r="AD239" s="26" t="n">
        <f aca="false">IFERROR(AB239/B239,"")</f>
        <v>4.26829268292683</v>
      </c>
      <c r="AE239" s="26" t="n">
        <f aca="false">IFERROR(AC239/B239,"")</f>
        <v>4.26829268292683</v>
      </c>
      <c r="AF239" s="0" t="s">
        <v>236</v>
      </c>
      <c r="AG239" s="0" t="s">
        <v>236</v>
      </c>
      <c r="AH239" s="0" t="s">
        <v>230</v>
      </c>
      <c r="AI239" s="0" t="s">
        <v>1334</v>
      </c>
      <c r="AJ239" s="0" t="s">
        <v>1347</v>
      </c>
      <c r="AK239" s="0" t="s">
        <v>1348</v>
      </c>
      <c r="AL239" s="0" t="s">
        <v>1349</v>
      </c>
      <c r="AM239" s="0" t="s">
        <v>94</v>
      </c>
      <c r="AN239" s="26" t="n">
        <f aca="false">IFERROR(E239*(1+IF(AM239="Apartment",Data_Summary!$C$3,0)),"")</f>
        <v>4.26829268292683</v>
      </c>
      <c r="AO239" s="4" t="n">
        <v>46195</v>
      </c>
    </row>
    <row r="240" customFormat="false" ht="15" hidden="false" customHeight="false" outlineLevel="0" collapsed="false">
      <c r="A240" s="0" t="n">
        <f aca="false">IF(AND(ISNUMBER(B240),B240&gt;0,ISNUMBER(AB240),AB240&gt;0,J240&gt;=Data_Summary!$C$1),1,0)</f>
        <v>1</v>
      </c>
      <c r="B240" s="30" t="n">
        <v>492</v>
      </c>
      <c r="C240" s="5" t="n">
        <f aca="false">IF(ISNUMBER(AB240),AB240,"")</f>
        <v>2100</v>
      </c>
      <c r="D240" s="0" t="n">
        <f aca="false">IF(ISNUMBER(C240),C240-U240*Data_Summary!$C$2,"")</f>
        <v>2100</v>
      </c>
      <c r="E240" s="31" t="n">
        <f aca="false">IFERROR(C240/B240,"")</f>
        <v>4.26829268292683</v>
      </c>
      <c r="F240" s="26" t="n">
        <f aca="false">IFERROR(D240/B240,"")</f>
        <v>4.26829268292683</v>
      </c>
      <c r="G240" s="0" t="str">
        <f aca="false">Q240</f>
        <v>1</v>
      </c>
      <c r="H240" s="0" t="str">
        <f aca="false">IFERROR(LEFT(G240,1),"")</f>
        <v>1</v>
      </c>
      <c r="I240" s="0" t="n">
        <f aca="false">IF(LEN(G240)&gt;1,1,0)</f>
        <v>0</v>
      </c>
      <c r="J240" s="4" t="n">
        <v>45826</v>
      </c>
      <c r="K240" s="0" t="s">
        <v>10</v>
      </c>
      <c r="L240" s="0" t="s">
        <v>91</v>
      </c>
      <c r="M240" s="0" t="s">
        <v>226</v>
      </c>
      <c r="N240" s="0" t="s">
        <v>93</v>
      </c>
      <c r="O240" s="0" t="s">
        <v>1350</v>
      </c>
      <c r="Q240" s="0" t="s">
        <v>242</v>
      </c>
      <c r="R240" s="0" t="n">
        <v>1</v>
      </c>
      <c r="S240" s="5" t="n">
        <v>492</v>
      </c>
      <c r="T240" s="0" t="s">
        <v>303</v>
      </c>
      <c r="U240" s="0" t="n">
        <v>0</v>
      </c>
      <c r="V240" s="0" t="s">
        <v>230</v>
      </c>
      <c r="W240" s="0" t="s">
        <v>244</v>
      </c>
      <c r="X240" s="0" t="s">
        <v>232</v>
      </c>
      <c r="Y240" s="0" t="s">
        <v>253</v>
      </c>
      <c r="Z240" s="0" t="s">
        <v>234</v>
      </c>
      <c r="AA240" s="0" t="s">
        <v>235</v>
      </c>
      <c r="AB240" s="32" t="n">
        <v>2100</v>
      </c>
      <c r="AC240" s="32" t="n">
        <v>2100</v>
      </c>
      <c r="AD240" s="26" t="n">
        <f aca="false">IFERROR(AB240/B240,"")</f>
        <v>4.26829268292683</v>
      </c>
      <c r="AE240" s="26" t="n">
        <f aca="false">IFERROR(AC240/B240,"")</f>
        <v>4.26829268292683</v>
      </c>
      <c r="AF240" s="0" t="s">
        <v>236</v>
      </c>
      <c r="AG240" s="0" t="s">
        <v>236</v>
      </c>
      <c r="AH240" s="0" t="s">
        <v>230</v>
      </c>
      <c r="AI240" s="0" t="s">
        <v>1351</v>
      </c>
      <c r="AJ240" s="0" t="s">
        <v>1352</v>
      </c>
      <c r="AK240" s="0" t="s">
        <v>1353</v>
      </c>
      <c r="AL240" s="0" t="s">
        <v>1354</v>
      </c>
      <c r="AM240" s="0" t="s">
        <v>94</v>
      </c>
      <c r="AN240" s="26" t="n">
        <f aca="false">IFERROR(E240*(1+IF(AM240="Apartment",Data_Summary!$C$3,0)),"")</f>
        <v>4.26829268292683</v>
      </c>
      <c r="AO240" s="4" t="n">
        <v>46195</v>
      </c>
    </row>
    <row r="241" customFormat="false" ht="15" hidden="false" customHeight="false" outlineLevel="0" collapsed="false">
      <c r="A241" s="0" t="n">
        <f aca="false">IF(AND(ISNUMBER(B241),B241&gt;0,ISNUMBER(AB241),AB241&gt;0,J241&gt;=Data_Summary!$C$1),1,0)</f>
        <v>1</v>
      </c>
      <c r="B241" s="30" t="n">
        <v>612</v>
      </c>
      <c r="C241" s="5" t="n">
        <f aca="false">IF(ISNUMBER(AB241),AB241,"")</f>
        <v>2315</v>
      </c>
      <c r="D241" s="0" t="n">
        <f aca="false">IF(ISNUMBER(C241),C241-U241*Data_Summary!$C$2,"")</f>
        <v>2315</v>
      </c>
      <c r="E241" s="31" t="n">
        <f aca="false">IFERROR(C241/B241,"")</f>
        <v>3.78267973856209</v>
      </c>
      <c r="F241" s="26" t="n">
        <f aca="false">IFERROR(D241/B241,"")</f>
        <v>3.78267973856209</v>
      </c>
      <c r="G241" s="0" t="str">
        <f aca="false">Q241</f>
        <v>1+1</v>
      </c>
      <c r="H241" s="0" t="str">
        <f aca="false">IFERROR(LEFT(G241,1),"")</f>
        <v>1</v>
      </c>
      <c r="I241" s="0" t="n">
        <f aca="false">IF(LEN(G241)&gt;1,1,0)</f>
        <v>1</v>
      </c>
      <c r="J241" s="4" t="n">
        <v>45825</v>
      </c>
      <c r="K241" s="0" t="s">
        <v>10</v>
      </c>
      <c r="L241" s="0" t="s">
        <v>91</v>
      </c>
      <c r="M241" s="0" t="s">
        <v>226</v>
      </c>
      <c r="N241" s="0" t="s">
        <v>93</v>
      </c>
      <c r="O241" s="0" t="s">
        <v>1355</v>
      </c>
      <c r="Q241" s="0" t="s">
        <v>270</v>
      </c>
      <c r="R241" s="0" t="n">
        <v>1</v>
      </c>
      <c r="S241" s="5" t="n">
        <v>612</v>
      </c>
      <c r="T241" s="0" t="s">
        <v>271</v>
      </c>
      <c r="U241" s="0" t="n">
        <v>0</v>
      </c>
      <c r="V241" s="0" t="s">
        <v>230</v>
      </c>
      <c r="W241" s="0" t="s">
        <v>244</v>
      </c>
      <c r="X241" s="0" t="s">
        <v>232</v>
      </c>
      <c r="Y241" s="0" t="s">
        <v>272</v>
      </c>
      <c r="Z241" s="0" t="s">
        <v>234</v>
      </c>
      <c r="AA241" s="0" t="s">
        <v>235</v>
      </c>
      <c r="AB241" s="32" t="n">
        <v>2315</v>
      </c>
      <c r="AC241" s="32" t="n">
        <v>2315</v>
      </c>
      <c r="AD241" s="26" t="n">
        <f aca="false">IFERROR(AB241/B241,"")</f>
        <v>3.78267973856209</v>
      </c>
      <c r="AE241" s="26" t="n">
        <f aca="false">IFERROR(AC241/B241,"")</f>
        <v>3.78267973856209</v>
      </c>
      <c r="AF241" s="0" t="s">
        <v>236</v>
      </c>
      <c r="AG241" s="0" t="s">
        <v>236</v>
      </c>
      <c r="AH241" s="0" t="s">
        <v>230</v>
      </c>
      <c r="AI241" s="0" t="s">
        <v>1356</v>
      </c>
      <c r="AJ241" s="0" t="s">
        <v>1357</v>
      </c>
      <c r="AK241" s="0" t="s">
        <v>1358</v>
      </c>
      <c r="AL241" s="0" t="s">
        <v>1359</v>
      </c>
      <c r="AM241" s="0" t="s">
        <v>94</v>
      </c>
      <c r="AN241" s="26" t="n">
        <f aca="false">IFERROR(E241*(1+IF(AM241="Apartment",Data_Summary!$C$3,0)),"")</f>
        <v>3.78267973856209</v>
      </c>
      <c r="AO241" s="4" t="n">
        <v>46195</v>
      </c>
    </row>
    <row r="242" customFormat="false" ht="15" hidden="false" customHeight="false" outlineLevel="0" collapsed="false">
      <c r="A242" s="0" t="n">
        <f aca="false">IF(AND(ISNUMBER(B242),B242&gt;0,ISNUMBER(AB242),AB242&gt;0,J242&gt;=Data_Summary!$C$1),1,0)</f>
        <v>1</v>
      </c>
      <c r="B242" s="33" t="n">
        <v>600</v>
      </c>
      <c r="C242" s="5" t="n">
        <f aca="false">IF(ISNUMBER(AB242),AB242,"")</f>
        <v>2300</v>
      </c>
      <c r="D242" s="0" t="n">
        <f aca="false">IF(ISNUMBER(C242),C242-U242*Data_Summary!$C$2,"")</f>
        <v>2300</v>
      </c>
      <c r="E242" s="34" t="n">
        <f aca="false">IFERROR(C242/B242,"")</f>
        <v>3.83333333333333</v>
      </c>
      <c r="F242" s="26" t="n">
        <f aca="false">IFERROR(D242/B242,"")</f>
        <v>3.83333333333333</v>
      </c>
      <c r="G242" s="0" t="str">
        <f aca="false">Q242</f>
        <v>1</v>
      </c>
      <c r="H242" s="0" t="str">
        <f aca="false">IFERROR(LEFT(G242,1),"")</f>
        <v>1</v>
      </c>
      <c r="I242" s="0" t="n">
        <f aca="false">IF(LEN(G242)&gt;1,1,0)</f>
        <v>0</v>
      </c>
      <c r="J242" s="4" t="n">
        <v>45824</v>
      </c>
      <c r="K242" s="0" t="s">
        <v>10</v>
      </c>
      <c r="L242" s="0" t="s">
        <v>91</v>
      </c>
      <c r="M242" s="0" t="s">
        <v>226</v>
      </c>
      <c r="N242" s="0" t="s">
        <v>93</v>
      </c>
      <c r="O242" s="0" t="s">
        <v>1360</v>
      </c>
      <c r="Q242" s="0" t="s">
        <v>242</v>
      </c>
      <c r="R242" s="0" t="n">
        <v>1</v>
      </c>
      <c r="S242" s="5" t="n">
        <v>600</v>
      </c>
      <c r="T242" s="0" t="s">
        <v>243</v>
      </c>
      <c r="U242" s="0" t="n">
        <v>0</v>
      </c>
      <c r="V242" s="0" t="s">
        <v>230</v>
      </c>
      <c r="W242" s="0" t="s">
        <v>231</v>
      </c>
      <c r="X242" s="0" t="s">
        <v>232</v>
      </c>
      <c r="Y242" s="0" t="s">
        <v>278</v>
      </c>
      <c r="Z242" s="0" t="s">
        <v>234</v>
      </c>
      <c r="AA242" s="0" t="s">
        <v>235</v>
      </c>
      <c r="AB242" s="32" t="n">
        <v>2300</v>
      </c>
      <c r="AC242" s="32" t="n">
        <v>2300</v>
      </c>
      <c r="AD242" s="26" t="n">
        <f aca="false">IFERROR(AB242/B242,"")</f>
        <v>3.83333333333333</v>
      </c>
      <c r="AE242" s="26" t="n">
        <f aca="false">IFERROR(AC242/B242,"")</f>
        <v>3.83333333333333</v>
      </c>
      <c r="AF242" s="0" t="s">
        <v>236</v>
      </c>
      <c r="AG242" s="0" t="s">
        <v>236</v>
      </c>
      <c r="AH242" s="0" t="s">
        <v>230</v>
      </c>
      <c r="AI242" s="0" t="s">
        <v>1361</v>
      </c>
      <c r="AJ242" s="0" t="s">
        <v>1362</v>
      </c>
      <c r="AK242" s="0" t="s">
        <v>1363</v>
      </c>
      <c r="AL242" s="0" t="s">
        <v>1364</v>
      </c>
      <c r="AM242" s="0" t="s">
        <v>94</v>
      </c>
      <c r="AN242" s="26" t="n">
        <f aca="false">IFERROR(E242*(1+IF(AM242="Apartment",Data_Summary!$C$3,0)),"")</f>
        <v>3.83333333333333</v>
      </c>
      <c r="AO242" s="4" t="n">
        <v>46195</v>
      </c>
    </row>
    <row r="243" customFormat="false" ht="15" hidden="false" customHeight="false" outlineLevel="0" collapsed="false">
      <c r="A243" s="0" t="n">
        <f aca="false">IF(AND(ISNUMBER(B243),B243&gt;0,ISNUMBER(AB243),AB243&gt;0,J243&gt;=Data_Summary!$C$1),1,0)</f>
        <v>1</v>
      </c>
      <c r="B243" s="30" t="n">
        <v>600</v>
      </c>
      <c r="C243" s="5" t="n">
        <f aca="false">IF(ISNUMBER(AB243),AB243,"")</f>
        <v>2300</v>
      </c>
      <c r="D243" s="0" t="n">
        <f aca="false">IF(ISNUMBER(C243),C243-U243*Data_Summary!$C$2,"")</f>
        <v>2300</v>
      </c>
      <c r="E243" s="31" t="n">
        <f aca="false">IFERROR(C243/B243,"")</f>
        <v>3.83333333333333</v>
      </c>
      <c r="F243" s="26" t="n">
        <f aca="false">IFERROR(D243/B243,"")</f>
        <v>3.83333333333333</v>
      </c>
      <c r="G243" s="0" t="str">
        <f aca="false">Q243</f>
        <v>1</v>
      </c>
      <c r="H243" s="0" t="str">
        <f aca="false">IFERROR(LEFT(G243,1),"")</f>
        <v>1</v>
      </c>
      <c r="I243" s="0" t="n">
        <f aca="false">IF(LEN(G243)&gt;1,1,0)</f>
        <v>0</v>
      </c>
      <c r="J243" s="4" t="n">
        <v>45824</v>
      </c>
      <c r="K243" s="0" t="s">
        <v>10</v>
      </c>
      <c r="L243" s="0" t="s">
        <v>91</v>
      </c>
      <c r="M243" s="0" t="s">
        <v>226</v>
      </c>
      <c r="N243" s="0" t="s">
        <v>93</v>
      </c>
      <c r="O243" s="0" t="s">
        <v>1365</v>
      </c>
      <c r="Q243" s="0" t="s">
        <v>242</v>
      </c>
      <c r="R243" s="0" t="n">
        <v>1</v>
      </c>
      <c r="S243" s="5" t="n">
        <v>600</v>
      </c>
      <c r="T243" s="0" t="s">
        <v>271</v>
      </c>
      <c r="U243" s="0" t="n">
        <v>0</v>
      </c>
      <c r="V243" s="0" t="s">
        <v>230</v>
      </c>
      <c r="W243" s="0" t="s">
        <v>244</v>
      </c>
      <c r="X243" s="0" t="s">
        <v>232</v>
      </c>
      <c r="Y243" s="0" t="s">
        <v>278</v>
      </c>
      <c r="Z243" s="0" t="s">
        <v>234</v>
      </c>
      <c r="AA243" s="0" t="s">
        <v>235</v>
      </c>
      <c r="AB243" s="32" t="n">
        <v>2300</v>
      </c>
      <c r="AC243" s="32" t="n">
        <v>2300</v>
      </c>
      <c r="AD243" s="26" t="n">
        <f aca="false">IFERROR(AB243/B243,"")</f>
        <v>3.83333333333333</v>
      </c>
      <c r="AE243" s="26" t="n">
        <f aca="false">IFERROR(AC243/B243,"")</f>
        <v>3.83333333333333</v>
      </c>
      <c r="AF243" s="0" t="s">
        <v>236</v>
      </c>
      <c r="AG243" s="0" t="s">
        <v>236</v>
      </c>
      <c r="AH243" s="0" t="s">
        <v>230</v>
      </c>
      <c r="AI243" s="0" t="s">
        <v>1361</v>
      </c>
      <c r="AJ243" s="0" t="s">
        <v>1366</v>
      </c>
      <c r="AK243" s="0" t="s">
        <v>1367</v>
      </c>
      <c r="AL243" s="0" t="s">
        <v>1368</v>
      </c>
      <c r="AM243" s="0" t="s">
        <v>94</v>
      </c>
      <c r="AN243" s="26" t="n">
        <f aca="false">IFERROR(E243*(1+IF(AM243="Apartment",Data_Summary!$C$3,0)),"")</f>
        <v>3.83333333333333</v>
      </c>
      <c r="AO243" s="4" t="n">
        <v>46195</v>
      </c>
    </row>
    <row r="244" customFormat="false" ht="15" hidden="false" customHeight="false" outlineLevel="0" collapsed="false">
      <c r="A244" s="0" t="n">
        <f aca="false">IF(AND(ISNUMBER(B244),B244&gt;0,ISNUMBER(AB244),AB244&gt;0,J244&gt;=Data_Summary!$C$1),1,0)</f>
        <v>1</v>
      </c>
      <c r="B244" s="30" t="n">
        <v>505</v>
      </c>
      <c r="C244" s="5" t="n">
        <f aca="false">IF(ISNUMBER(AB244),AB244,"")</f>
        <v>2150</v>
      </c>
      <c r="D244" s="0" t="n">
        <f aca="false">IF(ISNUMBER(C244),C244-U244*Data_Summary!$C$2,"")</f>
        <v>2150</v>
      </c>
      <c r="E244" s="31" t="n">
        <f aca="false">IFERROR(C244/B244,"")</f>
        <v>4.25742574257426</v>
      </c>
      <c r="F244" s="26" t="n">
        <f aca="false">IFERROR(D244/B244,"")</f>
        <v>4.25742574257426</v>
      </c>
      <c r="G244" s="0" t="str">
        <f aca="false">Q244</f>
        <v>1</v>
      </c>
      <c r="H244" s="0" t="str">
        <f aca="false">IFERROR(LEFT(G244,1),"")</f>
        <v>1</v>
      </c>
      <c r="I244" s="0" t="n">
        <f aca="false">IF(LEN(G244)&gt;1,1,0)</f>
        <v>0</v>
      </c>
      <c r="J244" s="4" t="n">
        <v>45823</v>
      </c>
      <c r="K244" s="0" t="s">
        <v>10</v>
      </c>
      <c r="L244" s="0" t="s">
        <v>91</v>
      </c>
      <c r="M244" s="0" t="s">
        <v>226</v>
      </c>
      <c r="N244" s="0" t="s">
        <v>93</v>
      </c>
      <c r="O244" s="0" t="s">
        <v>1369</v>
      </c>
      <c r="Q244" s="0" t="s">
        <v>242</v>
      </c>
      <c r="R244" s="0" t="n">
        <v>1</v>
      </c>
      <c r="S244" s="5" t="n">
        <v>505</v>
      </c>
      <c r="T244" s="0" t="s">
        <v>243</v>
      </c>
      <c r="U244" s="0" t="n">
        <v>0</v>
      </c>
      <c r="V244" s="0" t="s">
        <v>230</v>
      </c>
      <c r="W244" s="0" t="s">
        <v>244</v>
      </c>
      <c r="X244" s="0" t="s">
        <v>232</v>
      </c>
      <c r="Y244" s="0" t="s">
        <v>253</v>
      </c>
      <c r="Z244" s="0" t="s">
        <v>234</v>
      </c>
      <c r="AA244" s="0" t="s">
        <v>235</v>
      </c>
      <c r="AB244" s="32" t="n">
        <v>2150</v>
      </c>
      <c r="AC244" s="32" t="n">
        <v>2150</v>
      </c>
      <c r="AD244" s="26" t="n">
        <f aca="false">IFERROR(AB244/B244,"")</f>
        <v>4.25742574257426</v>
      </c>
      <c r="AE244" s="26" t="n">
        <f aca="false">IFERROR(AC244/B244,"")</f>
        <v>4.25742574257426</v>
      </c>
      <c r="AF244" s="0" t="s">
        <v>236</v>
      </c>
      <c r="AG244" s="0" t="s">
        <v>236</v>
      </c>
      <c r="AH244" s="0" t="s">
        <v>230</v>
      </c>
      <c r="AI244" s="0" t="s">
        <v>1370</v>
      </c>
      <c r="AJ244" s="0" t="s">
        <v>1371</v>
      </c>
      <c r="AK244" s="0" t="s">
        <v>1372</v>
      </c>
      <c r="AL244" s="0" t="s">
        <v>1373</v>
      </c>
      <c r="AM244" s="0" t="s">
        <v>94</v>
      </c>
      <c r="AN244" s="26" t="n">
        <f aca="false">IFERROR(E244*(1+IF(AM244="Apartment",Data_Summary!$C$3,0)),"")</f>
        <v>4.25742574257426</v>
      </c>
      <c r="AO244" s="4" t="n">
        <v>46195</v>
      </c>
    </row>
    <row r="245" customFormat="false" ht="15" hidden="false" customHeight="false" outlineLevel="0" collapsed="false">
      <c r="A245" s="0" t="n">
        <f aca="false">IF(AND(ISNUMBER(B245),B245&gt;0,ISNUMBER(AB245),AB245&gt;0,J245&gt;=Data_Summary!$C$1),1,0)</f>
        <v>1</v>
      </c>
      <c r="B245" s="33" t="n">
        <v>600</v>
      </c>
      <c r="C245" s="5" t="n">
        <f aca="false">IF(ISNUMBER(AB245),AB245,"")</f>
        <v>2300</v>
      </c>
      <c r="D245" s="0" t="n">
        <f aca="false">IF(ISNUMBER(C245),C245-U245*Data_Summary!$C$2,"")</f>
        <v>2300</v>
      </c>
      <c r="E245" s="34" t="n">
        <f aca="false">IFERROR(C245/B245,"")</f>
        <v>3.83333333333333</v>
      </c>
      <c r="F245" s="26" t="n">
        <f aca="false">IFERROR(D245/B245,"")</f>
        <v>3.83333333333333</v>
      </c>
      <c r="G245" s="0" t="str">
        <f aca="false">Q245</f>
        <v>1</v>
      </c>
      <c r="H245" s="0" t="str">
        <f aca="false">IFERROR(LEFT(G245,1),"")</f>
        <v>1</v>
      </c>
      <c r="I245" s="0" t="n">
        <f aca="false">IF(LEN(G245)&gt;1,1,0)</f>
        <v>0</v>
      </c>
      <c r="J245" s="4" t="n">
        <v>45822</v>
      </c>
      <c r="K245" s="0" t="s">
        <v>10</v>
      </c>
      <c r="L245" s="0" t="s">
        <v>91</v>
      </c>
      <c r="M245" s="0" t="s">
        <v>226</v>
      </c>
      <c r="N245" s="0" t="s">
        <v>93</v>
      </c>
      <c r="O245" s="0" t="s">
        <v>1374</v>
      </c>
      <c r="Q245" s="0" t="s">
        <v>242</v>
      </c>
      <c r="R245" s="0" t="n">
        <v>1</v>
      </c>
      <c r="S245" s="5" t="n">
        <v>600</v>
      </c>
      <c r="T245" s="0" t="s">
        <v>243</v>
      </c>
      <c r="U245" s="0" t="n">
        <v>0</v>
      </c>
      <c r="V245" s="0" t="s">
        <v>230</v>
      </c>
      <c r="W245" s="0" t="s">
        <v>244</v>
      </c>
      <c r="X245" s="0" t="s">
        <v>232</v>
      </c>
      <c r="Y245" s="0" t="s">
        <v>278</v>
      </c>
      <c r="Z245" s="0" t="s">
        <v>234</v>
      </c>
      <c r="AA245" s="0" t="s">
        <v>235</v>
      </c>
      <c r="AB245" s="32" t="n">
        <v>2300</v>
      </c>
      <c r="AC245" s="32" t="n">
        <v>2300</v>
      </c>
      <c r="AD245" s="26" t="n">
        <f aca="false">IFERROR(AB245/B245,"")</f>
        <v>3.83333333333333</v>
      </c>
      <c r="AE245" s="26" t="n">
        <f aca="false">IFERROR(AC245/B245,"")</f>
        <v>3.83333333333333</v>
      </c>
      <c r="AF245" s="0" t="s">
        <v>236</v>
      </c>
      <c r="AG245" s="0" t="s">
        <v>236</v>
      </c>
      <c r="AH245" s="0" t="s">
        <v>230</v>
      </c>
      <c r="AI245" s="0" t="s">
        <v>1375</v>
      </c>
      <c r="AJ245" s="0" t="s">
        <v>1376</v>
      </c>
      <c r="AK245" s="0" t="s">
        <v>1377</v>
      </c>
      <c r="AL245" s="0" t="s">
        <v>1378</v>
      </c>
      <c r="AM245" s="0" t="s">
        <v>94</v>
      </c>
      <c r="AN245" s="26" t="n">
        <f aca="false">IFERROR(E245*(1+IF(AM245="Apartment",Data_Summary!$C$3,0)),"")</f>
        <v>3.83333333333333</v>
      </c>
      <c r="AO245" s="4" t="n">
        <v>46195</v>
      </c>
    </row>
    <row r="246" customFormat="false" ht="15" hidden="false" customHeight="false" outlineLevel="0" collapsed="false">
      <c r="A246" s="0" t="n">
        <f aca="false">IF(AND(ISNUMBER(B246),B246&gt;0,ISNUMBER(AB246),AB246&gt;0,J246&gt;=Data_Summary!$C$1),1,0)</f>
        <v>1</v>
      </c>
      <c r="B246" s="30" t="n">
        <v>612</v>
      </c>
      <c r="C246" s="5" t="n">
        <f aca="false">IF(ISNUMBER(AB246),AB246,"")</f>
        <v>2300</v>
      </c>
      <c r="D246" s="0" t="n">
        <f aca="false">IF(ISNUMBER(C246),C246-U246*Data_Summary!$C$2,"")</f>
        <v>2300</v>
      </c>
      <c r="E246" s="31" t="n">
        <f aca="false">IFERROR(C246/B246,"")</f>
        <v>3.75816993464052</v>
      </c>
      <c r="F246" s="26" t="n">
        <f aca="false">IFERROR(D246/B246,"")</f>
        <v>3.75816993464052</v>
      </c>
      <c r="G246" s="0" t="str">
        <f aca="false">Q246</f>
        <v>1+1</v>
      </c>
      <c r="H246" s="0" t="str">
        <f aca="false">IFERROR(LEFT(G246,1),"")</f>
        <v>1</v>
      </c>
      <c r="I246" s="0" t="n">
        <f aca="false">IF(LEN(G246)&gt;1,1,0)</f>
        <v>1</v>
      </c>
      <c r="J246" s="4" t="n">
        <v>45822</v>
      </c>
      <c r="K246" s="0" t="s">
        <v>10</v>
      </c>
      <c r="L246" s="0" t="s">
        <v>91</v>
      </c>
      <c r="M246" s="0" t="s">
        <v>226</v>
      </c>
      <c r="N246" s="0" t="s">
        <v>93</v>
      </c>
      <c r="O246" s="0" t="s">
        <v>1379</v>
      </c>
      <c r="Q246" s="0" t="s">
        <v>270</v>
      </c>
      <c r="R246" s="0" t="n">
        <v>1</v>
      </c>
      <c r="S246" s="5" t="n">
        <v>612</v>
      </c>
      <c r="T246" s="0" t="s">
        <v>271</v>
      </c>
      <c r="U246" s="0" t="n">
        <v>0</v>
      </c>
      <c r="V246" s="0" t="s">
        <v>230</v>
      </c>
      <c r="W246" s="0" t="s">
        <v>244</v>
      </c>
      <c r="X246" s="0" t="s">
        <v>232</v>
      </c>
      <c r="Y246" s="0" t="s">
        <v>272</v>
      </c>
      <c r="Z246" s="0" t="s">
        <v>234</v>
      </c>
      <c r="AA246" s="0" t="s">
        <v>235</v>
      </c>
      <c r="AB246" s="32" t="n">
        <v>2300</v>
      </c>
      <c r="AC246" s="32" t="n">
        <v>2300</v>
      </c>
      <c r="AD246" s="26" t="n">
        <f aca="false">IFERROR(AB246/B246,"")</f>
        <v>3.75816993464052</v>
      </c>
      <c r="AE246" s="26" t="n">
        <f aca="false">IFERROR(AC246/B246,"")</f>
        <v>3.75816993464052</v>
      </c>
      <c r="AF246" s="0" t="s">
        <v>236</v>
      </c>
      <c r="AG246" s="0" t="s">
        <v>236</v>
      </c>
      <c r="AH246" s="0" t="s">
        <v>230</v>
      </c>
      <c r="AI246" s="0" t="s">
        <v>1375</v>
      </c>
      <c r="AJ246" s="0" t="s">
        <v>1380</v>
      </c>
      <c r="AK246" s="0" t="s">
        <v>1381</v>
      </c>
      <c r="AL246" s="0" t="s">
        <v>1382</v>
      </c>
      <c r="AM246" s="0" t="s">
        <v>94</v>
      </c>
      <c r="AN246" s="26" t="n">
        <f aca="false">IFERROR(E246*(1+IF(AM246="Apartment",Data_Summary!$C$3,0)),"")</f>
        <v>3.75816993464052</v>
      </c>
      <c r="AO246" s="4" t="n">
        <v>46195</v>
      </c>
    </row>
    <row r="247" customFormat="false" ht="15" hidden="false" customHeight="false" outlineLevel="0" collapsed="false">
      <c r="A247" s="0" t="n">
        <f aca="false">IF(AND(ISNUMBER(B247),B247&gt;0,ISNUMBER(AB247),AB247&gt;0,J247&gt;=Data_Summary!$C$1),1,0)</f>
        <v>1</v>
      </c>
      <c r="B247" s="33" t="n">
        <v>650</v>
      </c>
      <c r="C247" s="5" t="n">
        <f aca="false">IF(ISNUMBER(AB247),AB247,"")</f>
        <v>2350</v>
      </c>
      <c r="D247" s="0" t="n">
        <f aca="false">IF(ISNUMBER(C247),C247-U247*Data_Summary!$C$2,"")</f>
        <v>2350</v>
      </c>
      <c r="E247" s="34" t="n">
        <f aca="false">IFERROR(C247/B247,"")</f>
        <v>3.61538461538462</v>
      </c>
      <c r="F247" s="26" t="n">
        <f aca="false">IFERROR(D247/B247,"")</f>
        <v>3.61538461538462</v>
      </c>
      <c r="G247" s="0" t="str">
        <f aca="false">Q247</f>
        <v>1+1</v>
      </c>
      <c r="H247" s="0" t="str">
        <f aca="false">IFERROR(LEFT(G247,1),"")</f>
        <v>1</v>
      </c>
      <c r="I247" s="0" t="n">
        <f aca="false">IF(LEN(G247)&gt;1,1,0)</f>
        <v>1</v>
      </c>
      <c r="J247" s="4" t="n">
        <v>45821</v>
      </c>
      <c r="K247" s="0" t="s">
        <v>10</v>
      </c>
      <c r="L247" s="0" t="s">
        <v>91</v>
      </c>
      <c r="M247" s="0" t="s">
        <v>226</v>
      </c>
      <c r="N247" s="0" t="s">
        <v>93</v>
      </c>
      <c r="O247" s="0" t="s">
        <v>1383</v>
      </c>
      <c r="Q247" s="0" t="s">
        <v>270</v>
      </c>
      <c r="R247" s="0" t="n">
        <v>1</v>
      </c>
      <c r="S247" s="5" t="n">
        <v>650</v>
      </c>
      <c r="T247" s="0" t="s">
        <v>243</v>
      </c>
      <c r="U247" s="0" t="n">
        <v>0</v>
      </c>
      <c r="V247" s="0" t="s">
        <v>230</v>
      </c>
      <c r="W247" s="0" t="s">
        <v>244</v>
      </c>
      <c r="X247" s="0" t="s">
        <v>232</v>
      </c>
      <c r="Y247" s="0" t="s">
        <v>278</v>
      </c>
      <c r="Z247" s="0" t="s">
        <v>234</v>
      </c>
      <c r="AA247" s="0" t="s">
        <v>235</v>
      </c>
      <c r="AB247" s="32" t="n">
        <v>2350</v>
      </c>
      <c r="AC247" s="32" t="n">
        <v>2350</v>
      </c>
      <c r="AD247" s="26" t="n">
        <f aca="false">IFERROR(AB247/B247,"")</f>
        <v>3.61538461538462</v>
      </c>
      <c r="AE247" s="26" t="n">
        <f aca="false">IFERROR(AC247/B247,"")</f>
        <v>3.61538461538462</v>
      </c>
      <c r="AF247" s="0" t="s">
        <v>236</v>
      </c>
      <c r="AG247" s="0" t="s">
        <v>236</v>
      </c>
      <c r="AH247" s="0" t="s">
        <v>230</v>
      </c>
      <c r="AI247" s="0" t="s">
        <v>1384</v>
      </c>
      <c r="AJ247" s="0" t="s">
        <v>1385</v>
      </c>
      <c r="AK247" s="0" t="s">
        <v>1386</v>
      </c>
      <c r="AL247" s="0" t="s">
        <v>1387</v>
      </c>
      <c r="AM247" s="0" t="s">
        <v>94</v>
      </c>
      <c r="AN247" s="26" t="n">
        <f aca="false">IFERROR(E247*(1+IF(AM247="Apartment",Data_Summary!$C$3,0)),"")</f>
        <v>3.61538461538462</v>
      </c>
      <c r="AO247" s="4" t="n">
        <v>46195</v>
      </c>
    </row>
    <row r="248" customFormat="false" ht="15" hidden="false" customHeight="false" outlineLevel="0" collapsed="false">
      <c r="A248" s="0" t="n">
        <f aca="false">IF(AND(ISNUMBER(B248),B248&gt;0,ISNUMBER(AB248),AB248&gt;0,J248&gt;=Data_Summary!$C$1),1,0)</f>
        <v>1</v>
      </c>
      <c r="B248" s="30" t="n">
        <v>770</v>
      </c>
      <c r="C248" s="5" t="n">
        <f aca="false">IF(ISNUMBER(AB248),AB248,"")</f>
        <v>3050</v>
      </c>
      <c r="D248" s="0" t="n">
        <f aca="false">IF(ISNUMBER(C248),C248-U248*Data_Summary!$C$2,"")</f>
        <v>2900</v>
      </c>
      <c r="E248" s="31" t="n">
        <f aca="false">IFERROR(C248/B248,"")</f>
        <v>3.96103896103896</v>
      </c>
      <c r="F248" s="26" t="n">
        <f aca="false">IFERROR(D248/B248,"")</f>
        <v>3.76623376623377</v>
      </c>
      <c r="G248" s="0" t="str">
        <f aca="false">Q248</f>
        <v>2</v>
      </c>
      <c r="H248" s="0" t="str">
        <f aca="false">IFERROR(LEFT(G248,1),"")</f>
        <v>2</v>
      </c>
      <c r="I248" s="0" t="n">
        <f aca="false">IF(LEN(G248)&gt;1,1,0)</f>
        <v>0</v>
      </c>
      <c r="J248" s="4" t="n">
        <v>45821</v>
      </c>
      <c r="K248" s="0" t="s">
        <v>10</v>
      </c>
      <c r="L248" s="0" t="s">
        <v>91</v>
      </c>
      <c r="M248" s="0" t="s">
        <v>226</v>
      </c>
      <c r="N248" s="0" t="s">
        <v>93</v>
      </c>
      <c r="O248" s="0" t="s">
        <v>1388</v>
      </c>
      <c r="Q248" s="0" t="s">
        <v>251</v>
      </c>
      <c r="R248" s="0" t="n">
        <v>2</v>
      </c>
      <c r="S248" s="5" t="n">
        <v>770</v>
      </c>
      <c r="T248" s="0" t="s">
        <v>252</v>
      </c>
      <c r="U248" s="0" t="n">
        <v>1</v>
      </c>
      <c r="V248" s="0" t="s">
        <v>230</v>
      </c>
      <c r="W248" s="0" t="s">
        <v>231</v>
      </c>
      <c r="X248" s="0" t="s">
        <v>232</v>
      </c>
      <c r="Y248" s="0" t="s">
        <v>233</v>
      </c>
      <c r="Z248" s="0" t="s">
        <v>234</v>
      </c>
      <c r="AA248" s="0" t="s">
        <v>235</v>
      </c>
      <c r="AB248" s="32" t="n">
        <v>3050</v>
      </c>
      <c r="AC248" s="32" t="n">
        <v>3200</v>
      </c>
      <c r="AD248" s="26" t="n">
        <f aca="false">IFERROR(AB248/B248,"")</f>
        <v>3.96103896103896</v>
      </c>
      <c r="AE248" s="26" t="n">
        <f aca="false">IFERROR(AC248/B248,"")</f>
        <v>4.15584415584416</v>
      </c>
      <c r="AF248" s="0" t="s">
        <v>236</v>
      </c>
      <c r="AG248" s="0" t="s">
        <v>236</v>
      </c>
      <c r="AH248" s="0" t="s">
        <v>230</v>
      </c>
      <c r="AI248" s="0" t="s">
        <v>1384</v>
      </c>
      <c r="AJ248" s="0" t="s">
        <v>1389</v>
      </c>
      <c r="AK248" s="0" t="s">
        <v>1390</v>
      </c>
      <c r="AL248" s="0" t="s">
        <v>1391</v>
      </c>
      <c r="AM248" s="0" t="s">
        <v>94</v>
      </c>
      <c r="AN248" s="26" t="n">
        <f aca="false">IFERROR(E248*(1+IF(AM248="Apartment",Data_Summary!$C$3,0)),"")</f>
        <v>3.96103896103896</v>
      </c>
      <c r="AO248" s="4" t="n">
        <v>46195</v>
      </c>
    </row>
    <row r="249" customFormat="false" ht="15" hidden="false" customHeight="false" outlineLevel="0" collapsed="false">
      <c r="A249" s="0" t="n">
        <f aca="false">IF(AND(ISNUMBER(B249),B249&gt;0,ISNUMBER(AB249),AB249&gt;0,J249&gt;=Data_Summary!$C$1),1,0)</f>
        <v>1</v>
      </c>
      <c r="B249" s="33" t="n">
        <v>650</v>
      </c>
      <c r="C249" s="5" t="n">
        <f aca="false">IF(ISNUMBER(AB249),AB249,"")</f>
        <v>2500</v>
      </c>
      <c r="D249" s="0" t="n">
        <f aca="false">IF(ISNUMBER(C249),C249-U249*Data_Summary!$C$2,"")</f>
        <v>2500</v>
      </c>
      <c r="E249" s="34" t="n">
        <f aca="false">IFERROR(C249/B249,"")</f>
        <v>3.84615384615385</v>
      </c>
      <c r="F249" s="26" t="n">
        <f aca="false">IFERROR(D249/B249,"")</f>
        <v>3.84615384615385</v>
      </c>
      <c r="G249" s="0" t="str">
        <f aca="false">Q249</f>
        <v>1+1</v>
      </c>
      <c r="H249" s="0" t="str">
        <f aca="false">IFERROR(LEFT(G249,1),"")</f>
        <v>1</v>
      </c>
      <c r="I249" s="0" t="n">
        <f aca="false">IF(LEN(G249)&gt;1,1,0)</f>
        <v>1</v>
      </c>
      <c r="J249" s="4" t="n">
        <v>45820</v>
      </c>
      <c r="K249" s="0" t="s">
        <v>10</v>
      </c>
      <c r="L249" s="0" t="s">
        <v>91</v>
      </c>
      <c r="M249" s="0" t="s">
        <v>226</v>
      </c>
      <c r="N249" s="0" t="s">
        <v>93</v>
      </c>
      <c r="O249" s="0" t="s">
        <v>1392</v>
      </c>
      <c r="Q249" s="0" t="s">
        <v>270</v>
      </c>
      <c r="R249" s="0" t="n">
        <v>1</v>
      </c>
      <c r="S249" s="5" t="n">
        <v>650</v>
      </c>
      <c r="T249" s="0" t="s">
        <v>243</v>
      </c>
      <c r="U249" s="0" t="n">
        <v>0</v>
      </c>
      <c r="V249" s="0" t="s">
        <v>230</v>
      </c>
      <c r="W249" s="0" t="s">
        <v>231</v>
      </c>
      <c r="X249" s="0" t="s">
        <v>232</v>
      </c>
      <c r="Y249" s="0" t="s">
        <v>278</v>
      </c>
      <c r="Z249" s="0" t="s">
        <v>234</v>
      </c>
      <c r="AA249" s="0" t="s">
        <v>235</v>
      </c>
      <c r="AB249" s="32" t="n">
        <v>2500</v>
      </c>
      <c r="AC249" s="32" t="n">
        <v>2555</v>
      </c>
      <c r="AD249" s="26" t="n">
        <f aca="false">IFERROR(AB249/B249,"")</f>
        <v>3.84615384615385</v>
      </c>
      <c r="AE249" s="26" t="n">
        <f aca="false">IFERROR(AC249/B249,"")</f>
        <v>3.93076923076923</v>
      </c>
      <c r="AF249" s="0" t="s">
        <v>236</v>
      </c>
      <c r="AG249" s="0" t="s">
        <v>236</v>
      </c>
      <c r="AH249" s="0" t="s">
        <v>230</v>
      </c>
      <c r="AI249" s="0" t="s">
        <v>1393</v>
      </c>
      <c r="AJ249" s="0" t="s">
        <v>1394</v>
      </c>
      <c r="AK249" s="0" t="s">
        <v>1395</v>
      </c>
      <c r="AL249" s="0" t="s">
        <v>1396</v>
      </c>
      <c r="AM249" s="0" t="s">
        <v>94</v>
      </c>
      <c r="AN249" s="26" t="n">
        <f aca="false">IFERROR(E249*(1+IF(AM249="Apartment",Data_Summary!$C$3,0)),"")</f>
        <v>3.84615384615385</v>
      </c>
      <c r="AO249" s="4" t="n">
        <v>46195</v>
      </c>
    </row>
    <row r="250" customFormat="false" ht="15" hidden="false" customHeight="false" outlineLevel="0" collapsed="false">
      <c r="A250" s="0" t="n">
        <f aca="false">IF(AND(ISNUMBER(B250),B250&gt;0,ISNUMBER(AB250),AB250&gt;0,J250&gt;=Data_Summary!$C$1),1,0)</f>
        <v>1</v>
      </c>
      <c r="B250" s="33" t="n">
        <v>770</v>
      </c>
      <c r="C250" s="5" t="n">
        <f aca="false">IF(ISNUMBER(AB250),AB250,"")</f>
        <v>3200</v>
      </c>
      <c r="D250" s="0" t="n">
        <f aca="false">IF(ISNUMBER(C250),C250-U250*Data_Summary!$C$2,"")</f>
        <v>3050</v>
      </c>
      <c r="E250" s="34" t="n">
        <f aca="false">IFERROR(C250/B250,"")</f>
        <v>4.15584415584416</v>
      </c>
      <c r="F250" s="26" t="n">
        <f aca="false">IFERROR(D250/B250,"")</f>
        <v>3.96103896103896</v>
      </c>
      <c r="G250" s="0" t="str">
        <f aca="false">Q250</f>
        <v>2</v>
      </c>
      <c r="H250" s="0" t="str">
        <f aca="false">IFERROR(LEFT(G250,1),"")</f>
        <v>2</v>
      </c>
      <c r="I250" s="0" t="n">
        <f aca="false">IF(LEN(G250)&gt;1,1,0)</f>
        <v>0</v>
      </c>
      <c r="J250" s="4" t="n">
        <v>45820</v>
      </c>
      <c r="K250" s="0" t="s">
        <v>10</v>
      </c>
      <c r="L250" s="0" t="s">
        <v>91</v>
      </c>
      <c r="M250" s="0" t="s">
        <v>226</v>
      </c>
      <c r="N250" s="0" t="s">
        <v>93</v>
      </c>
      <c r="O250" s="0" t="s">
        <v>1397</v>
      </c>
      <c r="Q250" s="0" t="s">
        <v>251</v>
      </c>
      <c r="R250" s="0" t="n">
        <v>2</v>
      </c>
      <c r="S250" s="5" t="n">
        <v>770</v>
      </c>
      <c r="T250" s="0" t="s">
        <v>259</v>
      </c>
      <c r="U250" s="0" t="n">
        <v>1</v>
      </c>
      <c r="V250" s="0" t="s">
        <v>230</v>
      </c>
      <c r="W250" s="0" t="s">
        <v>244</v>
      </c>
      <c r="X250" s="0" t="s">
        <v>232</v>
      </c>
      <c r="Y250" s="0" t="s">
        <v>260</v>
      </c>
      <c r="Z250" s="0" t="s">
        <v>234</v>
      </c>
      <c r="AA250" s="0" t="s">
        <v>235</v>
      </c>
      <c r="AB250" s="32" t="n">
        <v>3200</v>
      </c>
      <c r="AC250" s="32" t="n">
        <v>3200</v>
      </c>
      <c r="AD250" s="26" t="n">
        <f aca="false">IFERROR(AB250/B250,"")</f>
        <v>4.15584415584416</v>
      </c>
      <c r="AE250" s="26" t="n">
        <f aca="false">IFERROR(AC250/B250,"")</f>
        <v>4.15584415584416</v>
      </c>
      <c r="AF250" s="0" t="s">
        <v>236</v>
      </c>
      <c r="AG250" s="0" t="s">
        <v>236</v>
      </c>
      <c r="AH250" s="0" t="s">
        <v>230</v>
      </c>
      <c r="AI250" s="0" t="s">
        <v>1393</v>
      </c>
      <c r="AJ250" s="0" t="s">
        <v>1398</v>
      </c>
      <c r="AK250" s="0" t="s">
        <v>1399</v>
      </c>
      <c r="AL250" s="0" t="s">
        <v>1400</v>
      </c>
      <c r="AM250" s="0" t="s">
        <v>94</v>
      </c>
      <c r="AN250" s="26" t="n">
        <f aca="false">IFERROR(E250*(1+IF(AM250="Apartment",Data_Summary!$C$3,0)),"")</f>
        <v>4.15584415584416</v>
      </c>
      <c r="AO250" s="4" t="n">
        <v>46195</v>
      </c>
    </row>
    <row r="251" customFormat="false" ht="15" hidden="false" customHeight="false" outlineLevel="0" collapsed="false">
      <c r="A251" s="0" t="n">
        <f aca="false">IF(AND(ISNUMBER(B251),B251&gt;0,ISNUMBER(AB251),AB251&gt;0,J251&gt;=Data_Summary!$C$1),1,0)</f>
        <v>1</v>
      </c>
      <c r="B251" s="33" t="n">
        <v>650</v>
      </c>
      <c r="C251" s="5" t="n">
        <f aca="false">IF(ISNUMBER(AB251),AB251,"")</f>
        <v>2500</v>
      </c>
      <c r="D251" s="0" t="n">
        <f aca="false">IF(ISNUMBER(C251),C251-U251*Data_Summary!$C$2,"")</f>
        <v>2500</v>
      </c>
      <c r="E251" s="34" t="n">
        <f aca="false">IFERROR(C251/B251,"")</f>
        <v>3.84615384615385</v>
      </c>
      <c r="F251" s="26" t="n">
        <f aca="false">IFERROR(D251/B251,"")</f>
        <v>3.84615384615385</v>
      </c>
      <c r="G251" s="0" t="str">
        <f aca="false">Q251</f>
        <v>1+1</v>
      </c>
      <c r="H251" s="0" t="str">
        <f aca="false">IFERROR(LEFT(G251,1),"")</f>
        <v>1</v>
      </c>
      <c r="I251" s="0" t="n">
        <f aca="false">IF(LEN(G251)&gt;1,1,0)</f>
        <v>1</v>
      </c>
      <c r="J251" s="4" t="n">
        <v>45820</v>
      </c>
      <c r="K251" s="0" t="s">
        <v>10</v>
      </c>
      <c r="L251" s="0" t="s">
        <v>91</v>
      </c>
      <c r="M251" s="0" t="s">
        <v>226</v>
      </c>
      <c r="N251" s="0" t="s">
        <v>93</v>
      </c>
      <c r="O251" s="0" t="s">
        <v>1401</v>
      </c>
      <c r="Q251" s="0" t="s">
        <v>270</v>
      </c>
      <c r="R251" s="0" t="n">
        <v>1</v>
      </c>
      <c r="S251" s="5" t="n">
        <v>650</v>
      </c>
      <c r="T251" s="0" t="s">
        <v>243</v>
      </c>
      <c r="U251" s="0" t="n">
        <v>0</v>
      </c>
      <c r="V251" s="0" t="s">
        <v>230</v>
      </c>
      <c r="W251" s="0" t="s">
        <v>244</v>
      </c>
      <c r="X251" s="0" t="s">
        <v>232</v>
      </c>
      <c r="Y251" s="0" t="s">
        <v>278</v>
      </c>
      <c r="Z251" s="0" t="s">
        <v>234</v>
      </c>
      <c r="AA251" s="0" t="s">
        <v>235</v>
      </c>
      <c r="AB251" s="32" t="n">
        <v>2500</v>
      </c>
      <c r="AC251" s="32" t="n">
        <v>2500</v>
      </c>
      <c r="AD251" s="26" t="n">
        <f aca="false">IFERROR(AB251/B251,"")</f>
        <v>3.84615384615385</v>
      </c>
      <c r="AE251" s="26" t="n">
        <f aca="false">IFERROR(AC251/B251,"")</f>
        <v>3.84615384615385</v>
      </c>
      <c r="AF251" s="0" t="s">
        <v>236</v>
      </c>
      <c r="AG251" s="0" t="s">
        <v>236</v>
      </c>
      <c r="AH251" s="0" t="s">
        <v>230</v>
      </c>
      <c r="AI251" s="0" t="s">
        <v>1393</v>
      </c>
      <c r="AJ251" s="0" t="s">
        <v>1402</v>
      </c>
      <c r="AK251" s="0" t="s">
        <v>1403</v>
      </c>
      <c r="AL251" s="0" t="s">
        <v>1396</v>
      </c>
      <c r="AM251" s="0" t="s">
        <v>94</v>
      </c>
      <c r="AN251" s="26" t="n">
        <f aca="false">IFERROR(E251*(1+IF(AM251="Apartment",Data_Summary!$C$3,0)),"")</f>
        <v>3.84615384615385</v>
      </c>
      <c r="AO251" s="4" t="n">
        <v>46195</v>
      </c>
    </row>
    <row r="252" customFormat="false" ht="15" hidden="false" customHeight="false" outlineLevel="0" collapsed="false">
      <c r="A252" s="0" t="n">
        <f aca="false">IF(AND(ISNUMBER(B252),B252&gt;0,ISNUMBER(AB252),AB252&gt;0,J252&gt;=Data_Summary!$C$1),1,0)</f>
        <v>1</v>
      </c>
      <c r="B252" s="30" t="n">
        <v>492</v>
      </c>
      <c r="C252" s="5" t="n">
        <f aca="false">IF(ISNUMBER(AB252),AB252,"")</f>
        <v>2050</v>
      </c>
      <c r="D252" s="0" t="n">
        <f aca="false">IF(ISNUMBER(C252),C252-U252*Data_Summary!$C$2,"")</f>
        <v>2050</v>
      </c>
      <c r="E252" s="31" t="n">
        <f aca="false">IFERROR(C252/B252,"")</f>
        <v>4.16666666666667</v>
      </c>
      <c r="F252" s="26" t="n">
        <f aca="false">IFERROR(D252/B252,"")</f>
        <v>4.16666666666667</v>
      </c>
      <c r="G252" s="0" t="str">
        <f aca="false">Q252</f>
        <v>1</v>
      </c>
      <c r="H252" s="0" t="str">
        <f aca="false">IFERROR(LEFT(G252,1),"")</f>
        <v>1</v>
      </c>
      <c r="I252" s="0" t="n">
        <f aca="false">IF(LEN(G252)&gt;1,1,0)</f>
        <v>0</v>
      </c>
      <c r="J252" s="4" t="n">
        <v>45820</v>
      </c>
      <c r="K252" s="0" t="s">
        <v>10</v>
      </c>
      <c r="L252" s="0" t="s">
        <v>91</v>
      </c>
      <c r="M252" s="0" t="s">
        <v>226</v>
      </c>
      <c r="N252" s="0" t="s">
        <v>93</v>
      </c>
      <c r="O252" s="0" t="s">
        <v>1404</v>
      </c>
      <c r="Q252" s="0" t="s">
        <v>242</v>
      </c>
      <c r="R252" s="0" t="n">
        <v>1</v>
      </c>
      <c r="S252" s="5" t="n">
        <v>492</v>
      </c>
      <c r="T252" s="0" t="s">
        <v>303</v>
      </c>
      <c r="U252" s="0" t="n">
        <v>0</v>
      </c>
      <c r="V252" s="0" t="s">
        <v>230</v>
      </c>
      <c r="W252" s="0" t="s">
        <v>244</v>
      </c>
      <c r="X252" s="0" t="s">
        <v>232</v>
      </c>
      <c r="Y252" s="0" t="s">
        <v>253</v>
      </c>
      <c r="Z252" s="0" t="s">
        <v>234</v>
      </c>
      <c r="AA252" s="0" t="s">
        <v>235</v>
      </c>
      <c r="AB252" s="32" t="n">
        <v>2050</v>
      </c>
      <c r="AC252" s="32" t="n">
        <v>2150</v>
      </c>
      <c r="AD252" s="26" t="n">
        <f aca="false">IFERROR(AB252/B252,"")</f>
        <v>4.16666666666667</v>
      </c>
      <c r="AE252" s="26" t="n">
        <f aca="false">IFERROR(AC252/B252,"")</f>
        <v>4.36991869918699</v>
      </c>
      <c r="AF252" s="0" t="s">
        <v>236</v>
      </c>
      <c r="AG252" s="0" t="s">
        <v>236</v>
      </c>
      <c r="AH252" s="0" t="s">
        <v>230</v>
      </c>
      <c r="AI252" s="0" t="s">
        <v>1393</v>
      </c>
      <c r="AJ252" s="0" t="s">
        <v>1405</v>
      </c>
      <c r="AK252" s="0" t="s">
        <v>1406</v>
      </c>
      <c r="AL252" s="0" t="s">
        <v>1407</v>
      </c>
      <c r="AM252" s="0" t="s">
        <v>94</v>
      </c>
      <c r="AN252" s="26" t="n">
        <f aca="false">IFERROR(E252*(1+IF(AM252="Apartment",Data_Summary!$C$3,0)),"")</f>
        <v>4.16666666666667</v>
      </c>
      <c r="AO252" s="4" t="n">
        <v>46195</v>
      </c>
    </row>
    <row r="253" customFormat="false" ht="15" hidden="false" customHeight="false" outlineLevel="0" collapsed="false">
      <c r="A253" s="0" t="n">
        <f aca="false">IF(AND(ISNUMBER(B253),B253&gt;0,ISNUMBER(AB253),AB253&gt;0,J253&gt;=Data_Summary!$C$1),1,0)</f>
        <v>1</v>
      </c>
      <c r="B253" s="30" t="n">
        <v>738</v>
      </c>
      <c r="C253" s="5" t="n">
        <f aca="false">IF(ISNUMBER(AB253),AB253,"")</f>
        <v>2700</v>
      </c>
      <c r="D253" s="0" t="n">
        <f aca="false">IF(ISNUMBER(C253),C253-U253*Data_Summary!$C$2,"")</f>
        <v>2700</v>
      </c>
      <c r="E253" s="31" t="n">
        <f aca="false">IFERROR(C253/B253,"")</f>
        <v>3.65853658536585</v>
      </c>
      <c r="F253" s="26" t="n">
        <f aca="false">IFERROR(D253/B253,"")</f>
        <v>3.65853658536585</v>
      </c>
      <c r="G253" s="0" t="str">
        <f aca="false">Q253</f>
        <v>2</v>
      </c>
      <c r="H253" s="0" t="str">
        <f aca="false">IFERROR(LEFT(G253,1),"")</f>
        <v>2</v>
      </c>
      <c r="I253" s="0" t="n">
        <f aca="false">IF(LEN(G253)&gt;1,1,0)</f>
        <v>0</v>
      </c>
      <c r="J253" s="4" t="n">
        <v>45819</v>
      </c>
      <c r="K253" s="0" t="s">
        <v>10</v>
      </c>
      <c r="L253" s="0" t="s">
        <v>91</v>
      </c>
      <c r="M253" s="0" t="s">
        <v>226</v>
      </c>
      <c r="N253" s="0" t="s">
        <v>93</v>
      </c>
      <c r="O253" s="0" t="s">
        <v>1408</v>
      </c>
      <c r="Q253" s="0" t="s">
        <v>251</v>
      </c>
      <c r="R253" s="0" t="n">
        <v>2</v>
      </c>
      <c r="S253" s="5" t="n">
        <v>738</v>
      </c>
      <c r="T253" s="0" t="s">
        <v>252</v>
      </c>
      <c r="U253" s="0" t="n">
        <v>0</v>
      </c>
      <c r="V253" s="0" t="s">
        <v>230</v>
      </c>
      <c r="W253" s="0" t="s">
        <v>244</v>
      </c>
      <c r="X253" s="0" t="s">
        <v>232</v>
      </c>
      <c r="Y253" s="0" t="s">
        <v>278</v>
      </c>
      <c r="Z253" s="0" t="s">
        <v>234</v>
      </c>
      <c r="AA253" s="0" t="s">
        <v>235</v>
      </c>
      <c r="AB253" s="32" t="n">
        <v>2700</v>
      </c>
      <c r="AC253" s="32" t="n">
        <v>2680</v>
      </c>
      <c r="AD253" s="26" t="n">
        <f aca="false">IFERROR(AB253/B253,"")</f>
        <v>3.65853658536585</v>
      </c>
      <c r="AE253" s="26" t="n">
        <f aca="false">IFERROR(AC253/B253,"")</f>
        <v>3.63143631436314</v>
      </c>
      <c r="AF253" s="0" t="s">
        <v>236</v>
      </c>
      <c r="AG253" s="0" t="s">
        <v>236</v>
      </c>
      <c r="AH253" s="0" t="s">
        <v>230</v>
      </c>
      <c r="AI253" s="0" t="s">
        <v>1409</v>
      </c>
      <c r="AJ253" s="0" t="s">
        <v>1410</v>
      </c>
      <c r="AK253" s="0" t="s">
        <v>1411</v>
      </c>
      <c r="AL253" s="0" t="s">
        <v>1412</v>
      </c>
      <c r="AM253" s="0" t="s">
        <v>94</v>
      </c>
      <c r="AN253" s="26" t="n">
        <f aca="false">IFERROR(E253*(1+IF(AM253="Apartment",Data_Summary!$C$3,0)),"")</f>
        <v>3.65853658536585</v>
      </c>
      <c r="AO253" s="4" t="n">
        <v>46195</v>
      </c>
    </row>
    <row r="254" customFormat="false" ht="15" hidden="false" customHeight="false" outlineLevel="0" collapsed="false">
      <c r="A254" s="0" t="n">
        <f aca="false">IF(AND(ISNUMBER(B254),B254&gt;0,ISNUMBER(AB254),AB254&gt;0,J254&gt;=Data_Summary!$C$1),1,0)</f>
        <v>1</v>
      </c>
      <c r="B254" s="33" t="n">
        <v>600</v>
      </c>
      <c r="C254" s="5" t="n">
        <f aca="false">IF(ISNUMBER(AB254),AB254,"")</f>
        <v>2225</v>
      </c>
      <c r="D254" s="0" t="n">
        <f aca="false">IF(ISNUMBER(C254),C254-U254*Data_Summary!$C$2,"")</f>
        <v>2225</v>
      </c>
      <c r="E254" s="34" t="n">
        <f aca="false">IFERROR(C254/B254,"")</f>
        <v>3.70833333333333</v>
      </c>
      <c r="F254" s="26" t="n">
        <f aca="false">IFERROR(D254/B254,"")</f>
        <v>3.70833333333333</v>
      </c>
      <c r="G254" s="0" t="str">
        <f aca="false">Q254</f>
        <v>1</v>
      </c>
      <c r="H254" s="0" t="str">
        <f aca="false">IFERROR(LEFT(G254,1),"")</f>
        <v>1</v>
      </c>
      <c r="I254" s="0" t="n">
        <f aca="false">IF(LEN(G254)&gt;1,1,0)</f>
        <v>0</v>
      </c>
      <c r="J254" s="4" t="n">
        <v>45818</v>
      </c>
      <c r="K254" s="0" t="s">
        <v>10</v>
      </c>
      <c r="L254" s="0" t="s">
        <v>91</v>
      </c>
      <c r="M254" s="0" t="s">
        <v>226</v>
      </c>
      <c r="N254" s="0" t="s">
        <v>93</v>
      </c>
      <c r="O254" s="0" t="s">
        <v>331</v>
      </c>
      <c r="Q254" s="0" t="s">
        <v>242</v>
      </c>
      <c r="R254" s="0" t="n">
        <v>1</v>
      </c>
      <c r="S254" s="5" t="n">
        <v>600</v>
      </c>
      <c r="T254" s="0" t="s">
        <v>243</v>
      </c>
      <c r="U254" s="0" t="n">
        <v>0</v>
      </c>
      <c r="V254" s="0" t="s">
        <v>230</v>
      </c>
      <c r="W254" s="0" t="s">
        <v>244</v>
      </c>
      <c r="X254" s="0" t="s">
        <v>232</v>
      </c>
      <c r="Y254" s="0" t="s">
        <v>278</v>
      </c>
      <c r="Z254" s="0" t="s">
        <v>234</v>
      </c>
      <c r="AA254" s="0" t="s">
        <v>235</v>
      </c>
      <c r="AB254" s="32" t="n">
        <v>2225</v>
      </c>
      <c r="AC254" s="32" t="n">
        <v>2225</v>
      </c>
      <c r="AD254" s="26" t="n">
        <f aca="false">IFERROR(AB254/B254,"")</f>
        <v>3.70833333333333</v>
      </c>
      <c r="AE254" s="26" t="n">
        <f aca="false">IFERROR(AC254/B254,"")</f>
        <v>3.70833333333333</v>
      </c>
      <c r="AF254" s="0" t="s">
        <v>236</v>
      </c>
      <c r="AG254" s="0" t="s">
        <v>236</v>
      </c>
      <c r="AH254" s="0" t="s">
        <v>230</v>
      </c>
      <c r="AI254" s="0" t="s">
        <v>1413</v>
      </c>
      <c r="AJ254" s="0" t="s">
        <v>1414</v>
      </c>
      <c r="AK254" s="0" t="s">
        <v>1415</v>
      </c>
      <c r="AL254" s="0" t="s">
        <v>1416</v>
      </c>
      <c r="AM254" s="0" t="s">
        <v>94</v>
      </c>
      <c r="AN254" s="26" t="n">
        <f aca="false">IFERROR(E254*(1+IF(AM254="Apartment",Data_Summary!$C$3,0)),"")</f>
        <v>3.70833333333333</v>
      </c>
      <c r="AO254" s="4" t="n">
        <v>46195</v>
      </c>
    </row>
    <row r="255" customFormat="false" ht="15" hidden="false" customHeight="false" outlineLevel="0" collapsed="false">
      <c r="A255" s="0" t="n">
        <f aca="false">IF(AND(ISNUMBER(B255),B255&gt;0,ISNUMBER(AB255),AB255&gt;0,J255&gt;=Data_Summary!$C$1),1,0)</f>
        <v>1</v>
      </c>
      <c r="B255" s="30" t="n">
        <v>545</v>
      </c>
      <c r="C255" s="5" t="n">
        <f aca="false">IF(ISNUMBER(AB255),AB255,"")</f>
        <v>2300</v>
      </c>
      <c r="D255" s="0" t="n">
        <f aca="false">IF(ISNUMBER(C255),C255-U255*Data_Summary!$C$2,"")</f>
        <v>2300</v>
      </c>
      <c r="E255" s="31" t="n">
        <f aca="false">IFERROR(C255/B255,"")</f>
        <v>4.22018348623853</v>
      </c>
      <c r="F255" s="26" t="n">
        <f aca="false">IFERROR(D255/B255,"")</f>
        <v>4.22018348623853</v>
      </c>
      <c r="G255" s="0" t="str">
        <f aca="false">Q255</f>
        <v>1</v>
      </c>
      <c r="H255" s="0" t="str">
        <f aca="false">IFERROR(LEFT(G255,1),"")</f>
        <v>1</v>
      </c>
      <c r="I255" s="0" t="n">
        <f aca="false">IF(LEN(G255)&gt;1,1,0)</f>
        <v>0</v>
      </c>
      <c r="J255" s="4" t="n">
        <v>45818</v>
      </c>
      <c r="K255" s="0" t="s">
        <v>10</v>
      </c>
      <c r="L255" s="0" t="s">
        <v>91</v>
      </c>
      <c r="M255" s="0" t="s">
        <v>226</v>
      </c>
      <c r="N255" s="0" t="s">
        <v>93</v>
      </c>
      <c r="O255" s="0" t="s">
        <v>1417</v>
      </c>
      <c r="Q255" s="0" t="s">
        <v>242</v>
      </c>
      <c r="R255" s="0" t="n">
        <v>1</v>
      </c>
      <c r="S255" s="5" t="n">
        <v>545</v>
      </c>
      <c r="T255" s="0" t="s">
        <v>243</v>
      </c>
      <c r="U255" s="0" t="n">
        <v>0</v>
      </c>
      <c r="V255" s="0" t="s">
        <v>230</v>
      </c>
      <c r="W255" s="0" t="s">
        <v>244</v>
      </c>
      <c r="X255" s="0" t="s">
        <v>232</v>
      </c>
      <c r="Y255" s="0" t="s">
        <v>278</v>
      </c>
      <c r="Z255" s="0" t="s">
        <v>234</v>
      </c>
      <c r="AA255" s="0" t="s">
        <v>235</v>
      </c>
      <c r="AB255" s="32" t="n">
        <v>2300</v>
      </c>
      <c r="AC255" s="32" t="n">
        <v>2300</v>
      </c>
      <c r="AD255" s="26" t="n">
        <f aca="false">IFERROR(AB255/B255,"")</f>
        <v>4.22018348623853</v>
      </c>
      <c r="AE255" s="26" t="n">
        <f aca="false">IFERROR(AC255/B255,"")</f>
        <v>4.22018348623853</v>
      </c>
      <c r="AF255" s="0" t="s">
        <v>236</v>
      </c>
      <c r="AG255" s="0" t="s">
        <v>236</v>
      </c>
      <c r="AH255" s="0" t="s">
        <v>230</v>
      </c>
      <c r="AI255" s="0" t="s">
        <v>1413</v>
      </c>
      <c r="AJ255" s="0" t="s">
        <v>1418</v>
      </c>
      <c r="AK255" s="0" t="s">
        <v>1419</v>
      </c>
      <c r="AL255" s="0" t="s">
        <v>1420</v>
      </c>
      <c r="AM255" s="0" t="s">
        <v>94</v>
      </c>
      <c r="AN255" s="26" t="n">
        <f aca="false">IFERROR(E255*(1+IF(AM255="Apartment",Data_Summary!$C$3,0)),"")</f>
        <v>4.22018348623853</v>
      </c>
      <c r="AO255" s="4" t="n">
        <v>46195</v>
      </c>
    </row>
    <row r="256" customFormat="false" ht="15" hidden="false" customHeight="false" outlineLevel="0" collapsed="false">
      <c r="A256" s="0" t="n">
        <f aca="false">IF(AND(ISNUMBER(B256),B256&gt;0,ISNUMBER(AB256),AB256&gt;0,J256&gt;=Data_Summary!$C$1),1,0)</f>
        <v>1</v>
      </c>
      <c r="B256" s="30" t="n">
        <v>545</v>
      </c>
      <c r="C256" s="5" t="n">
        <f aca="false">IF(ISNUMBER(AB256),AB256,"")</f>
        <v>2400</v>
      </c>
      <c r="D256" s="0" t="n">
        <f aca="false">IF(ISNUMBER(C256),C256-U256*Data_Summary!$C$2,"")</f>
        <v>2400</v>
      </c>
      <c r="E256" s="31" t="n">
        <f aca="false">IFERROR(C256/B256,"")</f>
        <v>4.40366972477064</v>
      </c>
      <c r="F256" s="26" t="n">
        <f aca="false">IFERROR(D256/B256,"")</f>
        <v>4.40366972477064</v>
      </c>
      <c r="G256" s="0" t="str">
        <f aca="false">Q256</f>
        <v>1</v>
      </c>
      <c r="H256" s="0" t="str">
        <f aca="false">IFERROR(LEFT(G256,1),"")</f>
        <v>1</v>
      </c>
      <c r="I256" s="0" t="n">
        <f aca="false">IF(LEN(G256)&gt;1,1,0)</f>
        <v>0</v>
      </c>
      <c r="J256" s="4" t="n">
        <v>45818</v>
      </c>
      <c r="K256" s="0" t="s">
        <v>10</v>
      </c>
      <c r="L256" s="0" t="s">
        <v>91</v>
      </c>
      <c r="M256" s="0" t="s">
        <v>226</v>
      </c>
      <c r="N256" s="0" t="s">
        <v>93</v>
      </c>
      <c r="O256" s="0" t="s">
        <v>1421</v>
      </c>
      <c r="Q256" s="0" t="s">
        <v>242</v>
      </c>
      <c r="R256" s="0" t="n">
        <v>1</v>
      </c>
      <c r="S256" s="5" t="n">
        <v>545</v>
      </c>
      <c r="T256" s="0" t="s">
        <v>243</v>
      </c>
      <c r="U256" s="0" t="n">
        <v>0</v>
      </c>
      <c r="V256" s="0" t="s">
        <v>230</v>
      </c>
      <c r="W256" s="0" t="s">
        <v>244</v>
      </c>
      <c r="X256" s="0" t="s">
        <v>232</v>
      </c>
      <c r="Y256" s="0" t="s">
        <v>278</v>
      </c>
      <c r="Z256" s="0" t="s">
        <v>234</v>
      </c>
      <c r="AA256" s="0" t="s">
        <v>235</v>
      </c>
      <c r="AB256" s="32" t="n">
        <v>2400</v>
      </c>
      <c r="AC256" s="32" t="n">
        <v>2400</v>
      </c>
      <c r="AD256" s="26" t="n">
        <f aca="false">IFERROR(AB256/B256,"")</f>
        <v>4.40366972477064</v>
      </c>
      <c r="AE256" s="26" t="n">
        <f aca="false">IFERROR(AC256/B256,"")</f>
        <v>4.40366972477064</v>
      </c>
      <c r="AF256" s="0" t="s">
        <v>236</v>
      </c>
      <c r="AG256" s="0" t="s">
        <v>236</v>
      </c>
      <c r="AH256" s="0" t="s">
        <v>230</v>
      </c>
      <c r="AI256" s="0" t="s">
        <v>1413</v>
      </c>
      <c r="AJ256" s="0" t="s">
        <v>1422</v>
      </c>
      <c r="AK256" s="0" t="s">
        <v>1423</v>
      </c>
      <c r="AL256" s="0" t="s">
        <v>1420</v>
      </c>
      <c r="AM256" s="0" t="s">
        <v>94</v>
      </c>
      <c r="AN256" s="26" t="n">
        <f aca="false">IFERROR(E256*(1+IF(AM256="Apartment",Data_Summary!$C$3,0)),"")</f>
        <v>4.40366972477064</v>
      </c>
      <c r="AO256" s="4" t="n">
        <v>46195</v>
      </c>
    </row>
    <row r="257" customFormat="false" ht="15" hidden="false" customHeight="false" outlineLevel="0" collapsed="false">
      <c r="A257" s="0" t="n">
        <f aca="false">IF(AND(ISNUMBER(B257),B257&gt;0,ISNUMBER(AB257),AB257&gt;0,J257&gt;=Data_Summary!$C$1),1,0)</f>
        <v>1</v>
      </c>
      <c r="B257" s="30" t="n">
        <v>505</v>
      </c>
      <c r="C257" s="5" t="n">
        <f aca="false">IF(ISNUMBER(AB257),AB257,"")</f>
        <v>2100</v>
      </c>
      <c r="D257" s="0" t="n">
        <f aca="false">IF(ISNUMBER(C257),C257-U257*Data_Summary!$C$2,"")</f>
        <v>2100</v>
      </c>
      <c r="E257" s="31" t="n">
        <f aca="false">IFERROR(C257/B257,"")</f>
        <v>4.15841584158416</v>
      </c>
      <c r="F257" s="26" t="n">
        <f aca="false">IFERROR(D257/B257,"")</f>
        <v>4.15841584158416</v>
      </c>
      <c r="G257" s="0" t="str">
        <f aca="false">Q257</f>
        <v>1</v>
      </c>
      <c r="H257" s="0" t="str">
        <f aca="false">IFERROR(LEFT(G257,1),"")</f>
        <v>1</v>
      </c>
      <c r="I257" s="0" t="n">
        <f aca="false">IF(LEN(G257)&gt;1,1,0)</f>
        <v>0</v>
      </c>
      <c r="J257" s="4" t="n">
        <v>45817</v>
      </c>
      <c r="K257" s="0" t="s">
        <v>10</v>
      </c>
      <c r="L257" s="0" t="s">
        <v>91</v>
      </c>
      <c r="M257" s="0" t="s">
        <v>226</v>
      </c>
      <c r="N257" s="0" t="s">
        <v>93</v>
      </c>
      <c r="O257" s="0" t="s">
        <v>1424</v>
      </c>
      <c r="Q257" s="0" t="s">
        <v>242</v>
      </c>
      <c r="R257" s="0" t="n">
        <v>1</v>
      </c>
      <c r="S257" s="5" t="n">
        <v>505</v>
      </c>
      <c r="T257" s="0" t="s">
        <v>243</v>
      </c>
      <c r="U257" s="0" t="n">
        <v>0</v>
      </c>
      <c r="V257" s="0" t="s">
        <v>230</v>
      </c>
      <c r="W257" s="0" t="s">
        <v>244</v>
      </c>
      <c r="X257" s="0" t="s">
        <v>232</v>
      </c>
      <c r="Y257" s="0" t="s">
        <v>253</v>
      </c>
      <c r="Z257" s="0" t="s">
        <v>234</v>
      </c>
      <c r="AA257" s="0" t="s">
        <v>235</v>
      </c>
      <c r="AB257" s="32" t="n">
        <v>2100</v>
      </c>
      <c r="AC257" s="32" t="n">
        <v>2200</v>
      </c>
      <c r="AD257" s="26" t="n">
        <f aca="false">IFERROR(AB257/B257,"")</f>
        <v>4.15841584158416</v>
      </c>
      <c r="AE257" s="26" t="n">
        <f aca="false">IFERROR(AC257/B257,"")</f>
        <v>4.35643564356436</v>
      </c>
      <c r="AF257" s="0" t="s">
        <v>236</v>
      </c>
      <c r="AG257" s="0" t="s">
        <v>236</v>
      </c>
      <c r="AH257" s="0" t="s">
        <v>230</v>
      </c>
      <c r="AI257" s="0" t="s">
        <v>1425</v>
      </c>
      <c r="AJ257" s="0" t="s">
        <v>1426</v>
      </c>
      <c r="AK257" s="0" t="s">
        <v>1427</v>
      </c>
      <c r="AL257" s="0" t="s">
        <v>1428</v>
      </c>
      <c r="AM257" s="0" t="s">
        <v>94</v>
      </c>
      <c r="AN257" s="26" t="n">
        <f aca="false">IFERROR(E257*(1+IF(AM257="Apartment",Data_Summary!$C$3,0)),"")</f>
        <v>4.15841584158416</v>
      </c>
      <c r="AO257" s="4" t="n">
        <v>46195</v>
      </c>
    </row>
    <row r="258" customFormat="false" ht="15" hidden="false" customHeight="false" outlineLevel="0" collapsed="false">
      <c r="A258" s="0" t="n">
        <f aca="false">IF(AND(ISNUMBER(B258),B258&gt;0,ISNUMBER(AB258),AB258&gt;0,J258&gt;=Data_Summary!$C$1),1,0)</f>
        <v>1</v>
      </c>
      <c r="B258" s="30" t="n">
        <v>505</v>
      </c>
      <c r="C258" s="5" t="n">
        <f aca="false">IF(ISNUMBER(AB258),AB258,"")</f>
        <v>2090</v>
      </c>
      <c r="D258" s="0" t="n">
        <f aca="false">IF(ISNUMBER(C258),C258-U258*Data_Summary!$C$2,"")</f>
        <v>2090</v>
      </c>
      <c r="E258" s="31" t="n">
        <f aca="false">IFERROR(C258/B258,"")</f>
        <v>4.13861386138614</v>
      </c>
      <c r="F258" s="26" t="n">
        <f aca="false">IFERROR(D258/B258,"")</f>
        <v>4.13861386138614</v>
      </c>
      <c r="G258" s="0" t="str">
        <f aca="false">Q258</f>
        <v>1</v>
      </c>
      <c r="H258" s="0" t="str">
        <f aca="false">IFERROR(LEFT(G258,1),"")</f>
        <v>1</v>
      </c>
      <c r="I258" s="0" t="n">
        <f aca="false">IF(LEN(G258)&gt;1,1,0)</f>
        <v>0</v>
      </c>
      <c r="J258" s="4" t="n">
        <v>45817</v>
      </c>
      <c r="K258" s="0" t="s">
        <v>10</v>
      </c>
      <c r="L258" s="0" t="s">
        <v>91</v>
      </c>
      <c r="M258" s="0" t="s">
        <v>226</v>
      </c>
      <c r="N258" s="0" t="s">
        <v>93</v>
      </c>
      <c r="O258" s="0" t="s">
        <v>436</v>
      </c>
      <c r="Q258" s="0" t="s">
        <v>242</v>
      </c>
      <c r="R258" s="0" t="n">
        <v>1</v>
      </c>
      <c r="S258" s="5" t="n">
        <v>505</v>
      </c>
      <c r="T258" s="0" t="s">
        <v>243</v>
      </c>
      <c r="U258" s="0" t="n">
        <v>0</v>
      </c>
      <c r="V258" s="0" t="s">
        <v>230</v>
      </c>
      <c r="W258" s="0" t="s">
        <v>244</v>
      </c>
      <c r="X258" s="0" t="s">
        <v>232</v>
      </c>
      <c r="Y258" s="0" t="s">
        <v>253</v>
      </c>
      <c r="Z258" s="0" t="s">
        <v>234</v>
      </c>
      <c r="AA258" s="0" t="s">
        <v>235</v>
      </c>
      <c r="AB258" s="32" t="n">
        <v>2090</v>
      </c>
      <c r="AC258" s="32" t="n">
        <v>2090</v>
      </c>
      <c r="AD258" s="26" t="n">
        <f aca="false">IFERROR(AB258/B258,"")</f>
        <v>4.13861386138614</v>
      </c>
      <c r="AE258" s="26" t="n">
        <f aca="false">IFERROR(AC258/B258,"")</f>
        <v>4.13861386138614</v>
      </c>
      <c r="AF258" s="0" t="s">
        <v>236</v>
      </c>
      <c r="AG258" s="0" t="s">
        <v>236</v>
      </c>
      <c r="AH258" s="0" t="s">
        <v>230</v>
      </c>
      <c r="AI258" s="0" t="s">
        <v>1425</v>
      </c>
      <c r="AJ258" s="0" t="s">
        <v>1429</v>
      </c>
      <c r="AK258" s="0" t="s">
        <v>1430</v>
      </c>
      <c r="AL258" s="0" t="s">
        <v>1428</v>
      </c>
      <c r="AM258" s="0" t="s">
        <v>94</v>
      </c>
      <c r="AN258" s="26" t="n">
        <f aca="false">IFERROR(E258*(1+IF(AM258="Apartment",Data_Summary!$C$3,0)),"")</f>
        <v>4.13861386138614</v>
      </c>
      <c r="AO258" s="4" t="n">
        <v>46195</v>
      </c>
    </row>
    <row r="259" customFormat="false" ht="15" hidden="false" customHeight="false" outlineLevel="0" collapsed="false">
      <c r="A259" s="0" t="n">
        <f aca="false">IF(AND(ISNUMBER(B259),B259&gt;0,ISNUMBER(AB259),AB259&gt;0,J259&gt;=Data_Summary!$C$1),1,0)</f>
        <v>1</v>
      </c>
      <c r="B259" s="33" t="n">
        <v>535</v>
      </c>
      <c r="C259" s="5" t="n">
        <f aca="false">IF(ISNUMBER(AB259),AB259,"")</f>
        <v>2650</v>
      </c>
      <c r="D259" s="0" t="n">
        <f aca="false">IF(ISNUMBER(C259),C259-U259*Data_Summary!$C$2,"")</f>
        <v>2650</v>
      </c>
      <c r="E259" s="34" t="n">
        <f aca="false">IFERROR(C259/B259,"")</f>
        <v>4.95327102803738</v>
      </c>
      <c r="F259" s="26" t="n">
        <f aca="false">IFERROR(D259/B259,"")</f>
        <v>4.95327102803738</v>
      </c>
      <c r="G259" s="0" t="str">
        <f aca="false">Q259</f>
        <v>1+1</v>
      </c>
      <c r="H259" s="0" t="str">
        <f aca="false">IFERROR(LEFT(G259,1),"")</f>
        <v>1</v>
      </c>
      <c r="I259" s="0" t="n">
        <f aca="false">IF(LEN(G259)&gt;1,1,0)</f>
        <v>1</v>
      </c>
      <c r="J259" s="4" t="n">
        <v>45817</v>
      </c>
      <c r="K259" s="0" t="s">
        <v>10</v>
      </c>
      <c r="L259" s="0" t="s">
        <v>91</v>
      </c>
      <c r="M259" s="0" t="s">
        <v>226</v>
      </c>
      <c r="N259" s="0" t="s">
        <v>93</v>
      </c>
      <c r="O259" s="0" t="s">
        <v>1431</v>
      </c>
      <c r="Q259" s="0" t="s">
        <v>270</v>
      </c>
      <c r="R259" s="0" t="n">
        <v>2</v>
      </c>
      <c r="S259" s="5" t="n">
        <v>535</v>
      </c>
      <c r="T259" s="0" t="s">
        <v>271</v>
      </c>
      <c r="U259" s="0" t="n">
        <v>0</v>
      </c>
      <c r="V259" s="0" t="s">
        <v>230</v>
      </c>
      <c r="W259" s="0" t="s">
        <v>244</v>
      </c>
      <c r="X259" s="0" t="s">
        <v>232</v>
      </c>
      <c r="Y259" s="0" t="s">
        <v>278</v>
      </c>
      <c r="Z259" s="0" t="s">
        <v>234</v>
      </c>
      <c r="AA259" s="0" t="s">
        <v>235</v>
      </c>
      <c r="AB259" s="32" t="n">
        <v>2650</v>
      </c>
      <c r="AC259" s="32" t="n">
        <v>2680</v>
      </c>
      <c r="AD259" s="26" t="n">
        <f aca="false">IFERROR(AB259/B259,"")</f>
        <v>4.95327102803738</v>
      </c>
      <c r="AE259" s="26" t="n">
        <f aca="false">IFERROR(AC259/B259,"")</f>
        <v>5.00934579439252</v>
      </c>
      <c r="AF259" s="0" t="s">
        <v>236</v>
      </c>
      <c r="AG259" s="0" t="s">
        <v>236</v>
      </c>
      <c r="AH259" s="0" t="s">
        <v>230</v>
      </c>
      <c r="AI259" s="0" t="s">
        <v>1425</v>
      </c>
      <c r="AJ259" s="0" t="s">
        <v>1432</v>
      </c>
      <c r="AK259" s="0" t="s">
        <v>1433</v>
      </c>
      <c r="AL259" s="0" t="s">
        <v>1434</v>
      </c>
      <c r="AM259" s="0" t="s">
        <v>94</v>
      </c>
      <c r="AN259" s="26" t="n">
        <f aca="false">IFERROR(E259*(1+IF(AM259="Apartment",Data_Summary!$C$3,0)),"")</f>
        <v>4.95327102803738</v>
      </c>
      <c r="AO259" s="4" t="n">
        <v>46195</v>
      </c>
    </row>
    <row r="260" customFormat="false" ht="15" hidden="false" customHeight="false" outlineLevel="0" collapsed="false">
      <c r="A260" s="0" t="n">
        <f aca="false">IF(AND(ISNUMBER(B260),B260&gt;0,ISNUMBER(AB260),AB260&gt;0,J260&gt;=Data_Summary!$C$1),1,0)</f>
        <v>1</v>
      </c>
      <c r="B260" s="30" t="n">
        <v>492</v>
      </c>
      <c r="C260" s="5" t="n">
        <f aca="false">IF(ISNUMBER(AB260),AB260,"")</f>
        <v>2150</v>
      </c>
      <c r="D260" s="0" t="n">
        <f aca="false">IF(ISNUMBER(C260),C260-U260*Data_Summary!$C$2,"")</f>
        <v>2150</v>
      </c>
      <c r="E260" s="31" t="n">
        <f aca="false">IFERROR(C260/B260,"")</f>
        <v>4.36991869918699</v>
      </c>
      <c r="F260" s="26" t="n">
        <f aca="false">IFERROR(D260/B260,"")</f>
        <v>4.36991869918699</v>
      </c>
      <c r="G260" s="0" t="str">
        <f aca="false">Q260</f>
        <v>1</v>
      </c>
      <c r="H260" s="0" t="str">
        <f aca="false">IFERROR(LEFT(G260,1),"")</f>
        <v>1</v>
      </c>
      <c r="I260" s="0" t="n">
        <f aca="false">IF(LEN(G260)&gt;1,1,0)</f>
        <v>0</v>
      </c>
      <c r="J260" s="4" t="n">
        <v>45817</v>
      </c>
      <c r="K260" s="0" t="s">
        <v>10</v>
      </c>
      <c r="L260" s="0" t="s">
        <v>91</v>
      </c>
      <c r="M260" s="0" t="s">
        <v>226</v>
      </c>
      <c r="N260" s="0" t="s">
        <v>93</v>
      </c>
      <c r="O260" s="0" t="s">
        <v>1435</v>
      </c>
      <c r="Q260" s="0" t="s">
        <v>242</v>
      </c>
      <c r="R260" s="0" t="n">
        <v>1</v>
      </c>
      <c r="S260" s="5" t="n">
        <v>492</v>
      </c>
      <c r="T260" s="0" t="s">
        <v>303</v>
      </c>
      <c r="U260" s="0" t="n">
        <v>0</v>
      </c>
      <c r="V260" s="0" t="s">
        <v>230</v>
      </c>
      <c r="W260" s="0" t="s">
        <v>244</v>
      </c>
      <c r="X260" s="0" t="s">
        <v>232</v>
      </c>
      <c r="Y260" s="0" t="s">
        <v>253</v>
      </c>
      <c r="Z260" s="0" t="s">
        <v>234</v>
      </c>
      <c r="AA260" s="0" t="s">
        <v>235</v>
      </c>
      <c r="AB260" s="32" t="n">
        <v>2150</v>
      </c>
      <c r="AC260" s="32" t="n">
        <v>2150</v>
      </c>
      <c r="AD260" s="26" t="n">
        <f aca="false">IFERROR(AB260/B260,"")</f>
        <v>4.36991869918699</v>
      </c>
      <c r="AE260" s="26" t="n">
        <f aca="false">IFERROR(AC260/B260,"")</f>
        <v>4.36991869918699</v>
      </c>
      <c r="AF260" s="0" t="s">
        <v>236</v>
      </c>
      <c r="AG260" s="0" t="s">
        <v>236</v>
      </c>
      <c r="AH260" s="0" t="s">
        <v>230</v>
      </c>
      <c r="AI260" s="0" t="s">
        <v>1425</v>
      </c>
      <c r="AJ260" s="0" t="s">
        <v>1436</v>
      </c>
      <c r="AK260" s="0" t="s">
        <v>1437</v>
      </c>
      <c r="AL260" s="0" t="s">
        <v>1438</v>
      </c>
      <c r="AM260" s="0" t="s">
        <v>94</v>
      </c>
      <c r="AN260" s="26" t="n">
        <f aca="false">IFERROR(E260*(1+IF(AM260="Apartment",Data_Summary!$C$3,0)),"")</f>
        <v>4.36991869918699</v>
      </c>
      <c r="AO260" s="4" t="n">
        <v>46195</v>
      </c>
    </row>
    <row r="261" customFormat="false" ht="15" hidden="false" customHeight="false" outlineLevel="0" collapsed="false">
      <c r="A261" s="0" t="n">
        <f aca="false">IF(AND(ISNUMBER(B261),B261&gt;0,ISNUMBER(AB261),AB261&gt;0,J261&gt;=Data_Summary!$C$1),1,0)</f>
        <v>1</v>
      </c>
      <c r="B261" s="30" t="n">
        <v>505</v>
      </c>
      <c r="C261" s="5" t="n">
        <f aca="false">IF(ISNUMBER(AB261),AB261,"")</f>
        <v>2150</v>
      </c>
      <c r="D261" s="0" t="n">
        <f aca="false">IF(ISNUMBER(C261),C261-U261*Data_Summary!$C$2,"")</f>
        <v>2150</v>
      </c>
      <c r="E261" s="31" t="n">
        <f aca="false">IFERROR(C261/B261,"")</f>
        <v>4.25742574257426</v>
      </c>
      <c r="F261" s="26" t="n">
        <f aca="false">IFERROR(D261/B261,"")</f>
        <v>4.25742574257426</v>
      </c>
      <c r="G261" s="0" t="str">
        <f aca="false">Q261</f>
        <v>1</v>
      </c>
      <c r="H261" s="0" t="str">
        <f aca="false">IFERROR(LEFT(G261,1),"")</f>
        <v>1</v>
      </c>
      <c r="I261" s="0" t="n">
        <f aca="false">IF(LEN(G261)&gt;1,1,0)</f>
        <v>0</v>
      </c>
      <c r="J261" s="4" t="n">
        <v>45815</v>
      </c>
      <c r="K261" s="0" t="s">
        <v>10</v>
      </c>
      <c r="L261" s="0" t="s">
        <v>91</v>
      </c>
      <c r="M261" s="0" t="s">
        <v>226</v>
      </c>
      <c r="N261" s="0" t="s">
        <v>93</v>
      </c>
      <c r="O261" s="0" t="s">
        <v>1439</v>
      </c>
      <c r="Q261" s="0" t="s">
        <v>242</v>
      </c>
      <c r="R261" s="0" t="n">
        <v>1</v>
      </c>
      <c r="S261" s="5" t="n">
        <v>505</v>
      </c>
      <c r="T261" s="0" t="s">
        <v>243</v>
      </c>
      <c r="U261" s="0" t="n">
        <v>0</v>
      </c>
      <c r="V261" s="0" t="s">
        <v>230</v>
      </c>
      <c r="W261" s="0" t="s">
        <v>244</v>
      </c>
      <c r="X261" s="0" t="s">
        <v>232</v>
      </c>
      <c r="Y261" s="0" t="s">
        <v>253</v>
      </c>
      <c r="Z261" s="0" t="s">
        <v>234</v>
      </c>
      <c r="AA261" s="0" t="s">
        <v>235</v>
      </c>
      <c r="AB261" s="32" t="n">
        <v>2150</v>
      </c>
      <c r="AC261" s="32" t="n">
        <v>2150</v>
      </c>
      <c r="AD261" s="26" t="n">
        <f aca="false">IFERROR(AB261/B261,"")</f>
        <v>4.25742574257426</v>
      </c>
      <c r="AE261" s="26" t="n">
        <f aca="false">IFERROR(AC261/B261,"")</f>
        <v>4.25742574257426</v>
      </c>
      <c r="AF261" s="0" t="s">
        <v>236</v>
      </c>
      <c r="AG261" s="0" t="s">
        <v>236</v>
      </c>
      <c r="AH261" s="0" t="s">
        <v>230</v>
      </c>
      <c r="AI261" s="0" t="s">
        <v>1440</v>
      </c>
      <c r="AJ261" s="0" t="s">
        <v>1441</v>
      </c>
      <c r="AK261" s="0" t="s">
        <v>1442</v>
      </c>
      <c r="AL261" s="0" t="s">
        <v>1443</v>
      </c>
      <c r="AM261" s="0" t="s">
        <v>94</v>
      </c>
      <c r="AN261" s="26" t="n">
        <f aca="false">IFERROR(E261*(1+IF(AM261="Apartment",Data_Summary!$C$3,0)),"")</f>
        <v>4.25742574257426</v>
      </c>
      <c r="AO261" s="4" t="n">
        <v>46195</v>
      </c>
    </row>
    <row r="262" customFormat="false" ht="15" hidden="false" customHeight="false" outlineLevel="0" collapsed="false">
      <c r="A262" s="0" t="n">
        <f aca="false">IF(AND(ISNUMBER(B262),B262&gt;0,ISNUMBER(AB262),AB262&gt;0,J262&gt;=Data_Summary!$C$1),1,0)</f>
        <v>1</v>
      </c>
      <c r="B262" s="33" t="n">
        <v>535</v>
      </c>
      <c r="C262" s="5" t="n">
        <f aca="false">IF(ISNUMBER(AB262),AB262,"")</f>
        <v>2500</v>
      </c>
      <c r="D262" s="0" t="n">
        <f aca="false">IF(ISNUMBER(C262),C262-U262*Data_Summary!$C$2,"")</f>
        <v>2500</v>
      </c>
      <c r="E262" s="34" t="n">
        <f aca="false">IFERROR(C262/B262,"")</f>
        <v>4.67289719626168</v>
      </c>
      <c r="F262" s="26" t="n">
        <f aca="false">IFERROR(D262/B262,"")</f>
        <v>4.67289719626168</v>
      </c>
      <c r="G262" s="0" t="str">
        <f aca="false">Q262</f>
        <v>1+1</v>
      </c>
      <c r="H262" s="0" t="str">
        <f aca="false">IFERROR(LEFT(G262,1),"")</f>
        <v>1</v>
      </c>
      <c r="I262" s="0" t="n">
        <f aca="false">IF(LEN(G262)&gt;1,1,0)</f>
        <v>1</v>
      </c>
      <c r="J262" s="4" t="n">
        <v>45815</v>
      </c>
      <c r="K262" s="0" t="s">
        <v>10</v>
      </c>
      <c r="L262" s="0" t="s">
        <v>91</v>
      </c>
      <c r="M262" s="0" t="s">
        <v>226</v>
      </c>
      <c r="N262" s="0" t="s">
        <v>93</v>
      </c>
      <c r="O262" s="0" t="s">
        <v>1444</v>
      </c>
      <c r="Q262" s="0" t="s">
        <v>270</v>
      </c>
      <c r="R262" s="0" t="n">
        <v>2</v>
      </c>
      <c r="S262" s="5" t="n">
        <v>535</v>
      </c>
      <c r="T262" s="0" t="s">
        <v>271</v>
      </c>
      <c r="U262" s="0" t="n">
        <v>0</v>
      </c>
      <c r="V262" s="0" t="s">
        <v>230</v>
      </c>
      <c r="W262" s="0" t="s">
        <v>231</v>
      </c>
      <c r="X262" s="0" t="s">
        <v>232</v>
      </c>
      <c r="Y262" s="0" t="s">
        <v>278</v>
      </c>
      <c r="Z262" s="0" t="s">
        <v>234</v>
      </c>
      <c r="AA262" s="0" t="s">
        <v>235</v>
      </c>
      <c r="AB262" s="32" t="n">
        <v>2500</v>
      </c>
      <c r="AC262" s="32" t="n">
        <v>2550</v>
      </c>
      <c r="AD262" s="26" t="n">
        <f aca="false">IFERROR(AB262/B262,"")</f>
        <v>4.67289719626168</v>
      </c>
      <c r="AE262" s="26" t="n">
        <f aca="false">IFERROR(AC262/B262,"")</f>
        <v>4.76635514018692</v>
      </c>
      <c r="AF262" s="0" t="s">
        <v>236</v>
      </c>
      <c r="AG262" s="0" t="s">
        <v>236</v>
      </c>
      <c r="AH262" s="0" t="s">
        <v>230</v>
      </c>
      <c r="AI262" s="0" t="s">
        <v>1440</v>
      </c>
      <c r="AJ262" s="0" t="s">
        <v>1445</v>
      </c>
      <c r="AK262" s="0" t="s">
        <v>1446</v>
      </c>
      <c r="AL262" s="0" t="s">
        <v>1447</v>
      </c>
      <c r="AM262" s="0" t="s">
        <v>94</v>
      </c>
      <c r="AN262" s="26" t="n">
        <f aca="false">IFERROR(E262*(1+IF(AM262="Apartment",Data_Summary!$C$3,0)),"")</f>
        <v>4.67289719626168</v>
      </c>
      <c r="AO262" s="4" t="n">
        <v>46195</v>
      </c>
    </row>
    <row r="263" customFormat="false" ht="15" hidden="false" customHeight="false" outlineLevel="0" collapsed="false">
      <c r="A263" s="0" t="n">
        <f aca="false">IF(AND(ISNUMBER(B263),B263&gt;0,ISNUMBER(AB263),AB263&gt;0,J263&gt;=Data_Summary!$C$1),1,0)</f>
        <v>1</v>
      </c>
      <c r="B263" s="30" t="n">
        <v>492</v>
      </c>
      <c r="C263" s="5" t="n">
        <f aca="false">IF(ISNUMBER(AB263),AB263,"")</f>
        <v>2150</v>
      </c>
      <c r="D263" s="0" t="n">
        <f aca="false">IF(ISNUMBER(C263),C263-U263*Data_Summary!$C$2,"")</f>
        <v>2150</v>
      </c>
      <c r="E263" s="31" t="n">
        <f aca="false">IFERROR(C263/B263,"")</f>
        <v>4.36991869918699</v>
      </c>
      <c r="F263" s="26" t="n">
        <f aca="false">IFERROR(D263/B263,"")</f>
        <v>4.36991869918699</v>
      </c>
      <c r="G263" s="0" t="str">
        <f aca="false">Q263</f>
        <v>1</v>
      </c>
      <c r="H263" s="0" t="str">
        <f aca="false">IFERROR(LEFT(G263,1),"")</f>
        <v>1</v>
      </c>
      <c r="I263" s="0" t="n">
        <f aca="false">IF(LEN(G263)&gt;1,1,0)</f>
        <v>0</v>
      </c>
      <c r="J263" s="4" t="n">
        <v>45814</v>
      </c>
      <c r="K263" s="0" t="s">
        <v>10</v>
      </c>
      <c r="L263" s="0" t="s">
        <v>91</v>
      </c>
      <c r="M263" s="0" t="s">
        <v>226</v>
      </c>
      <c r="N263" s="0" t="s">
        <v>93</v>
      </c>
      <c r="O263" s="0" t="s">
        <v>472</v>
      </c>
      <c r="Q263" s="0" t="s">
        <v>242</v>
      </c>
      <c r="R263" s="0" t="n">
        <v>1</v>
      </c>
      <c r="S263" s="5" t="n">
        <v>492</v>
      </c>
      <c r="T263" s="0" t="s">
        <v>303</v>
      </c>
      <c r="U263" s="0" t="n">
        <v>0</v>
      </c>
      <c r="V263" s="0" t="s">
        <v>230</v>
      </c>
      <c r="W263" s="0" t="s">
        <v>244</v>
      </c>
      <c r="X263" s="0" t="s">
        <v>232</v>
      </c>
      <c r="Y263" s="0" t="s">
        <v>253</v>
      </c>
      <c r="Z263" s="0" t="s">
        <v>234</v>
      </c>
      <c r="AA263" s="0" t="s">
        <v>235</v>
      </c>
      <c r="AB263" s="32" t="n">
        <v>2150</v>
      </c>
      <c r="AC263" s="32" t="n">
        <v>2150</v>
      </c>
      <c r="AD263" s="26" t="n">
        <f aca="false">IFERROR(AB263/B263,"")</f>
        <v>4.36991869918699</v>
      </c>
      <c r="AE263" s="26" t="n">
        <f aca="false">IFERROR(AC263/B263,"")</f>
        <v>4.36991869918699</v>
      </c>
      <c r="AF263" s="0" t="s">
        <v>236</v>
      </c>
      <c r="AG263" s="0" t="s">
        <v>236</v>
      </c>
      <c r="AH263" s="0" t="s">
        <v>230</v>
      </c>
      <c r="AI263" s="0" t="s">
        <v>1448</v>
      </c>
      <c r="AJ263" s="0" t="s">
        <v>1449</v>
      </c>
      <c r="AK263" s="0" t="s">
        <v>1450</v>
      </c>
      <c r="AL263" s="0" t="s">
        <v>1451</v>
      </c>
      <c r="AM263" s="0" t="s">
        <v>94</v>
      </c>
      <c r="AN263" s="26" t="n">
        <f aca="false">IFERROR(E263*(1+IF(AM263="Apartment",Data_Summary!$C$3,0)),"")</f>
        <v>4.36991869918699</v>
      </c>
      <c r="AO263" s="4" t="n">
        <v>46195</v>
      </c>
    </row>
    <row r="264" customFormat="false" ht="15" hidden="false" customHeight="false" outlineLevel="0" collapsed="false">
      <c r="A264" s="0" t="n">
        <f aca="false">IF(AND(ISNUMBER(B264),B264&gt;0,ISNUMBER(AB264),AB264&gt;0,J264&gt;=Data_Summary!$C$1),1,0)</f>
        <v>1</v>
      </c>
      <c r="B264" s="30" t="n">
        <v>770</v>
      </c>
      <c r="C264" s="5" t="n">
        <f aca="false">IF(ISNUMBER(AB264),AB264,"")</f>
        <v>2995</v>
      </c>
      <c r="D264" s="0" t="n">
        <f aca="false">IF(ISNUMBER(C264),C264-U264*Data_Summary!$C$2,"")</f>
        <v>2995</v>
      </c>
      <c r="E264" s="31" t="n">
        <f aca="false">IFERROR(C264/B264,"")</f>
        <v>3.88961038961039</v>
      </c>
      <c r="F264" s="26" t="n">
        <f aca="false">IFERROR(D264/B264,"")</f>
        <v>3.88961038961039</v>
      </c>
      <c r="G264" s="0" t="str">
        <f aca="false">Q264</f>
        <v>2</v>
      </c>
      <c r="H264" s="0" t="str">
        <f aca="false">IFERROR(LEFT(G264,1),"")</f>
        <v>2</v>
      </c>
      <c r="I264" s="0" t="n">
        <f aca="false">IF(LEN(G264)&gt;1,1,0)</f>
        <v>0</v>
      </c>
      <c r="J264" s="4" t="n">
        <v>45813</v>
      </c>
      <c r="K264" s="0" t="s">
        <v>10</v>
      </c>
      <c r="L264" s="0" t="s">
        <v>91</v>
      </c>
      <c r="M264" s="0" t="s">
        <v>226</v>
      </c>
      <c r="N264" s="0" t="s">
        <v>93</v>
      </c>
      <c r="O264" s="0" t="s">
        <v>1452</v>
      </c>
      <c r="Q264" s="0" t="s">
        <v>251</v>
      </c>
      <c r="R264" s="0" t="n">
        <v>2</v>
      </c>
      <c r="S264" s="5" t="n">
        <v>770</v>
      </c>
      <c r="T264" s="0" t="s">
        <v>252</v>
      </c>
      <c r="U264" s="0" t="n">
        <v>0</v>
      </c>
      <c r="V264" s="0" t="s">
        <v>230</v>
      </c>
      <c r="W264" s="0" t="s">
        <v>244</v>
      </c>
      <c r="X264" s="0" t="s">
        <v>232</v>
      </c>
      <c r="Y264" s="0" t="s">
        <v>233</v>
      </c>
      <c r="Z264" s="0" t="s">
        <v>234</v>
      </c>
      <c r="AA264" s="0" t="s">
        <v>235</v>
      </c>
      <c r="AB264" s="32" t="n">
        <v>2995</v>
      </c>
      <c r="AC264" s="32" t="n">
        <v>2995</v>
      </c>
      <c r="AD264" s="26" t="n">
        <f aca="false">IFERROR(AB264/B264,"")</f>
        <v>3.88961038961039</v>
      </c>
      <c r="AE264" s="26" t="n">
        <f aca="false">IFERROR(AC264/B264,"")</f>
        <v>3.88961038961039</v>
      </c>
      <c r="AF264" s="0" t="s">
        <v>236</v>
      </c>
      <c r="AG264" s="0" t="s">
        <v>236</v>
      </c>
      <c r="AH264" s="0" t="s">
        <v>230</v>
      </c>
      <c r="AI264" s="0" t="s">
        <v>1453</v>
      </c>
      <c r="AJ264" s="0" t="s">
        <v>1454</v>
      </c>
      <c r="AK264" s="0" t="s">
        <v>1455</v>
      </c>
      <c r="AL264" s="0" t="s">
        <v>1456</v>
      </c>
      <c r="AM264" s="0" t="s">
        <v>94</v>
      </c>
      <c r="AN264" s="26" t="n">
        <f aca="false">IFERROR(E264*(1+IF(AM264="Apartment",Data_Summary!$C$3,0)),"")</f>
        <v>3.88961038961039</v>
      </c>
      <c r="AO264" s="4" t="n">
        <v>46195</v>
      </c>
    </row>
    <row r="265" customFormat="false" ht="15" hidden="false" customHeight="false" outlineLevel="0" collapsed="false">
      <c r="A265" s="0" t="n">
        <f aca="false">IF(AND(ISNUMBER(B265),B265&gt;0,ISNUMBER(AB265),AB265&gt;0,J265&gt;=Data_Summary!$C$1),1,0)</f>
        <v>1</v>
      </c>
      <c r="B265" s="33" t="n">
        <v>600</v>
      </c>
      <c r="C265" s="5" t="n">
        <f aca="false">IF(ISNUMBER(AB265),AB265,"")</f>
        <v>2400</v>
      </c>
      <c r="D265" s="0" t="n">
        <f aca="false">IF(ISNUMBER(C265),C265-U265*Data_Summary!$C$2,"")</f>
        <v>2400</v>
      </c>
      <c r="E265" s="34" t="n">
        <f aca="false">IFERROR(C265/B265,"")</f>
        <v>4</v>
      </c>
      <c r="F265" s="26" t="n">
        <f aca="false">IFERROR(D265/B265,"")</f>
        <v>4</v>
      </c>
      <c r="G265" s="0" t="str">
        <f aca="false">Q265</f>
        <v>1</v>
      </c>
      <c r="H265" s="0" t="str">
        <f aca="false">IFERROR(LEFT(G265,1),"")</f>
        <v>1</v>
      </c>
      <c r="I265" s="0" t="n">
        <f aca="false">IF(LEN(G265)&gt;1,1,0)</f>
        <v>0</v>
      </c>
      <c r="J265" s="4" t="n">
        <v>45813</v>
      </c>
      <c r="K265" s="0" t="s">
        <v>10</v>
      </c>
      <c r="L265" s="0" t="s">
        <v>91</v>
      </c>
      <c r="M265" s="0" t="s">
        <v>226</v>
      </c>
      <c r="N265" s="0" t="s">
        <v>93</v>
      </c>
      <c r="O265" s="0" t="s">
        <v>1457</v>
      </c>
      <c r="Q265" s="0" t="s">
        <v>242</v>
      </c>
      <c r="R265" s="0" t="n">
        <v>1</v>
      </c>
      <c r="S265" s="5" t="n">
        <v>600</v>
      </c>
      <c r="T265" s="0" t="s">
        <v>243</v>
      </c>
      <c r="U265" s="0" t="n">
        <v>0</v>
      </c>
      <c r="V265" s="0" t="s">
        <v>230</v>
      </c>
      <c r="W265" s="0" t="s">
        <v>244</v>
      </c>
      <c r="X265" s="0" t="s">
        <v>232</v>
      </c>
      <c r="Y265" s="0" t="s">
        <v>278</v>
      </c>
      <c r="Z265" s="0" t="s">
        <v>234</v>
      </c>
      <c r="AA265" s="0" t="s">
        <v>235</v>
      </c>
      <c r="AB265" s="32" t="n">
        <v>2400</v>
      </c>
      <c r="AC265" s="32" t="n">
        <v>2430</v>
      </c>
      <c r="AD265" s="26" t="n">
        <f aca="false">IFERROR(AB265/B265,"")</f>
        <v>4</v>
      </c>
      <c r="AE265" s="26" t="n">
        <f aca="false">IFERROR(AC265/B265,"")</f>
        <v>4.05</v>
      </c>
      <c r="AF265" s="0" t="s">
        <v>236</v>
      </c>
      <c r="AG265" s="0" t="s">
        <v>236</v>
      </c>
      <c r="AH265" s="0" t="s">
        <v>230</v>
      </c>
      <c r="AI265" s="0" t="s">
        <v>1453</v>
      </c>
      <c r="AJ265" s="0" t="s">
        <v>1458</v>
      </c>
      <c r="AK265" s="0" t="s">
        <v>1459</v>
      </c>
      <c r="AL265" s="0" t="s">
        <v>1460</v>
      </c>
      <c r="AM265" s="0" t="s">
        <v>94</v>
      </c>
      <c r="AN265" s="26" t="n">
        <f aca="false">IFERROR(E265*(1+IF(AM265="Apartment",Data_Summary!$C$3,0)),"")</f>
        <v>4</v>
      </c>
      <c r="AO265" s="4" t="n">
        <v>46195</v>
      </c>
    </row>
    <row r="266" customFormat="false" ht="15" hidden="false" customHeight="false" outlineLevel="0" collapsed="false">
      <c r="A266" s="0" t="n">
        <f aca="false">IF(AND(ISNUMBER(B266),B266&gt;0,ISNUMBER(AB266),AB266&gt;0,J266&gt;=Data_Summary!$C$1),1,0)</f>
        <v>1</v>
      </c>
      <c r="B266" s="30" t="n">
        <v>505</v>
      </c>
      <c r="C266" s="5" t="n">
        <f aca="false">IF(ISNUMBER(AB266),AB266,"")</f>
        <v>2140</v>
      </c>
      <c r="D266" s="0" t="n">
        <f aca="false">IF(ISNUMBER(C266),C266-U266*Data_Summary!$C$2,"")</f>
        <v>2140</v>
      </c>
      <c r="E266" s="31" t="n">
        <f aca="false">IFERROR(C266/B266,"")</f>
        <v>4.23762376237624</v>
      </c>
      <c r="F266" s="26" t="n">
        <f aca="false">IFERROR(D266/B266,"")</f>
        <v>4.23762376237624</v>
      </c>
      <c r="G266" s="0" t="str">
        <f aca="false">Q266</f>
        <v>1</v>
      </c>
      <c r="H266" s="0" t="str">
        <f aca="false">IFERROR(LEFT(G266,1),"")</f>
        <v>1</v>
      </c>
      <c r="I266" s="0" t="n">
        <f aca="false">IF(LEN(G266)&gt;1,1,0)</f>
        <v>0</v>
      </c>
      <c r="J266" s="4" t="n">
        <v>45813</v>
      </c>
      <c r="K266" s="0" t="s">
        <v>10</v>
      </c>
      <c r="L266" s="0" t="s">
        <v>91</v>
      </c>
      <c r="M266" s="0" t="s">
        <v>226</v>
      </c>
      <c r="N266" s="0" t="s">
        <v>93</v>
      </c>
      <c r="O266" s="0" t="s">
        <v>1461</v>
      </c>
      <c r="Q266" s="0" t="s">
        <v>242</v>
      </c>
      <c r="R266" s="0" t="n">
        <v>1</v>
      </c>
      <c r="S266" s="5" t="n">
        <v>505</v>
      </c>
      <c r="T266" s="0" t="s">
        <v>243</v>
      </c>
      <c r="U266" s="0" t="n">
        <v>0</v>
      </c>
      <c r="V266" s="0" t="s">
        <v>230</v>
      </c>
      <c r="W266" s="0" t="s">
        <v>244</v>
      </c>
      <c r="X266" s="0" t="s">
        <v>232</v>
      </c>
      <c r="Y266" s="0" t="s">
        <v>253</v>
      </c>
      <c r="Z266" s="0" t="s">
        <v>234</v>
      </c>
      <c r="AA266" s="0" t="s">
        <v>235</v>
      </c>
      <c r="AB266" s="32" t="n">
        <v>2140</v>
      </c>
      <c r="AC266" s="32" t="n">
        <v>2140</v>
      </c>
      <c r="AD266" s="26" t="n">
        <f aca="false">IFERROR(AB266/B266,"")</f>
        <v>4.23762376237624</v>
      </c>
      <c r="AE266" s="26" t="n">
        <f aca="false">IFERROR(AC266/B266,"")</f>
        <v>4.23762376237624</v>
      </c>
      <c r="AF266" s="0" t="s">
        <v>236</v>
      </c>
      <c r="AG266" s="0" t="s">
        <v>236</v>
      </c>
      <c r="AH266" s="0" t="s">
        <v>230</v>
      </c>
      <c r="AI266" s="0" t="s">
        <v>1453</v>
      </c>
      <c r="AJ266" s="0" t="s">
        <v>1462</v>
      </c>
      <c r="AK266" s="0" t="s">
        <v>1463</v>
      </c>
      <c r="AL266" s="0" t="s">
        <v>1464</v>
      </c>
      <c r="AM266" s="0" t="s">
        <v>94</v>
      </c>
      <c r="AN266" s="26" t="n">
        <f aca="false">IFERROR(E266*(1+IF(AM266="Apartment",Data_Summary!$C$3,0)),"")</f>
        <v>4.23762376237624</v>
      </c>
      <c r="AO266" s="4" t="n">
        <v>46195</v>
      </c>
    </row>
    <row r="267" customFormat="false" ht="15" hidden="false" customHeight="false" outlineLevel="0" collapsed="false">
      <c r="A267" s="0" t="n">
        <f aca="false">IF(AND(ISNUMBER(B267),B267&gt;0,ISNUMBER(AB267),AB267&gt;0,J267&gt;=Data_Summary!$C$1),1,0)</f>
        <v>1</v>
      </c>
      <c r="B267" s="30" t="n">
        <v>545</v>
      </c>
      <c r="C267" s="5" t="n">
        <f aca="false">IF(ISNUMBER(AB267),AB267,"")</f>
        <v>2300</v>
      </c>
      <c r="D267" s="0" t="n">
        <f aca="false">IF(ISNUMBER(C267),C267-U267*Data_Summary!$C$2,"")</f>
        <v>2300</v>
      </c>
      <c r="E267" s="31" t="n">
        <f aca="false">IFERROR(C267/B267,"")</f>
        <v>4.22018348623853</v>
      </c>
      <c r="F267" s="26" t="n">
        <f aca="false">IFERROR(D267/B267,"")</f>
        <v>4.22018348623853</v>
      </c>
      <c r="G267" s="0" t="str">
        <f aca="false">Q267</f>
        <v>1</v>
      </c>
      <c r="H267" s="0" t="str">
        <f aca="false">IFERROR(LEFT(G267,1),"")</f>
        <v>1</v>
      </c>
      <c r="I267" s="0" t="n">
        <f aca="false">IF(LEN(G267)&gt;1,1,0)</f>
        <v>0</v>
      </c>
      <c r="J267" s="4" t="n">
        <v>45812</v>
      </c>
      <c r="K267" s="0" t="s">
        <v>10</v>
      </c>
      <c r="L267" s="0" t="s">
        <v>91</v>
      </c>
      <c r="M267" s="0" t="s">
        <v>226</v>
      </c>
      <c r="N267" s="0" t="s">
        <v>93</v>
      </c>
      <c r="O267" s="0" t="s">
        <v>1465</v>
      </c>
      <c r="Q267" s="0" t="s">
        <v>242</v>
      </c>
      <c r="R267" s="0" t="n">
        <v>1</v>
      </c>
      <c r="S267" s="5" t="n">
        <v>545</v>
      </c>
      <c r="T267" s="0" t="s">
        <v>243</v>
      </c>
      <c r="U267" s="0" t="n">
        <v>0</v>
      </c>
      <c r="V267" s="0" t="s">
        <v>230</v>
      </c>
      <c r="W267" s="0" t="s">
        <v>244</v>
      </c>
      <c r="X267" s="0" t="s">
        <v>232</v>
      </c>
      <c r="Y267" s="0" t="s">
        <v>278</v>
      </c>
      <c r="Z267" s="0" t="s">
        <v>234</v>
      </c>
      <c r="AA267" s="0" t="s">
        <v>235</v>
      </c>
      <c r="AB267" s="32" t="n">
        <v>2300</v>
      </c>
      <c r="AC267" s="32" t="n">
        <v>2300</v>
      </c>
      <c r="AD267" s="26" t="n">
        <f aca="false">IFERROR(AB267/B267,"")</f>
        <v>4.22018348623853</v>
      </c>
      <c r="AE267" s="26" t="n">
        <f aca="false">IFERROR(AC267/B267,"")</f>
        <v>4.22018348623853</v>
      </c>
      <c r="AF267" s="0" t="s">
        <v>236</v>
      </c>
      <c r="AG267" s="0" t="s">
        <v>236</v>
      </c>
      <c r="AH267" s="0" t="s">
        <v>230</v>
      </c>
      <c r="AI267" s="0" t="s">
        <v>1466</v>
      </c>
      <c r="AJ267" s="0" t="s">
        <v>1467</v>
      </c>
      <c r="AK267" s="0" t="s">
        <v>1468</v>
      </c>
      <c r="AL267" s="0" t="s">
        <v>1469</v>
      </c>
      <c r="AM267" s="0" t="s">
        <v>94</v>
      </c>
      <c r="AN267" s="26" t="n">
        <f aca="false">IFERROR(E267*(1+IF(AM267="Apartment",Data_Summary!$C$3,0)),"")</f>
        <v>4.22018348623853</v>
      </c>
      <c r="AO267" s="4" t="n">
        <v>46195</v>
      </c>
    </row>
    <row r="268" customFormat="false" ht="15" hidden="false" customHeight="false" outlineLevel="0" collapsed="false">
      <c r="A268" s="0" t="n">
        <f aca="false">IF(AND(ISNUMBER(B268),B268&gt;0,ISNUMBER(AB268),AB268&gt;0,J268&gt;=Data_Summary!$C$1),1,0)</f>
        <v>1</v>
      </c>
      <c r="B268" s="33" t="n">
        <v>535</v>
      </c>
      <c r="C268" s="5" t="n">
        <f aca="false">IF(ISNUMBER(AB268),AB268,"")</f>
        <v>2800</v>
      </c>
      <c r="D268" s="0" t="n">
        <f aca="false">IF(ISNUMBER(C268),C268-U268*Data_Summary!$C$2,"")</f>
        <v>2800</v>
      </c>
      <c r="E268" s="34" t="n">
        <f aca="false">IFERROR(C268/B268,"")</f>
        <v>5.23364485981308</v>
      </c>
      <c r="F268" s="26" t="n">
        <f aca="false">IFERROR(D268/B268,"")</f>
        <v>5.23364485981308</v>
      </c>
      <c r="G268" s="0" t="str">
        <f aca="false">Q268</f>
        <v>1+1</v>
      </c>
      <c r="H268" s="0" t="str">
        <f aca="false">IFERROR(LEFT(G268,1),"")</f>
        <v>1</v>
      </c>
      <c r="I268" s="0" t="n">
        <f aca="false">IF(LEN(G268)&gt;1,1,0)</f>
        <v>1</v>
      </c>
      <c r="J268" s="4" t="n">
        <v>45812</v>
      </c>
      <c r="K268" s="0" t="s">
        <v>10</v>
      </c>
      <c r="L268" s="0" t="s">
        <v>91</v>
      </c>
      <c r="M268" s="0" t="s">
        <v>226</v>
      </c>
      <c r="N268" s="0" t="s">
        <v>93</v>
      </c>
      <c r="O268" s="0" t="s">
        <v>441</v>
      </c>
      <c r="Q268" s="0" t="s">
        <v>270</v>
      </c>
      <c r="R268" s="0" t="n">
        <v>2</v>
      </c>
      <c r="S268" s="5" t="n">
        <v>535</v>
      </c>
      <c r="T268" s="0" t="s">
        <v>271</v>
      </c>
      <c r="U268" s="0" t="n">
        <v>0</v>
      </c>
      <c r="V268" s="0" t="s">
        <v>230</v>
      </c>
      <c r="W268" s="0" t="s">
        <v>244</v>
      </c>
      <c r="X268" s="0" t="s">
        <v>232</v>
      </c>
      <c r="Y268" s="0" t="s">
        <v>278</v>
      </c>
      <c r="Z268" s="0" t="s">
        <v>234</v>
      </c>
      <c r="AA268" s="0" t="s">
        <v>235</v>
      </c>
      <c r="AB268" s="32" t="n">
        <v>2800</v>
      </c>
      <c r="AC268" s="32" t="n">
        <v>2800</v>
      </c>
      <c r="AD268" s="26" t="n">
        <f aca="false">IFERROR(AB268/B268,"")</f>
        <v>5.23364485981308</v>
      </c>
      <c r="AE268" s="26" t="n">
        <f aca="false">IFERROR(AC268/B268,"")</f>
        <v>5.23364485981308</v>
      </c>
      <c r="AF268" s="0" t="s">
        <v>236</v>
      </c>
      <c r="AG268" s="0" t="s">
        <v>236</v>
      </c>
      <c r="AH268" s="0" t="s">
        <v>230</v>
      </c>
      <c r="AI268" s="0" t="s">
        <v>1466</v>
      </c>
      <c r="AJ268" s="0" t="s">
        <v>1470</v>
      </c>
      <c r="AK268" s="0" t="s">
        <v>1471</v>
      </c>
      <c r="AL268" s="0" t="s">
        <v>1472</v>
      </c>
      <c r="AM268" s="0" t="s">
        <v>94</v>
      </c>
      <c r="AN268" s="26" t="n">
        <f aca="false">IFERROR(E268*(1+IF(AM268="Apartment",Data_Summary!$C$3,0)),"")</f>
        <v>5.23364485981308</v>
      </c>
      <c r="AO268" s="4" t="n">
        <v>46195</v>
      </c>
    </row>
    <row r="269" customFormat="false" ht="15" hidden="false" customHeight="false" outlineLevel="0" collapsed="false">
      <c r="A269" s="0" t="n">
        <f aca="false">IF(AND(ISNUMBER(B269),B269&gt;0,ISNUMBER(AB269),AB269&gt;0,J269&gt;=Data_Summary!$C$1),1,0)</f>
        <v>1</v>
      </c>
      <c r="B269" s="30" t="n">
        <v>770</v>
      </c>
      <c r="C269" s="5" t="n">
        <f aca="false">IF(ISNUMBER(AB269),AB269,"")</f>
        <v>2940</v>
      </c>
      <c r="D269" s="0" t="n">
        <f aca="false">IF(ISNUMBER(C269),C269-U269*Data_Summary!$C$2,"")</f>
        <v>2790</v>
      </c>
      <c r="E269" s="31" t="n">
        <f aca="false">IFERROR(C269/B269,"")</f>
        <v>3.81818181818182</v>
      </c>
      <c r="F269" s="26" t="n">
        <f aca="false">IFERROR(D269/B269,"")</f>
        <v>3.62337662337662</v>
      </c>
      <c r="G269" s="0" t="str">
        <f aca="false">Q269</f>
        <v>2</v>
      </c>
      <c r="H269" s="0" t="str">
        <f aca="false">IFERROR(LEFT(G269,1),"")</f>
        <v>2</v>
      </c>
      <c r="I269" s="0" t="n">
        <f aca="false">IF(LEN(G269)&gt;1,1,0)</f>
        <v>0</v>
      </c>
      <c r="J269" s="4" t="n">
        <v>45812</v>
      </c>
      <c r="K269" s="0" t="s">
        <v>10</v>
      </c>
      <c r="L269" s="0" t="s">
        <v>91</v>
      </c>
      <c r="M269" s="0" t="s">
        <v>226</v>
      </c>
      <c r="N269" s="0" t="s">
        <v>93</v>
      </c>
      <c r="O269" s="0" t="s">
        <v>1473</v>
      </c>
      <c r="Q269" s="0" t="s">
        <v>251</v>
      </c>
      <c r="R269" s="0" t="n">
        <v>2</v>
      </c>
      <c r="S269" s="5" t="n">
        <v>770</v>
      </c>
      <c r="T269" s="0" t="s">
        <v>252</v>
      </c>
      <c r="U269" s="0" t="n">
        <v>1</v>
      </c>
      <c r="V269" s="0" t="s">
        <v>230</v>
      </c>
      <c r="W269" s="0" t="s">
        <v>244</v>
      </c>
      <c r="X269" s="0" t="s">
        <v>232</v>
      </c>
      <c r="Y269" s="0" t="s">
        <v>233</v>
      </c>
      <c r="Z269" s="0" t="s">
        <v>234</v>
      </c>
      <c r="AA269" s="0" t="s">
        <v>235</v>
      </c>
      <c r="AB269" s="32" t="n">
        <v>2940</v>
      </c>
      <c r="AC269" s="32" t="n">
        <v>2940</v>
      </c>
      <c r="AD269" s="26" t="n">
        <f aca="false">IFERROR(AB269/B269,"")</f>
        <v>3.81818181818182</v>
      </c>
      <c r="AE269" s="26" t="n">
        <f aca="false">IFERROR(AC269/B269,"")</f>
        <v>3.81818181818182</v>
      </c>
      <c r="AF269" s="0" t="s">
        <v>236</v>
      </c>
      <c r="AG269" s="0" t="s">
        <v>236</v>
      </c>
      <c r="AH269" s="0" t="s">
        <v>230</v>
      </c>
      <c r="AI269" s="0" t="s">
        <v>1466</v>
      </c>
      <c r="AJ269" s="0" t="s">
        <v>1474</v>
      </c>
      <c r="AK269" s="0" t="s">
        <v>1475</v>
      </c>
      <c r="AL269" s="0" t="s">
        <v>1476</v>
      </c>
      <c r="AM269" s="0" t="s">
        <v>94</v>
      </c>
      <c r="AN269" s="26" t="n">
        <f aca="false">IFERROR(E269*(1+IF(AM269="Apartment",Data_Summary!$C$3,0)),"")</f>
        <v>3.81818181818182</v>
      </c>
      <c r="AO269" s="4" t="n">
        <v>46195</v>
      </c>
    </row>
    <row r="270" customFormat="false" ht="15" hidden="false" customHeight="false" outlineLevel="0" collapsed="false">
      <c r="A270" s="0" t="n">
        <f aca="false">IF(AND(ISNUMBER(B270),B270&gt;0,ISNUMBER(AB270),AB270&gt;0,J270&gt;=Data_Summary!$C$1),1,0)</f>
        <v>1</v>
      </c>
      <c r="B270" s="30" t="n">
        <v>505</v>
      </c>
      <c r="C270" s="5" t="n">
        <f aca="false">IF(ISNUMBER(AB270),AB270,"")</f>
        <v>2135</v>
      </c>
      <c r="D270" s="0" t="n">
        <f aca="false">IF(ISNUMBER(C270),C270-U270*Data_Summary!$C$2,"")</f>
        <v>2135</v>
      </c>
      <c r="E270" s="31" t="n">
        <f aca="false">IFERROR(C270/B270,"")</f>
        <v>4.22772277227723</v>
      </c>
      <c r="F270" s="26" t="n">
        <f aca="false">IFERROR(D270/B270,"")</f>
        <v>4.22772277227723</v>
      </c>
      <c r="G270" s="0" t="str">
        <f aca="false">Q270</f>
        <v>1</v>
      </c>
      <c r="H270" s="0" t="str">
        <f aca="false">IFERROR(LEFT(G270,1),"")</f>
        <v>1</v>
      </c>
      <c r="I270" s="0" t="n">
        <f aca="false">IF(LEN(G270)&gt;1,1,0)</f>
        <v>0</v>
      </c>
      <c r="J270" s="4" t="n">
        <v>45808</v>
      </c>
      <c r="K270" s="0" t="s">
        <v>10</v>
      </c>
      <c r="L270" s="0" t="s">
        <v>91</v>
      </c>
      <c r="M270" s="0" t="s">
        <v>226</v>
      </c>
      <c r="N270" s="0" t="s">
        <v>93</v>
      </c>
      <c r="O270" s="0" t="s">
        <v>1477</v>
      </c>
      <c r="Q270" s="0" t="s">
        <v>242</v>
      </c>
      <c r="R270" s="0" t="n">
        <v>1</v>
      </c>
      <c r="S270" s="5" t="n">
        <v>505</v>
      </c>
      <c r="T270" s="0" t="s">
        <v>243</v>
      </c>
      <c r="U270" s="0" t="n">
        <v>0</v>
      </c>
      <c r="V270" s="0" t="s">
        <v>230</v>
      </c>
      <c r="W270" s="0" t="s">
        <v>244</v>
      </c>
      <c r="X270" s="0" t="s">
        <v>232</v>
      </c>
      <c r="Y270" s="0" t="s">
        <v>253</v>
      </c>
      <c r="Z270" s="0" t="s">
        <v>234</v>
      </c>
      <c r="AA270" s="0" t="s">
        <v>235</v>
      </c>
      <c r="AB270" s="32" t="n">
        <v>2135</v>
      </c>
      <c r="AC270" s="32" t="n">
        <v>2135</v>
      </c>
      <c r="AD270" s="26" t="n">
        <f aca="false">IFERROR(AB270/B270,"")</f>
        <v>4.22772277227723</v>
      </c>
      <c r="AE270" s="26" t="n">
        <f aca="false">IFERROR(AC270/B270,"")</f>
        <v>4.22772277227723</v>
      </c>
      <c r="AF270" s="0" t="s">
        <v>236</v>
      </c>
      <c r="AG270" s="0" t="s">
        <v>236</v>
      </c>
      <c r="AH270" s="0" t="s">
        <v>230</v>
      </c>
      <c r="AI270" s="0" t="s">
        <v>1478</v>
      </c>
      <c r="AJ270" s="0" t="s">
        <v>1479</v>
      </c>
      <c r="AK270" s="0" t="s">
        <v>1480</v>
      </c>
      <c r="AL270" s="0" t="s">
        <v>1481</v>
      </c>
      <c r="AM270" s="0" t="s">
        <v>94</v>
      </c>
      <c r="AN270" s="26" t="n">
        <f aca="false">IFERROR(E270*(1+IF(AM270="Apartment",Data_Summary!$C$3,0)),"")</f>
        <v>4.22772277227723</v>
      </c>
      <c r="AO270" s="4" t="n">
        <v>46195</v>
      </c>
    </row>
    <row r="271" customFormat="false" ht="15" hidden="false" customHeight="false" outlineLevel="0" collapsed="false">
      <c r="A271" s="0" t="n">
        <f aca="false">IF(AND(ISNUMBER(B271),B271&gt;0,ISNUMBER(AB271),AB271&gt;0,J271&gt;=Data_Summary!$C$1),1,0)</f>
        <v>1</v>
      </c>
      <c r="B271" s="30" t="n">
        <v>612</v>
      </c>
      <c r="C271" s="5" t="n">
        <f aca="false">IF(ISNUMBER(AB271),AB271,"")</f>
        <v>2380</v>
      </c>
      <c r="D271" s="0" t="n">
        <f aca="false">IF(ISNUMBER(C271),C271-U271*Data_Summary!$C$2,"")</f>
        <v>2380</v>
      </c>
      <c r="E271" s="31" t="n">
        <f aca="false">IFERROR(C271/B271,"")</f>
        <v>3.88888888888889</v>
      </c>
      <c r="F271" s="26" t="n">
        <f aca="false">IFERROR(D271/B271,"")</f>
        <v>3.88888888888889</v>
      </c>
      <c r="G271" s="0" t="str">
        <f aca="false">Q271</f>
        <v>1+1</v>
      </c>
      <c r="H271" s="0" t="str">
        <f aca="false">IFERROR(LEFT(G271,1),"")</f>
        <v>1</v>
      </c>
      <c r="I271" s="0" t="n">
        <f aca="false">IF(LEN(G271)&gt;1,1,0)</f>
        <v>1</v>
      </c>
      <c r="J271" s="4" t="n">
        <v>45808</v>
      </c>
      <c r="K271" s="0" t="s">
        <v>10</v>
      </c>
      <c r="L271" s="0" t="s">
        <v>91</v>
      </c>
      <c r="M271" s="0" t="s">
        <v>226</v>
      </c>
      <c r="N271" s="0" t="s">
        <v>93</v>
      </c>
      <c r="O271" s="0" t="s">
        <v>1482</v>
      </c>
      <c r="Q271" s="0" t="s">
        <v>270</v>
      </c>
      <c r="R271" s="0" t="n">
        <v>1</v>
      </c>
      <c r="S271" s="5" t="n">
        <v>612</v>
      </c>
      <c r="T271" s="0" t="s">
        <v>271</v>
      </c>
      <c r="U271" s="0" t="n">
        <v>0</v>
      </c>
      <c r="V271" s="0" t="s">
        <v>230</v>
      </c>
      <c r="W271" s="0" t="s">
        <v>244</v>
      </c>
      <c r="X271" s="0" t="s">
        <v>232</v>
      </c>
      <c r="Y271" s="0" t="s">
        <v>272</v>
      </c>
      <c r="Z271" s="0" t="s">
        <v>234</v>
      </c>
      <c r="AA271" s="0" t="s">
        <v>235</v>
      </c>
      <c r="AB271" s="32" t="n">
        <v>2380</v>
      </c>
      <c r="AC271" s="32" t="n">
        <v>2380</v>
      </c>
      <c r="AD271" s="26" t="n">
        <f aca="false">IFERROR(AB271/B271,"")</f>
        <v>3.88888888888889</v>
      </c>
      <c r="AE271" s="26" t="n">
        <f aca="false">IFERROR(AC271/B271,"")</f>
        <v>3.88888888888889</v>
      </c>
      <c r="AF271" s="0" t="s">
        <v>236</v>
      </c>
      <c r="AG271" s="0" t="s">
        <v>236</v>
      </c>
      <c r="AH271" s="0" t="s">
        <v>230</v>
      </c>
      <c r="AI271" s="0" t="s">
        <v>1478</v>
      </c>
      <c r="AJ271" s="0" t="s">
        <v>1483</v>
      </c>
      <c r="AK271" s="0" t="s">
        <v>1484</v>
      </c>
      <c r="AL271" s="0" t="s">
        <v>1485</v>
      </c>
      <c r="AM271" s="0" t="s">
        <v>94</v>
      </c>
      <c r="AN271" s="26" t="n">
        <f aca="false">IFERROR(E271*(1+IF(AM271="Apartment",Data_Summary!$C$3,0)),"")</f>
        <v>3.88888888888889</v>
      </c>
      <c r="AO271" s="4" t="n">
        <v>46195</v>
      </c>
    </row>
    <row r="272" customFormat="false" ht="15" hidden="false" customHeight="false" outlineLevel="0" collapsed="false">
      <c r="A272" s="0" t="n">
        <f aca="false">IF(AND(ISNUMBER(B272),B272&gt;0,ISNUMBER(AB272),AB272&gt;0,J272&gt;=Data_Summary!$C$1),1,0)</f>
        <v>1</v>
      </c>
      <c r="B272" s="30" t="n">
        <v>738</v>
      </c>
      <c r="C272" s="5" t="n">
        <f aca="false">IF(ISNUMBER(AB272),AB272,"")</f>
        <v>2650</v>
      </c>
      <c r="D272" s="0" t="n">
        <f aca="false">IF(ISNUMBER(C272),C272-U272*Data_Summary!$C$2,"")</f>
        <v>2650</v>
      </c>
      <c r="E272" s="31" t="n">
        <f aca="false">IFERROR(C272/B272,"")</f>
        <v>3.59078590785908</v>
      </c>
      <c r="F272" s="26" t="n">
        <f aca="false">IFERROR(D272/B272,"")</f>
        <v>3.59078590785908</v>
      </c>
      <c r="G272" s="0" t="str">
        <f aca="false">Q272</f>
        <v>2</v>
      </c>
      <c r="H272" s="0" t="str">
        <f aca="false">IFERROR(LEFT(G272,1),"")</f>
        <v>2</v>
      </c>
      <c r="I272" s="0" t="n">
        <f aca="false">IF(LEN(G272)&gt;1,1,0)</f>
        <v>0</v>
      </c>
      <c r="J272" s="4" t="n">
        <v>45807</v>
      </c>
      <c r="K272" s="0" t="s">
        <v>10</v>
      </c>
      <c r="L272" s="0" t="s">
        <v>91</v>
      </c>
      <c r="M272" s="0" t="s">
        <v>226</v>
      </c>
      <c r="N272" s="0" t="s">
        <v>93</v>
      </c>
      <c r="O272" s="0" t="s">
        <v>1486</v>
      </c>
      <c r="Q272" s="0" t="s">
        <v>251</v>
      </c>
      <c r="R272" s="0" t="n">
        <v>2</v>
      </c>
      <c r="S272" s="5" t="n">
        <v>738</v>
      </c>
      <c r="T272" s="0" t="s">
        <v>252</v>
      </c>
      <c r="U272" s="0" t="n">
        <v>0</v>
      </c>
      <c r="V272" s="0" t="s">
        <v>230</v>
      </c>
      <c r="W272" s="0" t="s">
        <v>244</v>
      </c>
      <c r="X272" s="0" t="s">
        <v>232</v>
      </c>
      <c r="Y272" s="0" t="s">
        <v>278</v>
      </c>
      <c r="Z272" s="0" t="s">
        <v>234</v>
      </c>
      <c r="AA272" s="0" t="s">
        <v>235</v>
      </c>
      <c r="AB272" s="32" t="n">
        <v>2650</v>
      </c>
      <c r="AC272" s="32" t="n">
        <v>2700</v>
      </c>
      <c r="AD272" s="26" t="n">
        <f aca="false">IFERROR(AB272/B272,"")</f>
        <v>3.59078590785908</v>
      </c>
      <c r="AE272" s="26" t="n">
        <f aca="false">IFERROR(AC272/B272,"")</f>
        <v>3.65853658536585</v>
      </c>
      <c r="AF272" s="0" t="s">
        <v>236</v>
      </c>
      <c r="AG272" s="0" t="s">
        <v>236</v>
      </c>
      <c r="AH272" s="0" t="s">
        <v>230</v>
      </c>
      <c r="AI272" s="0" t="s">
        <v>1487</v>
      </c>
      <c r="AJ272" s="0" t="s">
        <v>1488</v>
      </c>
      <c r="AK272" s="0" t="s">
        <v>1489</v>
      </c>
      <c r="AL272" s="0" t="s">
        <v>1490</v>
      </c>
      <c r="AM272" s="0" t="s">
        <v>94</v>
      </c>
      <c r="AN272" s="26" t="n">
        <f aca="false">IFERROR(E272*(1+IF(AM272="Apartment",Data_Summary!$C$3,0)),"")</f>
        <v>3.59078590785908</v>
      </c>
      <c r="AO272" s="4" t="n">
        <v>46195</v>
      </c>
    </row>
    <row r="273" customFormat="false" ht="15" hidden="false" customHeight="false" outlineLevel="0" collapsed="false">
      <c r="A273" s="0" t="n">
        <f aca="false">IF(AND(ISNUMBER(B273),B273&gt;0,ISNUMBER(AB273),AB273&gt;0,J273&gt;=Data_Summary!$C$1),1,0)</f>
        <v>1</v>
      </c>
      <c r="B273" s="30" t="n">
        <v>505</v>
      </c>
      <c r="C273" s="5" t="n">
        <f aca="false">IF(ISNUMBER(AB273),AB273,"")</f>
        <v>2400</v>
      </c>
      <c r="D273" s="0" t="n">
        <f aca="false">IF(ISNUMBER(C273),C273-U273*Data_Summary!$C$2,"")</f>
        <v>2250</v>
      </c>
      <c r="E273" s="31" t="n">
        <f aca="false">IFERROR(C273/B273,"")</f>
        <v>4.75247524752475</v>
      </c>
      <c r="F273" s="26" t="n">
        <f aca="false">IFERROR(D273/B273,"")</f>
        <v>4.45544554455446</v>
      </c>
      <c r="G273" s="0" t="str">
        <f aca="false">Q273</f>
        <v>1</v>
      </c>
      <c r="H273" s="0" t="str">
        <f aca="false">IFERROR(LEFT(G273,1),"")</f>
        <v>1</v>
      </c>
      <c r="I273" s="0" t="n">
        <f aca="false">IF(LEN(G273)&gt;1,1,0)</f>
        <v>0</v>
      </c>
      <c r="J273" s="4" t="n">
        <v>45806</v>
      </c>
      <c r="K273" s="0" t="s">
        <v>10</v>
      </c>
      <c r="L273" s="0" t="s">
        <v>91</v>
      </c>
      <c r="M273" s="0" t="s">
        <v>226</v>
      </c>
      <c r="N273" s="0" t="s">
        <v>93</v>
      </c>
      <c r="O273" s="0" t="s">
        <v>1491</v>
      </c>
      <c r="Q273" s="0" t="s">
        <v>242</v>
      </c>
      <c r="R273" s="0" t="n">
        <v>1</v>
      </c>
      <c r="S273" s="5" t="n">
        <v>505</v>
      </c>
      <c r="T273" s="0" t="s">
        <v>243</v>
      </c>
      <c r="U273" s="0" t="n">
        <v>1</v>
      </c>
      <c r="V273" s="0" t="s">
        <v>230</v>
      </c>
      <c r="W273" s="0" t="s">
        <v>244</v>
      </c>
      <c r="X273" s="0" t="s">
        <v>232</v>
      </c>
      <c r="Y273" s="0" t="s">
        <v>253</v>
      </c>
      <c r="Z273" s="0" t="s">
        <v>234</v>
      </c>
      <c r="AA273" s="0" t="s">
        <v>235</v>
      </c>
      <c r="AB273" s="32" t="n">
        <v>2400</v>
      </c>
      <c r="AC273" s="32" t="n">
        <v>2400</v>
      </c>
      <c r="AD273" s="26" t="n">
        <f aca="false">IFERROR(AB273/B273,"")</f>
        <v>4.75247524752475</v>
      </c>
      <c r="AE273" s="26" t="n">
        <f aca="false">IFERROR(AC273/B273,"")</f>
        <v>4.75247524752475</v>
      </c>
      <c r="AF273" s="0" t="s">
        <v>236</v>
      </c>
      <c r="AG273" s="0" t="s">
        <v>236</v>
      </c>
      <c r="AH273" s="0" t="s">
        <v>230</v>
      </c>
      <c r="AI273" s="0" t="s">
        <v>1492</v>
      </c>
      <c r="AJ273" s="0" t="s">
        <v>1493</v>
      </c>
      <c r="AK273" s="0" t="s">
        <v>1494</v>
      </c>
      <c r="AL273" s="0" t="s">
        <v>1495</v>
      </c>
      <c r="AM273" s="0" t="s">
        <v>94</v>
      </c>
      <c r="AN273" s="26" t="n">
        <f aca="false">IFERROR(E273*(1+IF(AM273="Apartment",Data_Summary!$C$3,0)),"")</f>
        <v>4.75247524752475</v>
      </c>
      <c r="AO273" s="4" t="n">
        <v>46195</v>
      </c>
    </row>
    <row r="274" customFormat="false" ht="15" hidden="false" customHeight="false" outlineLevel="0" collapsed="false">
      <c r="A274" s="0" t="n">
        <f aca="false">IF(AND(ISNUMBER(B274),B274&gt;0,ISNUMBER(AB274),AB274&gt;0,J274&gt;=Data_Summary!$C$1),1,0)</f>
        <v>1</v>
      </c>
      <c r="B274" s="33" t="n">
        <v>920</v>
      </c>
      <c r="C274" s="5" t="n">
        <f aca="false">IF(ISNUMBER(AB274),AB274,"")</f>
        <v>2980</v>
      </c>
      <c r="D274" s="0" t="n">
        <f aca="false">IF(ISNUMBER(C274),C274-U274*Data_Summary!$C$2,"")</f>
        <v>2980</v>
      </c>
      <c r="E274" s="34" t="n">
        <f aca="false">IFERROR(C274/B274,"")</f>
        <v>3.23913043478261</v>
      </c>
      <c r="F274" s="26" t="n">
        <f aca="false">IFERROR(D274/B274,"")</f>
        <v>3.23913043478261</v>
      </c>
      <c r="G274" s="0" t="str">
        <f aca="false">Q274</f>
        <v>2</v>
      </c>
      <c r="H274" s="0" t="str">
        <f aca="false">IFERROR(LEFT(G274,1),"")</f>
        <v>2</v>
      </c>
      <c r="I274" s="0" t="n">
        <f aca="false">IF(LEN(G274)&gt;1,1,0)</f>
        <v>0</v>
      </c>
      <c r="J274" s="4" t="n">
        <v>45805</v>
      </c>
      <c r="K274" s="0" t="s">
        <v>10</v>
      </c>
      <c r="L274" s="0" t="s">
        <v>91</v>
      </c>
      <c r="M274" s="0" t="s">
        <v>226</v>
      </c>
      <c r="N274" s="0" t="s">
        <v>93</v>
      </c>
      <c r="O274" s="0" t="s">
        <v>1496</v>
      </c>
      <c r="Q274" s="0" t="s">
        <v>251</v>
      </c>
      <c r="R274" s="0" t="n">
        <v>2</v>
      </c>
      <c r="S274" s="5" t="n">
        <v>920</v>
      </c>
      <c r="T274" s="0" t="s">
        <v>252</v>
      </c>
      <c r="U274" s="0" t="n">
        <v>0</v>
      </c>
      <c r="V274" s="0" t="s">
        <v>230</v>
      </c>
      <c r="W274" s="0" t="s">
        <v>244</v>
      </c>
      <c r="X274" s="0" t="s">
        <v>232</v>
      </c>
      <c r="Y274" s="0" t="s">
        <v>260</v>
      </c>
      <c r="Z274" s="0" t="s">
        <v>234</v>
      </c>
      <c r="AA274" s="0" t="s">
        <v>235</v>
      </c>
      <c r="AB274" s="32" t="n">
        <v>2980</v>
      </c>
      <c r="AC274" s="32" t="n">
        <v>2981</v>
      </c>
      <c r="AD274" s="26" t="n">
        <f aca="false">IFERROR(AB274/B274,"")</f>
        <v>3.23913043478261</v>
      </c>
      <c r="AE274" s="26" t="n">
        <f aca="false">IFERROR(AC274/B274,"")</f>
        <v>3.24021739130435</v>
      </c>
      <c r="AF274" s="0" t="s">
        <v>236</v>
      </c>
      <c r="AG274" s="0" t="s">
        <v>236</v>
      </c>
      <c r="AH274" s="0" t="s">
        <v>230</v>
      </c>
      <c r="AI274" s="0" t="s">
        <v>1497</v>
      </c>
      <c r="AJ274" s="0" t="s">
        <v>1498</v>
      </c>
      <c r="AK274" s="0" t="s">
        <v>1499</v>
      </c>
      <c r="AL274" s="0" t="s">
        <v>1500</v>
      </c>
      <c r="AM274" s="0" t="s">
        <v>94</v>
      </c>
      <c r="AN274" s="26" t="n">
        <f aca="false">IFERROR(E274*(1+IF(AM274="Apartment",Data_Summary!$C$3,0)),"")</f>
        <v>3.23913043478261</v>
      </c>
      <c r="AO274" s="4" t="n">
        <v>46195</v>
      </c>
    </row>
    <row r="275" customFormat="false" ht="15" hidden="false" customHeight="false" outlineLevel="0" collapsed="false">
      <c r="A275" s="0" t="n">
        <f aca="false">IF(AND(ISNUMBER(B275),B275&gt;0,ISNUMBER(AB275),AB275&gt;0,J275&gt;=Data_Summary!$C$1),1,0)</f>
        <v>1</v>
      </c>
      <c r="B275" s="33" t="n">
        <v>600</v>
      </c>
      <c r="C275" s="5" t="n">
        <f aca="false">IF(ISNUMBER(AB275),AB275,"")</f>
        <v>2350</v>
      </c>
      <c r="D275" s="0" t="n">
        <f aca="false">IF(ISNUMBER(C275),C275-U275*Data_Summary!$C$2,"")</f>
        <v>2350</v>
      </c>
      <c r="E275" s="34" t="n">
        <f aca="false">IFERROR(C275/B275,"")</f>
        <v>3.91666666666667</v>
      </c>
      <c r="F275" s="26" t="n">
        <f aca="false">IFERROR(D275/B275,"")</f>
        <v>3.91666666666667</v>
      </c>
      <c r="G275" s="0" t="str">
        <f aca="false">Q275</f>
        <v>1</v>
      </c>
      <c r="H275" s="0" t="str">
        <f aca="false">IFERROR(LEFT(G275,1),"")</f>
        <v>1</v>
      </c>
      <c r="I275" s="0" t="n">
        <f aca="false">IF(LEN(G275)&gt;1,1,0)</f>
        <v>0</v>
      </c>
      <c r="J275" s="4" t="n">
        <v>45805</v>
      </c>
      <c r="K275" s="0" t="s">
        <v>10</v>
      </c>
      <c r="L275" s="0" t="s">
        <v>91</v>
      </c>
      <c r="M275" s="0" t="s">
        <v>226</v>
      </c>
      <c r="N275" s="0" t="s">
        <v>93</v>
      </c>
      <c r="O275" s="0" t="s">
        <v>357</v>
      </c>
      <c r="Q275" s="0" t="s">
        <v>242</v>
      </c>
      <c r="R275" s="0" t="n">
        <v>1</v>
      </c>
      <c r="S275" s="5" t="n">
        <v>600</v>
      </c>
      <c r="T275" s="0" t="s">
        <v>243</v>
      </c>
      <c r="U275" s="0" t="n">
        <v>0</v>
      </c>
      <c r="V275" s="0" t="s">
        <v>230</v>
      </c>
      <c r="W275" s="0" t="s">
        <v>244</v>
      </c>
      <c r="X275" s="0" t="s">
        <v>232</v>
      </c>
      <c r="Y275" s="0" t="s">
        <v>278</v>
      </c>
      <c r="Z275" s="0" t="s">
        <v>234</v>
      </c>
      <c r="AA275" s="0" t="s">
        <v>235</v>
      </c>
      <c r="AB275" s="32" t="n">
        <v>2350</v>
      </c>
      <c r="AC275" s="32" t="n">
        <v>2225</v>
      </c>
      <c r="AD275" s="26" t="n">
        <f aca="false">IFERROR(AB275/B275,"")</f>
        <v>3.91666666666667</v>
      </c>
      <c r="AE275" s="26" t="n">
        <f aca="false">IFERROR(AC275/B275,"")</f>
        <v>3.70833333333333</v>
      </c>
      <c r="AF275" s="0" t="s">
        <v>236</v>
      </c>
      <c r="AG275" s="0" t="s">
        <v>236</v>
      </c>
      <c r="AH275" s="0" t="s">
        <v>230</v>
      </c>
      <c r="AI275" s="0" t="s">
        <v>1497</v>
      </c>
      <c r="AJ275" s="0" t="s">
        <v>1501</v>
      </c>
      <c r="AK275" s="0" t="s">
        <v>1502</v>
      </c>
      <c r="AL275" s="0" t="s">
        <v>1503</v>
      </c>
      <c r="AM275" s="0" t="s">
        <v>94</v>
      </c>
      <c r="AN275" s="26" t="n">
        <f aca="false">IFERROR(E275*(1+IF(AM275="Apartment",Data_Summary!$C$3,0)),"")</f>
        <v>3.91666666666667</v>
      </c>
      <c r="AO275" s="4" t="n">
        <v>46195</v>
      </c>
    </row>
    <row r="276" customFormat="false" ht="15" hidden="false" customHeight="false" outlineLevel="0" collapsed="false">
      <c r="A276" s="0" t="n">
        <f aca="false">IF(AND(ISNUMBER(B276),B276&gt;0,ISNUMBER(AB276),AB276&gt;0,J276&gt;=Data_Summary!$C$1),1,0)</f>
        <v>1</v>
      </c>
      <c r="B276" s="30" t="n">
        <v>770</v>
      </c>
      <c r="C276" s="5" t="n">
        <f aca="false">IF(ISNUMBER(AB276),AB276,"")</f>
        <v>2900</v>
      </c>
      <c r="D276" s="0" t="n">
        <f aca="false">IF(ISNUMBER(C276),C276-U276*Data_Summary!$C$2,"")</f>
        <v>2750</v>
      </c>
      <c r="E276" s="31" t="n">
        <f aca="false">IFERROR(C276/B276,"")</f>
        <v>3.76623376623377</v>
      </c>
      <c r="F276" s="26" t="n">
        <f aca="false">IFERROR(D276/B276,"")</f>
        <v>3.57142857142857</v>
      </c>
      <c r="G276" s="0" t="str">
        <f aca="false">Q276</f>
        <v>2</v>
      </c>
      <c r="H276" s="0" t="str">
        <f aca="false">IFERROR(LEFT(G276,1),"")</f>
        <v>2</v>
      </c>
      <c r="I276" s="0" t="n">
        <f aca="false">IF(LEN(G276)&gt;1,1,0)</f>
        <v>0</v>
      </c>
      <c r="J276" s="4" t="n">
        <v>45803</v>
      </c>
      <c r="K276" s="0" t="s">
        <v>10</v>
      </c>
      <c r="L276" s="0" t="s">
        <v>91</v>
      </c>
      <c r="M276" s="0" t="s">
        <v>226</v>
      </c>
      <c r="N276" s="0" t="s">
        <v>93</v>
      </c>
      <c r="O276" s="0" t="s">
        <v>1504</v>
      </c>
      <c r="Q276" s="0" t="s">
        <v>251</v>
      </c>
      <c r="R276" s="0" t="n">
        <v>2</v>
      </c>
      <c r="S276" s="5" t="n">
        <v>770</v>
      </c>
      <c r="T276" s="0" t="s">
        <v>252</v>
      </c>
      <c r="U276" s="0" t="n">
        <v>1</v>
      </c>
      <c r="V276" s="0" t="s">
        <v>230</v>
      </c>
      <c r="W276" s="0" t="s">
        <v>244</v>
      </c>
      <c r="X276" s="0" t="s">
        <v>232</v>
      </c>
      <c r="Y276" s="0" t="s">
        <v>233</v>
      </c>
      <c r="Z276" s="0" t="s">
        <v>234</v>
      </c>
      <c r="AA276" s="0" t="s">
        <v>235</v>
      </c>
      <c r="AB276" s="32" t="n">
        <v>2900</v>
      </c>
      <c r="AC276" s="32" t="n">
        <v>2932</v>
      </c>
      <c r="AD276" s="26" t="n">
        <f aca="false">IFERROR(AB276/B276,"")</f>
        <v>3.76623376623377</v>
      </c>
      <c r="AE276" s="26" t="n">
        <f aca="false">IFERROR(AC276/B276,"")</f>
        <v>3.80779220779221</v>
      </c>
      <c r="AF276" s="0" t="s">
        <v>236</v>
      </c>
      <c r="AG276" s="0" t="s">
        <v>236</v>
      </c>
      <c r="AH276" s="0" t="s">
        <v>230</v>
      </c>
      <c r="AI276" s="0" t="s">
        <v>1505</v>
      </c>
      <c r="AJ276" s="0" t="s">
        <v>1506</v>
      </c>
      <c r="AK276" s="0" t="s">
        <v>1507</v>
      </c>
      <c r="AL276" s="0" t="s">
        <v>1508</v>
      </c>
      <c r="AM276" s="0" t="s">
        <v>94</v>
      </c>
      <c r="AN276" s="26" t="n">
        <f aca="false">IFERROR(E276*(1+IF(AM276="Apartment",Data_Summary!$C$3,0)),"")</f>
        <v>3.76623376623377</v>
      </c>
      <c r="AO276" s="4" t="n">
        <v>46195</v>
      </c>
    </row>
    <row r="277" customFormat="false" ht="15" hidden="false" customHeight="false" outlineLevel="0" collapsed="false">
      <c r="A277" s="0" t="n">
        <f aca="false">IF(AND(ISNUMBER(B277),B277&gt;0,ISNUMBER(AB277),AB277&gt;0,J277&gt;=Data_Summary!$C$1),1,0)</f>
        <v>1</v>
      </c>
      <c r="B277" s="30" t="n">
        <v>505</v>
      </c>
      <c r="C277" s="5" t="n">
        <f aca="false">IF(ISNUMBER(AB277),AB277,"")</f>
        <v>2175</v>
      </c>
      <c r="D277" s="0" t="n">
        <f aca="false">IF(ISNUMBER(C277),C277-U277*Data_Summary!$C$2,"")</f>
        <v>2175</v>
      </c>
      <c r="E277" s="31" t="n">
        <f aca="false">IFERROR(C277/B277,"")</f>
        <v>4.30693069306931</v>
      </c>
      <c r="F277" s="26" t="n">
        <f aca="false">IFERROR(D277/B277,"")</f>
        <v>4.30693069306931</v>
      </c>
      <c r="G277" s="0" t="str">
        <f aca="false">Q277</f>
        <v>1</v>
      </c>
      <c r="H277" s="0" t="str">
        <f aca="false">IFERROR(LEFT(G277,1),"")</f>
        <v>1</v>
      </c>
      <c r="I277" s="0" t="n">
        <f aca="false">IF(LEN(G277)&gt;1,1,0)</f>
        <v>0</v>
      </c>
      <c r="J277" s="4" t="n">
        <v>45803</v>
      </c>
      <c r="K277" s="0" t="s">
        <v>10</v>
      </c>
      <c r="L277" s="0" t="s">
        <v>91</v>
      </c>
      <c r="M277" s="0" t="s">
        <v>226</v>
      </c>
      <c r="N277" s="0" t="s">
        <v>93</v>
      </c>
      <c r="O277" s="0" t="s">
        <v>1509</v>
      </c>
      <c r="Q277" s="0" t="s">
        <v>242</v>
      </c>
      <c r="R277" s="0" t="n">
        <v>1</v>
      </c>
      <c r="S277" s="5" t="n">
        <v>505</v>
      </c>
      <c r="T277" s="0" t="s">
        <v>243</v>
      </c>
      <c r="U277" s="0" t="n">
        <v>0</v>
      </c>
      <c r="V277" s="0" t="s">
        <v>230</v>
      </c>
      <c r="W277" s="0" t="s">
        <v>244</v>
      </c>
      <c r="X277" s="0" t="s">
        <v>232</v>
      </c>
      <c r="Y277" s="0" t="s">
        <v>253</v>
      </c>
      <c r="Z277" s="0" t="s">
        <v>234</v>
      </c>
      <c r="AA277" s="0" t="s">
        <v>235</v>
      </c>
      <c r="AB277" s="32" t="n">
        <v>2175</v>
      </c>
      <c r="AC277" s="32" t="n">
        <v>2150</v>
      </c>
      <c r="AD277" s="26" t="n">
        <f aca="false">IFERROR(AB277/B277,"")</f>
        <v>4.30693069306931</v>
      </c>
      <c r="AE277" s="26" t="n">
        <f aca="false">IFERROR(AC277/B277,"")</f>
        <v>4.25742574257426</v>
      </c>
      <c r="AF277" s="0" t="s">
        <v>236</v>
      </c>
      <c r="AG277" s="0" t="s">
        <v>236</v>
      </c>
      <c r="AH277" s="0" t="s">
        <v>230</v>
      </c>
      <c r="AI277" s="0" t="s">
        <v>1505</v>
      </c>
      <c r="AJ277" s="0" t="s">
        <v>1510</v>
      </c>
      <c r="AK277" s="0" t="s">
        <v>1511</v>
      </c>
      <c r="AL277" s="0" t="s">
        <v>1512</v>
      </c>
      <c r="AM277" s="0" t="s">
        <v>94</v>
      </c>
      <c r="AN277" s="26" t="n">
        <f aca="false">IFERROR(E277*(1+IF(AM277="Apartment",Data_Summary!$C$3,0)),"")</f>
        <v>4.30693069306931</v>
      </c>
      <c r="AO277" s="4" t="n">
        <v>46195</v>
      </c>
    </row>
    <row r="278" customFormat="false" ht="15" hidden="false" customHeight="false" outlineLevel="0" collapsed="false">
      <c r="A278" s="0" t="n">
        <f aca="false">IF(AND(ISNUMBER(B278),B278&gt;0,ISNUMBER(AB278),AB278&gt;0,J278&gt;=Data_Summary!$C$1),1,0)</f>
        <v>1</v>
      </c>
      <c r="B278" s="33" t="n">
        <v>530</v>
      </c>
      <c r="C278" s="5" t="n">
        <f aca="false">IF(ISNUMBER(AB278),AB278,"")</f>
        <v>2250</v>
      </c>
      <c r="D278" s="0" t="n">
        <f aca="false">IF(ISNUMBER(C278),C278-U278*Data_Summary!$C$2,"")</f>
        <v>2250</v>
      </c>
      <c r="E278" s="34" t="n">
        <f aca="false">IFERROR(C278/B278,"")</f>
        <v>4.24528301886793</v>
      </c>
      <c r="F278" s="26" t="n">
        <f aca="false">IFERROR(D278/B278,"")</f>
        <v>4.24528301886793</v>
      </c>
      <c r="G278" s="0" t="str">
        <f aca="false">Q278</f>
        <v>1</v>
      </c>
      <c r="H278" s="0" t="str">
        <f aca="false">IFERROR(LEFT(G278,1),"")</f>
        <v>1</v>
      </c>
      <c r="I278" s="0" t="n">
        <f aca="false">IF(LEN(G278)&gt;1,1,0)</f>
        <v>0</v>
      </c>
      <c r="J278" s="4" t="n">
        <v>45803</v>
      </c>
      <c r="K278" s="0" t="s">
        <v>10</v>
      </c>
      <c r="L278" s="0" t="s">
        <v>91</v>
      </c>
      <c r="M278" s="0" t="s">
        <v>226</v>
      </c>
      <c r="N278" s="0" t="s">
        <v>93</v>
      </c>
      <c r="O278" s="0" t="s">
        <v>1513</v>
      </c>
      <c r="Q278" s="0" t="s">
        <v>242</v>
      </c>
      <c r="R278" s="0" t="n">
        <v>1</v>
      </c>
      <c r="S278" s="5" t="n">
        <v>530</v>
      </c>
      <c r="T278" s="0" t="s">
        <v>271</v>
      </c>
      <c r="U278" s="0" t="n">
        <v>0</v>
      </c>
      <c r="V278" s="0" t="s">
        <v>230</v>
      </c>
      <c r="W278" s="0" t="s">
        <v>231</v>
      </c>
      <c r="X278" s="0" t="s">
        <v>232</v>
      </c>
      <c r="Y278" s="0" t="s">
        <v>272</v>
      </c>
      <c r="Z278" s="0" t="s">
        <v>234</v>
      </c>
      <c r="AA278" s="0" t="s">
        <v>235</v>
      </c>
      <c r="AB278" s="32" t="n">
        <v>2250</v>
      </c>
      <c r="AC278" s="32" t="n">
        <v>2250</v>
      </c>
      <c r="AD278" s="26" t="n">
        <f aca="false">IFERROR(AB278/B278,"")</f>
        <v>4.24528301886793</v>
      </c>
      <c r="AE278" s="26" t="n">
        <f aca="false">IFERROR(AC278/B278,"")</f>
        <v>4.24528301886793</v>
      </c>
      <c r="AF278" s="0" t="s">
        <v>236</v>
      </c>
      <c r="AG278" s="0" t="s">
        <v>236</v>
      </c>
      <c r="AH278" s="0" t="s">
        <v>230</v>
      </c>
      <c r="AI278" s="0" t="s">
        <v>1505</v>
      </c>
      <c r="AJ278" s="0" t="s">
        <v>1514</v>
      </c>
      <c r="AK278" s="0" t="s">
        <v>1515</v>
      </c>
      <c r="AL278" s="0" t="s">
        <v>1516</v>
      </c>
      <c r="AM278" s="0" t="s">
        <v>94</v>
      </c>
      <c r="AN278" s="26" t="n">
        <f aca="false">IFERROR(E278*(1+IF(AM278="Apartment",Data_Summary!$C$3,0)),"")</f>
        <v>4.24528301886793</v>
      </c>
      <c r="AO278" s="4" t="n">
        <v>46195</v>
      </c>
    </row>
    <row r="279" customFormat="false" ht="15" hidden="false" customHeight="false" outlineLevel="0" collapsed="false">
      <c r="A279" s="0" t="n">
        <f aca="false">IF(AND(ISNUMBER(B279),B279&gt;0,ISNUMBER(AB279),AB279&gt;0,J279&gt;=Data_Summary!$C$1),1,0)</f>
        <v>1</v>
      </c>
      <c r="B279" s="30" t="n">
        <v>545</v>
      </c>
      <c r="C279" s="5" t="n">
        <f aca="false">IF(ISNUMBER(AB279),AB279,"")</f>
        <v>2200</v>
      </c>
      <c r="D279" s="0" t="n">
        <f aca="false">IF(ISNUMBER(C279),C279-U279*Data_Summary!$C$2,"")</f>
        <v>2200</v>
      </c>
      <c r="E279" s="31" t="n">
        <f aca="false">IFERROR(C279/B279,"")</f>
        <v>4.03669724770642</v>
      </c>
      <c r="F279" s="26" t="n">
        <f aca="false">IFERROR(D279/B279,"")</f>
        <v>4.03669724770642</v>
      </c>
      <c r="G279" s="0" t="str">
        <f aca="false">Q279</f>
        <v>1</v>
      </c>
      <c r="H279" s="0" t="str">
        <f aca="false">IFERROR(LEFT(G279,1),"")</f>
        <v>1</v>
      </c>
      <c r="I279" s="0" t="n">
        <f aca="false">IF(LEN(G279)&gt;1,1,0)</f>
        <v>0</v>
      </c>
      <c r="J279" s="4" t="n">
        <v>45803</v>
      </c>
      <c r="K279" s="0" t="s">
        <v>10</v>
      </c>
      <c r="L279" s="0" t="s">
        <v>91</v>
      </c>
      <c r="M279" s="0" t="s">
        <v>226</v>
      </c>
      <c r="N279" s="0" t="s">
        <v>93</v>
      </c>
      <c r="O279" s="0" t="s">
        <v>1517</v>
      </c>
      <c r="Q279" s="0" t="s">
        <v>242</v>
      </c>
      <c r="R279" s="0" t="n">
        <v>1</v>
      </c>
      <c r="S279" s="5" t="n">
        <v>545</v>
      </c>
      <c r="T279" s="0" t="s">
        <v>243</v>
      </c>
      <c r="U279" s="0" t="n">
        <v>0</v>
      </c>
      <c r="V279" s="0" t="s">
        <v>230</v>
      </c>
      <c r="W279" s="0" t="s">
        <v>244</v>
      </c>
      <c r="X279" s="0" t="s">
        <v>232</v>
      </c>
      <c r="Y279" s="0" t="s">
        <v>278</v>
      </c>
      <c r="Z279" s="0" t="s">
        <v>234</v>
      </c>
      <c r="AA279" s="0" t="s">
        <v>235</v>
      </c>
      <c r="AB279" s="32" t="n">
        <v>2200</v>
      </c>
      <c r="AC279" s="32" t="n">
        <v>2200</v>
      </c>
      <c r="AD279" s="26" t="n">
        <f aca="false">IFERROR(AB279/B279,"")</f>
        <v>4.03669724770642</v>
      </c>
      <c r="AE279" s="26" t="n">
        <f aca="false">IFERROR(AC279/B279,"")</f>
        <v>4.03669724770642</v>
      </c>
      <c r="AF279" s="0" t="s">
        <v>236</v>
      </c>
      <c r="AG279" s="0" t="s">
        <v>236</v>
      </c>
      <c r="AH279" s="0" t="s">
        <v>230</v>
      </c>
      <c r="AI279" s="0" t="s">
        <v>1505</v>
      </c>
      <c r="AJ279" s="0" t="s">
        <v>1518</v>
      </c>
      <c r="AK279" s="0" t="s">
        <v>1519</v>
      </c>
      <c r="AL279" s="0" t="s">
        <v>1520</v>
      </c>
      <c r="AM279" s="0" t="s">
        <v>94</v>
      </c>
      <c r="AN279" s="26" t="n">
        <f aca="false">IFERROR(E279*(1+IF(AM279="Apartment",Data_Summary!$C$3,0)),"")</f>
        <v>4.03669724770642</v>
      </c>
      <c r="AO279" s="4" t="n">
        <v>46195</v>
      </c>
    </row>
    <row r="280" customFormat="false" ht="15" hidden="false" customHeight="false" outlineLevel="0" collapsed="false">
      <c r="A280" s="0" t="n">
        <f aca="false">IF(AND(ISNUMBER(B280),B280&gt;0,ISNUMBER(AB280),AB280&gt;0,J280&gt;=Data_Summary!$C$1),1,0)</f>
        <v>1</v>
      </c>
      <c r="B280" s="33" t="n">
        <v>650</v>
      </c>
      <c r="C280" s="5" t="n">
        <f aca="false">IF(ISNUMBER(AB280),AB280,"")</f>
        <v>2380</v>
      </c>
      <c r="D280" s="0" t="n">
        <f aca="false">IF(ISNUMBER(C280),C280-U280*Data_Summary!$C$2,"")</f>
        <v>2380</v>
      </c>
      <c r="E280" s="34" t="n">
        <f aca="false">IFERROR(C280/B280,"")</f>
        <v>3.66153846153846</v>
      </c>
      <c r="F280" s="26" t="n">
        <f aca="false">IFERROR(D280/B280,"")</f>
        <v>3.66153846153846</v>
      </c>
      <c r="G280" s="0" t="str">
        <f aca="false">Q280</f>
        <v>1+1</v>
      </c>
      <c r="H280" s="0" t="str">
        <f aca="false">IFERROR(LEFT(G280,1),"")</f>
        <v>1</v>
      </c>
      <c r="I280" s="0" t="n">
        <f aca="false">IF(LEN(G280)&gt;1,1,0)</f>
        <v>1</v>
      </c>
      <c r="J280" s="4" t="n">
        <v>45802</v>
      </c>
      <c r="K280" s="0" t="s">
        <v>10</v>
      </c>
      <c r="L280" s="0" t="s">
        <v>91</v>
      </c>
      <c r="M280" s="0" t="s">
        <v>226</v>
      </c>
      <c r="N280" s="0" t="s">
        <v>93</v>
      </c>
      <c r="O280" s="0" t="s">
        <v>1521</v>
      </c>
      <c r="Q280" s="0" t="s">
        <v>270</v>
      </c>
      <c r="R280" s="0" t="n">
        <v>1</v>
      </c>
      <c r="S280" s="5" t="n">
        <v>650</v>
      </c>
      <c r="T280" s="0" t="s">
        <v>243</v>
      </c>
      <c r="U280" s="0" t="n">
        <v>0</v>
      </c>
      <c r="V280" s="0" t="s">
        <v>230</v>
      </c>
      <c r="W280" s="0" t="s">
        <v>244</v>
      </c>
      <c r="X280" s="0" t="s">
        <v>232</v>
      </c>
      <c r="Y280" s="0" t="s">
        <v>278</v>
      </c>
      <c r="Z280" s="0" t="s">
        <v>234</v>
      </c>
      <c r="AA280" s="0" t="s">
        <v>235</v>
      </c>
      <c r="AB280" s="32" t="n">
        <v>2380</v>
      </c>
      <c r="AC280" s="32" t="n">
        <v>2380</v>
      </c>
      <c r="AD280" s="26" t="n">
        <f aca="false">IFERROR(AB280/B280,"")</f>
        <v>3.66153846153846</v>
      </c>
      <c r="AE280" s="26" t="n">
        <f aca="false">IFERROR(AC280/B280,"")</f>
        <v>3.66153846153846</v>
      </c>
      <c r="AF280" s="0" t="s">
        <v>236</v>
      </c>
      <c r="AG280" s="0" t="s">
        <v>236</v>
      </c>
      <c r="AH280" s="0" t="s">
        <v>230</v>
      </c>
      <c r="AI280" s="0" t="s">
        <v>1522</v>
      </c>
      <c r="AJ280" s="0" t="s">
        <v>1523</v>
      </c>
      <c r="AK280" s="0" t="s">
        <v>1524</v>
      </c>
      <c r="AL280" s="0" t="s">
        <v>1525</v>
      </c>
      <c r="AM280" s="0" t="s">
        <v>94</v>
      </c>
      <c r="AN280" s="26" t="n">
        <f aca="false">IFERROR(E280*(1+IF(AM280="Apartment",Data_Summary!$C$3,0)),"")</f>
        <v>3.66153846153846</v>
      </c>
      <c r="AO280" s="4" t="n">
        <v>46195</v>
      </c>
    </row>
    <row r="281" customFormat="false" ht="15" hidden="false" customHeight="false" outlineLevel="0" collapsed="false">
      <c r="A281" s="0" t="n">
        <f aca="false">IF(AND(ISNUMBER(B281),B281&gt;0,ISNUMBER(AB281),AB281&gt;0,J281&gt;=Data_Summary!$C$1),1,0)</f>
        <v>1</v>
      </c>
      <c r="B281" s="30" t="n">
        <v>560</v>
      </c>
      <c r="C281" s="5" t="n">
        <f aca="false">IF(ISNUMBER(AB281),AB281,"")</f>
        <v>2250</v>
      </c>
      <c r="D281" s="0" t="n">
        <f aca="false">IF(ISNUMBER(C281),C281-U281*Data_Summary!$C$2,"")</f>
        <v>2250</v>
      </c>
      <c r="E281" s="31" t="n">
        <f aca="false">IFERROR(C281/B281,"")</f>
        <v>4.01785714285714</v>
      </c>
      <c r="F281" s="26" t="n">
        <f aca="false">IFERROR(D281/B281,"")</f>
        <v>4.01785714285714</v>
      </c>
      <c r="G281" s="0" t="str">
        <f aca="false">Q281</f>
        <v>1+1</v>
      </c>
      <c r="H281" s="0" t="str">
        <f aca="false">IFERROR(LEFT(G281,1),"")</f>
        <v>1</v>
      </c>
      <c r="I281" s="0" t="n">
        <f aca="false">IF(LEN(G281)&gt;1,1,0)</f>
        <v>1</v>
      </c>
      <c r="J281" s="4" t="n">
        <v>45801</v>
      </c>
      <c r="K281" s="0" t="s">
        <v>10</v>
      </c>
      <c r="L281" s="0" t="s">
        <v>91</v>
      </c>
      <c r="M281" s="0" t="s">
        <v>226</v>
      </c>
      <c r="N281" s="0" t="s">
        <v>93</v>
      </c>
      <c r="O281" s="0" t="s">
        <v>1526</v>
      </c>
      <c r="Q281" s="0" t="s">
        <v>270</v>
      </c>
      <c r="R281" s="0" t="n">
        <v>1</v>
      </c>
      <c r="S281" s="5" t="n">
        <v>560</v>
      </c>
      <c r="T281" s="0" t="s">
        <v>243</v>
      </c>
      <c r="U281" s="0" t="n">
        <v>0</v>
      </c>
      <c r="V281" s="0" t="s">
        <v>230</v>
      </c>
      <c r="W281" s="0" t="s">
        <v>244</v>
      </c>
      <c r="X281" s="0" t="s">
        <v>232</v>
      </c>
      <c r="Y281" s="0" t="s">
        <v>272</v>
      </c>
      <c r="Z281" s="0" t="s">
        <v>234</v>
      </c>
      <c r="AA281" s="0" t="s">
        <v>235</v>
      </c>
      <c r="AB281" s="32" t="n">
        <v>2250</v>
      </c>
      <c r="AC281" s="32" t="n">
        <v>2250</v>
      </c>
      <c r="AD281" s="26" t="n">
        <f aca="false">IFERROR(AB281/B281,"")</f>
        <v>4.01785714285714</v>
      </c>
      <c r="AE281" s="26" t="n">
        <f aca="false">IFERROR(AC281/B281,"")</f>
        <v>4.01785714285714</v>
      </c>
      <c r="AF281" s="0" t="s">
        <v>236</v>
      </c>
      <c r="AG281" s="0" t="s">
        <v>236</v>
      </c>
      <c r="AH281" s="0" t="s">
        <v>230</v>
      </c>
      <c r="AI281" s="0" t="s">
        <v>1527</v>
      </c>
      <c r="AJ281" s="0" t="s">
        <v>1528</v>
      </c>
      <c r="AK281" s="0" t="s">
        <v>1529</v>
      </c>
      <c r="AL281" s="0" t="s">
        <v>1530</v>
      </c>
      <c r="AM281" s="0" t="s">
        <v>94</v>
      </c>
      <c r="AN281" s="26" t="n">
        <f aca="false">IFERROR(E281*(1+IF(AM281="Apartment",Data_Summary!$C$3,0)),"")</f>
        <v>4.01785714285714</v>
      </c>
      <c r="AO281" s="4" t="n">
        <v>46195</v>
      </c>
    </row>
    <row r="282" customFormat="false" ht="15" hidden="false" customHeight="false" outlineLevel="0" collapsed="false">
      <c r="A282" s="0" t="n">
        <f aca="false">IF(AND(ISNUMBER(B282),B282&gt;0,ISNUMBER(AB282),AB282&gt;0,J282&gt;=Data_Summary!$C$1),1,0)</f>
        <v>1</v>
      </c>
      <c r="B282" s="30" t="n">
        <v>650</v>
      </c>
      <c r="C282" s="5" t="n">
        <f aca="false">IF(ISNUMBER(AB282),AB282,"")</f>
        <v>2600</v>
      </c>
      <c r="D282" s="0" t="n">
        <f aca="false">IF(ISNUMBER(C282),C282-U282*Data_Summary!$C$2,"")</f>
        <v>2600</v>
      </c>
      <c r="E282" s="31" t="n">
        <f aca="false">IFERROR(C282/B282,"")</f>
        <v>4</v>
      </c>
      <c r="F282" s="26" t="n">
        <f aca="false">IFERROR(D282/B282,"")</f>
        <v>4</v>
      </c>
      <c r="G282" s="0" t="str">
        <f aca="false">Q282</f>
        <v>1+1</v>
      </c>
      <c r="H282" s="0" t="str">
        <f aca="false">IFERROR(LEFT(G282,1),"")</f>
        <v>1</v>
      </c>
      <c r="I282" s="0" t="n">
        <f aca="false">IF(LEN(G282)&gt;1,1,0)</f>
        <v>1</v>
      </c>
      <c r="J282" s="4" t="n">
        <v>45800</v>
      </c>
      <c r="K282" s="0" t="s">
        <v>10</v>
      </c>
      <c r="L282" s="0" t="s">
        <v>91</v>
      </c>
      <c r="M282" s="0" t="s">
        <v>226</v>
      </c>
      <c r="N282" s="0" t="s">
        <v>93</v>
      </c>
      <c r="O282" s="0" t="s">
        <v>269</v>
      </c>
      <c r="Q282" s="0" t="s">
        <v>270</v>
      </c>
      <c r="R282" s="0" t="n">
        <v>1</v>
      </c>
      <c r="S282" s="5" t="n">
        <v>650</v>
      </c>
      <c r="T282" s="0" t="s">
        <v>271</v>
      </c>
      <c r="U282" s="0" t="n">
        <v>0</v>
      </c>
      <c r="V282" s="0" t="s">
        <v>230</v>
      </c>
      <c r="W282" s="0" t="s">
        <v>231</v>
      </c>
      <c r="X282" s="0" t="s">
        <v>232</v>
      </c>
      <c r="Y282" s="0" t="s">
        <v>278</v>
      </c>
      <c r="Z282" s="0" t="s">
        <v>234</v>
      </c>
      <c r="AA282" s="0" t="s">
        <v>235</v>
      </c>
      <c r="AB282" s="32" t="n">
        <v>2600</v>
      </c>
      <c r="AC282" s="32" t="n">
        <v>2600</v>
      </c>
      <c r="AD282" s="26" t="n">
        <f aca="false">IFERROR(AB282/B282,"")</f>
        <v>4</v>
      </c>
      <c r="AE282" s="26" t="n">
        <f aca="false">IFERROR(AC282/B282,"")</f>
        <v>4</v>
      </c>
      <c r="AF282" s="0" t="s">
        <v>236</v>
      </c>
      <c r="AG282" s="0" t="s">
        <v>236</v>
      </c>
      <c r="AH282" s="0" t="s">
        <v>230</v>
      </c>
      <c r="AI282" s="0" t="s">
        <v>1531</v>
      </c>
      <c r="AJ282" s="0" t="s">
        <v>1532</v>
      </c>
      <c r="AK282" s="0" t="s">
        <v>1533</v>
      </c>
      <c r="AL282" s="0" t="s">
        <v>1534</v>
      </c>
      <c r="AM282" s="0" t="s">
        <v>94</v>
      </c>
      <c r="AN282" s="26" t="n">
        <f aca="false">IFERROR(E282*(1+IF(AM282="Apartment",Data_Summary!$C$3,0)),"")</f>
        <v>4</v>
      </c>
      <c r="AO282" s="4" t="n">
        <v>46195</v>
      </c>
    </row>
    <row r="283" customFormat="false" ht="15" hidden="false" customHeight="false" outlineLevel="0" collapsed="false">
      <c r="A283" s="0" t="n">
        <f aca="false">IF(AND(ISNUMBER(B283),B283&gt;0,ISNUMBER(AB283),AB283&gt;0,J283&gt;=Data_Summary!$C$1),1,0)</f>
        <v>1</v>
      </c>
      <c r="B283" s="30" t="n">
        <v>492</v>
      </c>
      <c r="C283" s="5" t="n">
        <f aca="false">IF(ISNUMBER(AB283),AB283,"")</f>
        <v>2100</v>
      </c>
      <c r="D283" s="0" t="n">
        <f aca="false">IF(ISNUMBER(C283),C283-U283*Data_Summary!$C$2,"")</f>
        <v>2100</v>
      </c>
      <c r="E283" s="31" t="n">
        <f aca="false">IFERROR(C283/B283,"")</f>
        <v>4.26829268292683</v>
      </c>
      <c r="F283" s="26" t="n">
        <f aca="false">IFERROR(D283/B283,"")</f>
        <v>4.26829268292683</v>
      </c>
      <c r="G283" s="0" t="str">
        <f aca="false">Q283</f>
        <v>1</v>
      </c>
      <c r="H283" s="0" t="str">
        <f aca="false">IFERROR(LEFT(G283,1),"")</f>
        <v>1</v>
      </c>
      <c r="I283" s="0" t="n">
        <f aca="false">IF(LEN(G283)&gt;1,1,0)</f>
        <v>0</v>
      </c>
      <c r="J283" s="4" t="n">
        <v>45799</v>
      </c>
      <c r="K283" s="0" t="s">
        <v>10</v>
      </c>
      <c r="L283" s="0" t="s">
        <v>91</v>
      </c>
      <c r="M283" s="0" t="s">
        <v>226</v>
      </c>
      <c r="N283" s="0" t="s">
        <v>93</v>
      </c>
      <c r="O283" s="0" t="s">
        <v>1535</v>
      </c>
      <c r="Q283" s="0" t="s">
        <v>242</v>
      </c>
      <c r="R283" s="0" t="n">
        <v>1</v>
      </c>
      <c r="S283" s="5" t="n">
        <v>492</v>
      </c>
      <c r="T283" s="0" t="s">
        <v>303</v>
      </c>
      <c r="U283" s="0" t="n">
        <v>0</v>
      </c>
      <c r="V283" s="0" t="s">
        <v>230</v>
      </c>
      <c r="W283" s="0" t="s">
        <v>244</v>
      </c>
      <c r="X283" s="0" t="s">
        <v>232</v>
      </c>
      <c r="Y283" s="0" t="s">
        <v>308</v>
      </c>
      <c r="Z283" s="0" t="s">
        <v>234</v>
      </c>
      <c r="AA283" s="0" t="s">
        <v>235</v>
      </c>
      <c r="AB283" s="32" t="n">
        <v>2100</v>
      </c>
      <c r="AC283" s="32" t="n">
        <v>2200</v>
      </c>
      <c r="AD283" s="26" t="n">
        <f aca="false">IFERROR(AB283/B283,"")</f>
        <v>4.26829268292683</v>
      </c>
      <c r="AE283" s="26" t="n">
        <f aca="false">IFERROR(AC283/B283,"")</f>
        <v>4.47154471544716</v>
      </c>
      <c r="AF283" s="0" t="s">
        <v>236</v>
      </c>
      <c r="AG283" s="0" t="s">
        <v>236</v>
      </c>
      <c r="AH283" s="0" t="s">
        <v>230</v>
      </c>
      <c r="AI283" s="0" t="s">
        <v>1536</v>
      </c>
      <c r="AJ283" s="0" t="s">
        <v>1537</v>
      </c>
      <c r="AK283" s="0" t="s">
        <v>1538</v>
      </c>
      <c r="AL283" s="0" t="s">
        <v>1539</v>
      </c>
      <c r="AM283" s="0" t="s">
        <v>94</v>
      </c>
      <c r="AN283" s="26" t="n">
        <f aca="false">IFERROR(E283*(1+IF(AM283="Apartment",Data_Summary!$C$3,0)),"")</f>
        <v>4.26829268292683</v>
      </c>
      <c r="AO283" s="4" t="n">
        <v>46195</v>
      </c>
    </row>
    <row r="284" customFormat="false" ht="15" hidden="false" customHeight="false" outlineLevel="0" collapsed="false">
      <c r="A284" s="0" t="n">
        <f aca="false">IF(AND(ISNUMBER(B284),B284&gt;0,ISNUMBER(AB284),AB284&gt;0,J284&gt;=Data_Summary!$C$1),1,0)</f>
        <v>1</v>
      </c>
      <c r="B284" s="30" t="n">
        <v>1122</v>
      </c>
      <c r="C284" s="5" t="n">
        <f aca="false">IF(ISNUMBER(AB284),AB284,"")</f>
        <v>4500</v>
      </c>
      <c r="D284" s="0" t="n">
        <f aca="false">IF(ISNUMBER(C284),C284-U284*Data_Summary!$C$2,"")</f>
        <v>4350</v>
      </c>
      <c r="E284" s="31" t="n">
        <f aca="false">IFERROR(C284/B284,"")</f>
        <v>4.01069518716578</v>
      </c>
      <c r="F284" s="26" t="n">
        <f aca="false">IFERROR(D284/B284,"")</f>
        <v>3.87700534759358</v>
      </c>
      <c r="G284" s="0" t="str">
        <f aca="false">Q284</f>
        <v>3</v>
      </c>
      <c r="H284" s="0" t="str">
        <f aca="false">IFERROR(LEFT(G284,1),"")</f>
        <v>3</v>
      </c>
      <c r="I284" s="0" t="n">
        <f aca="false">IF(LEN(G284)&gt;1,1,0)</f>
        <v>0</v>
      </c>
      <c r="J284" s="4" t="n">
        <v>45799</v>
      </c>
      <c r="K284" s="0" t="s">
        <v>10</v>
      </c>
      <c r="L284" s="0" t="s">
        <v>91</v>
      </c>
      <c r="M284" s="0" t="s">
        <v>226</v>
      </c>
      <c r="N284" s="0" t="s">
        <v>93</v>
      </c>
      <c r="O284" s="0" t="s">
        <v>1540</v>
      </c>
      <c r="Q284" s="0" t="s">
        <v>228</v>
      </c>
      <c r="R284" s="0" t="n">
        <v>3</v>
      </c>
      <c r="S284" s="5" t="n">
        <v>1122</v>
      </c>
      <c r="T284" s="0" t="s">
        <v>265</v>
      </c>
      <c r="U284" s="0" t="n">
        <v>1</v>
      </c>
      <c r="V284" s="0" t="s">
        <v>230</v>
      </c>
      <c r="W284" s="0" t="s">
        <v>231</v>
      </c>
      <c r="X284" s="0" t="s">
        <v>232</v>
      </c>
      <c r="Y284" s="0" t="s">
        <v>260</v>
      </c>
      <c r="Z284" s="0" t="s">
        <v>234</v>
      </c>
      <c r="AA284" s="0" t="s">
        <v>235</v>
      </c>
      <c r="AB284" s="32" t="n">
        <v>4500</v>
      </c>
      <c r="AC284" s="32" t="n">
        <v>4500</v>
      </c>
      <c r="AD284" s="26" t="n">
        <f aca="false">IFERROR(AB284/B284,"")</f>
        <v>4.01069518716578</v>
      </c>
      <c r="AE284" s="26" t="n">
        <f aca="false">IFERROR(AC284/B284,"")</f>
        <v>4.01069518716578</v>
      </c>
      <c r="AF284" s="0" t="s">
        <v>236</v>
      </c>
      <c r="AG284" s="0" t="s">
        <v>236</v>
      </c>
      <c r="AH284" s="0" t="s">
        <v>230</v>
      </c>
      <c r="AI284" s="0" t="s">
        <v>1536</v>
      </c>
      <c r="AJ284" s="0" t="s">
        <v>1541</v>
      </c>
      <c r="AK284" s="0" t="s">
        <v>1542</v>
      </c>
      <c r="AL284" s="0" t="s">
        <v>1543</v>
      </c>
      <c r="AM284" s="0" t="s">
        <v>94</v>
      </c>
      <c r="AN284" s="26" t="n">
        <f aca="false">IFERROR(E284*(1+IF(AM284="Apartment",Data_Summary!$C$3,0)),"")</f>
        <v>4.01069518716578</v>
      </c>
      <c r="AO284" s="4" t="n">
        <v>46195</v>
      </c>
    </row>
    <row r="285" customFormat="false" ht="15" hidden="false" customHeight="false" outlineLevel="0" collapsed="false">
      <c r="A285" s="0" t="n">
        <f aca="false">IF(AND(ISNUMBER(B285),B285&gt;0,ISNUMBER(AB285),AB285&gt;0,J285&gt;=Data_Summary!$C$1),1,0)</f>
        <v>1</v>
      </c>
      <c r="B285" s="33" t="n">
        <v>535</v>
      </c>
      <c r="C285" s="5" t="n">
        <f aca="false">IF(ISNUMBER(AB285),AB285,"")</f>
        <v>2500</v>
      </c>
      <c r="D285" s="0" t="n">
        <f aca="false">IF(ISNUMBER(C285),C285-U285*Data_Summary!$C$2,"")</f>
        <v>2500</v>
      </c>
      <c r="E285" s="34" t="n">
        <f aca="false">IFERROR(C285/B285,"")</f>
        <v>4.67289719626168</v>
      </c>
      <c r="F285" s="26" t="n">
        <f aca="false">IFERROR(D285/B285,"")</f>
        <v>4.67289719626168</v>
      </c>
      <c r="G285" s="0" t="str">
        <f aca="false">Q285</f>
        <v>1+1</v>
      </c>
      <c r="H285" s="0" t="str">
        <f aca="false">IFERROR(LEFT(G285,1),"")</f>
        <v>1</v>
      </c>
      <c r="I285" s="0" t="n">
        <f aca="false">IF(LEN(G285)&gt;1,1,0)</f>
        <v>1</v>
      </c>
      <c r="J285" s="4" t="n">
        <v>45794</v>
      </c>
      <c r="K285" s="0" t="s">
        <v>10</v>
      </c>
      <c r="L285" s="0" t="s">
        <v>91</v>
      </c>
      <c r="M285" s="0" t="s">
        <v>226</v>
      </c>
      <c r="N285" s="0" t="s">
        <v>93</v>
      </c>
      <c r="O285" s="0" t="s">
        <v>1544</v>
      </c>
      <c r="Q285" s="0" t="s">
        <v>270</v>
      </c>
      <c r="R285" s="0" t="n">
        <v>2</v>
      </c>
      <c r="S285" s="5" t="n">
        <v>535</v>
      </c>
      <c r="T285" s="0" t="s">
        <v>271</v>
      </c>
      <c r="U285" s="0" t="n">
        <v>0</v>
      </c>
      <c r="V285" s="0" t="s">
        <v>230</v>
      </c>
      <c r="W285" s="0" t="s">
        <v>244</v>
      </c>
      <c r="X285" s="0" t="s">
        <v>232</v>
      </c>
      <c r="Y285" s="0" t="s">
        <v>278</v>
      </c>
      <c r="Z285" s="0" t="s">
        <v>234</v>
      </c>
      <c r="AA285" s="0" t="s">
        <v>235</v>
      </c>
      <c r="AB285" s="32" t="n">
        <v>2500</v>
      </c>
      <c r="AC285" s="32" t="n">
        <v>2500</v>
      </c>
      <c r="AD285" s="26" t="n">
        <f aca="false">IFERROR(AB285/B285,"")</f>
        <v>4.67289719626168</v>
      </c>
      <c r="AE285" s="26" t="n">
        <f aca="false">IFERROR(AC285/B285,"")</f>
        <v>4.67289719626168</v>
      </c>
      <c r="AF285" s="0" t="s">
        <v>236</v>
      </c>
      <c r="AG285" s="0" t="s">
        <v>236</v>
      </c>
      <c r="AH285" s="0" t="s">
        <v>230</v>
      </c>
      <c r="AI285" s="0" t="s">
        <v>1545</v>
      </c>
      <c r="AJ285" s="0" t="s">
        <v>1546</v>
      </c>
      <c r="AK285" s="0" t="s">
        <v>1547</v>
      </c>
      <c r="AL285" s="0" t="s">
        <v>1548</v>
      </c>
      <c r="AM285" s="0" t="s">
        <v>94</v>
      </c>
      <c r="AN285" s="26" t="n">
        <f aca="false">IFERROR(E285*(1+IF(AM285="Apartment",Data_Summary!$C$3,0)),"")</f>
        <v>4.67289719626168</v>
      </c>
      <c r="AO285" s="4" t="n">
        <v>46195</v>
      </c>
    </row>
    <row r="286" customFormat="false" ht="15" hidden="false" customHeight="false" outlineLevel="0" collapsed="false">
      <c r="A286" s="0" t="n">
        <f aca="false">IF(AND(ISNUMBER(B286),B286&gt;0,ISNUMBER(AB286),AB286&gt;0,J286&gt;=Data_Summary!$C$1),1,0)</f>
        <v>1</v>
      </c>
      <c r="B286" s="30" t="n">
        <v>594</v>
      </c>
      <c r="C286" s="5" t="n">
        <f aca="false">IF(ISNUMBER(AB286),AB286,"")</f>
        <v>2350</v>
      </c>
      <c r="D286" s="0" t="n">
        <f aca="false">IF(ISNUMBER(C286),C286-U286*Data_Summary!$C$2,"")</f>
        <v>2350</v>
      </c>
      <c r="E286" s="31" t="n">
        <f aca="false">IFERROR(C286/B286,"")</f>
        <v>3.95622895622896</v>
      </c>
      <c r="F286" s="26" t="n">
        <f aca="false">IFERROR(D286/B286,"")</f>
        <v>3.95622895622896</v>
      </c>
      <c r="G286" s="0" t="str">
        <f aca="false">Q286</f>
        <v>1+1</v>
      </c>
      <c r="H286" s="0" t="str">
        <f aca="false">IFERROR(LEFT(G286,1),"")</f>
        <v>1</v>
      </c>
      <c r="I286" s="0" t="n">
        <f aca="false">IF(LEN(G286)&gt;1,1,0)</f>
        <v>1</v>
      </c>
      <c r="J286" s="4" t="n">
        <v>46189</v>
      </c>
      <c r="K286" s="0" t="s">
        <v>11</v>
      </c>
      <c r="L286" s="0" t="s">
        <v>95</v>
      </c>
      <c r="M286" s="0" t="s">
        <v>226</v>
      </c>
      <c r="N286" s="0" t="s">
        <v>97</v>
      </c>
      <c r="O286" s="0" t="s">
        <v>1549</v>
      </c>
      <c r="Q286" s="0" t="s">
        <v>270</v>
      </c>
      <c r="R286" s="0" t="n">
        <v>2</v>
      </c>
      <c r="S286" s="5" t="n">
        <v>594</v>
      </c>
      <c r="T286" s="0" t="s">
        <v>243</v>
      </c>
      <c r="U286" s="0" t="n">
        <v>0</v>
      </c>
      <c r="V286" s="0" t="s">
        <v>230</v>
      </c>
      <c r="W286" s="0" t="s">
        <v>244</v>
      </c>
      <c r="Y286" s="0" t="s">
        <v>278</v>
      </c>
      <c r="Z286" s="0" t="s">
        <v>1550</v>
      </c>
      <c r="AA286" s="0" t="s">
        <v>235</v>
      </c>
      <c r="AB286" s="32" t="n">
        <v>2350</v>
      </c>
      <c r="AC286" s="32" t="n">
        <v>2395</v>
      </c>
      <c r="AD286" s="26" t="n">
        <f aca="false">IFERROR(AB286/B286,"")</f>
        <v>3.95622895622896</v>
      </c>
      <c r="AE286" s="26" t="n">
        <f aca="false">IFERROR(AC286/B286,"")</f>
        <v>4.03198653198653</v>
      </c>
      <c r="AF286" s="0" t="s">
        <v>236</v>
      </c>
      <c r="AG286" s="0" t="s">
        <v>236</v>
      </c>
      <c r="AH286" s="0" t="s">
        <v>236</v>
      </c>
      <c r="AI286" s="0" t="s">
        <v>1551</v>
      </c>
      <c r="AJ286" s="0" t="s">
        <v>1552</v>
      </c>
      <c r="AK286" s="0" t="s">
        <v>1553</v>
      </c>
      <c r="AL286" s="0" t="s">
        <v>1554</v>
      </c>
      <c r="AM286" s="0" t="s">
        <v>94</v>
      </c>
      <c r="AN286" s="26" t="n">
        <f aca="false">IFERROR(E286*(1+IF(AM286="Apartment",Data_Summary!$C$3,0)),"")</f>
        <v>3.95622895622896</v>
      </c>
      <c r="AO286" s="4" t="n">
        <v>46195</v>
      </c>
    </row>
    <row r="287" customFormat="false" ht="15" hidden="false" customHeight="false" outlineLevel="0" collapsed="false">
      <c r="A287" s="0" t="n">
        <f aca="false">IF(AND(ISNUMBER(B287),B287&gt;0,ISNUMBER(AB287),AB287&gt;0,J287&gt;=Data_Summary!$C$1),1,0)</f>
        <v>1</v>
      </c>
      <c r="B287" s="30" t="n">
        <v>929</v>
      </c>
      <c r="C287" s="5" t="n">
        <f aca="false">IF(ISNUMBER(AB287),AB287,"")</f>
        <v>3990</v>
      </c>
      <c r="D287" s="0" t="n">
        <f aca="false">IF(ISNUMBER(C287),C287-U287*Data_Summary!$C$2,"")</f>
        <v>3840</v>
      </c>
      <c r="E287" s="31" t="n">
        <f aca="false">IFERROR(C287/B287,"")</f>
        <v>4.29494079655544</v>
      </c>
      <c r="F287" s="26" t="n">
        <f aca="false">IFERROR(D287/B287,"")</f>
        <v>4.13347685683531</v>
      </c>
      <c r="G287" s="0" t="str">
        <f aca="false">Q287</f>
        <v>3+1</v>
      </c>
      <c r="H287" s="0" t="str">
        <f aca="false">IFERROR(LEFT(G287,1),"")</f>
        <v>3</v>
      </c>
      <c r="I287" s="0" t="n">
        <f aca="false">IF(LEN(G287)&gt;1,1,0)</f>
        <v>1</v>
      </c>
      <c r="J287" s="4" t="n">
        <v>46188</v>
      </c>
      <c r="K287" s="0" t="s">
        <v>11</v>
      </c>
      <c r="L287" s="0" t="s">
        <v>95</v>
      </c>
      <c r="M287" s="0" t="s">
        <v>226</v>
      </c>
      <c r="N287" s="0" t="s">
        <v>97</v>
      </c>
      <c r="O287" s="0" t="s">
        <v>1555</v>
      </c>
      <c r="Q287" s="0" t="s">
        <v>559</v>
      </c>
      <c r="R287" s="0" t="n">
        <v>2</v>
      </c>
      <c r="S287" s="5" t="n">
        <v>929</v>
      </c>
      <c r="T287" s="0" t="s">
        <v>259</v>
      </c>
      <c r="U287" s="0" t="n">
        <v>1</v>
      </c>
      <c r="V287" s="0" t="s">
        <v>230</v>
      </c>
      <c r="W287" s="0" t="s">
        <v>244</v>
      </c>
      <c r="X287" s="0" t="s">
        <v>232</v>
      </c>
      <c r="Y287" s="0" t="s">
        <v>308</v>
      </c>
      <c r="Z287" s="0" t="s">
        <v>1550</v>
      </c>
      <c r="AA287" s="0" t="s">
        <v>235</v>
      </c>
      <c r="AB287" s="32" t="n">
        <v>3990</v>
      </c>
      <c r="AC287" s="32" t="n">
        <v>3990</v>
      </c>
      <c r="AD287" s="26" t="n">
        <f aca="false">IFERROR(AB287/B287,"")</f>
        <v>4.29494079655544</v>
      </c>
      <c r="AE287" s="26" t="n">
        <f aca="false">IFERROR(AC287/B287,"")</f>
        <v>4.29494079655544</v>
      </c>
      <c r="AF287" s="0" t="s">
        <v>236</v>
      </c>
      <c r="AG287" s="0" t="s">
        <v>236</v>
      </c>
      <c r="AH287" s="0" t="s">
        <v>236</v>
      </c>
      <c r="AI287" s="0" t="s">
        <v>1556</v>
      </c>
      <c r="AJ287" s="0" t="s">
        <v>1557</v>
      </c>
      <c r="AK287" s="0" t="s">
        <v>1558</v>
      </c>
      <c r="AL287" s="0" t="s">
        <v>1559</v>
      </c>
      <c r="AM287" s="0" t="s">
        <v>94</v>
      </c>
      <c r="AN287" s="26" t="n">
        <f aca="false">IFERROR(E287*(1+IF(AM287="Apartment",Data_Summary!$C$3,0)),"")</f>
        <v>4.29494079655544</v>
      </c>
      <c r="AO287" s="4" t="n">
        <v>46195</v>
      </c>
    </row>
    <row r="288" customFormat="false" ht="15" hidden="false" customHeight="false" outlineLevel="0" collapsed="false">
      <c r="A288" s="0" t="n">
        <f aca="false">IF(AND(ISNUMBER(B288),B288&gt;0,ISNUMBER(AB288),AB288&gt;0,J288&gt;=Data_Summary!$C$1),1,0)</f>
        <v>1</v>
      </c>
      <c r="B288" s="30" t="n">
        <v>649</v>
      </c>
      <c r="C288" s="5" t="n">
        <f aca="false">IF(ISNUMBER(AB288),AB288,"")</f>
        <v>2950</v>
      </c>
      <c r="D288" s="0" t="n">
        <f aca="false">IF(ISNUMBER(C288),C288-U288*Data_Summary!$C$2,"")</f>
        <v>2950</v>
      </c>
      <c r="E288" s="31" t="n">
        <f aca="false">IFERROR(C288/B288,"")</f>
        <v>4.54545454545455</v>
      </c>
      <c r="F288" s="26" t="n">
        <f aca="false">IFERROR(D288/B288,"")</f>
        <v>4.54545454545455</v>
      </c>
      <c r="G288" s="0" t="str">
        <f aca="false">Q288</f>
        <v>2</v>
      </c>
      <c r="H288" s="0" t="str">
        <f aca="false">IFERROR(LEFT(G288,1),"")</f>
        <v>2</v>
      </c>
      <c r="I288" s="0" t="n">
        <f aca="false">IF(LEN(G288)&gt;1,1,0)</f>
        <v>0</v>
      </c>
      <c r="J288" s="4" t="n">
        <v>46186</v>
      </c>
      <c r="K288" s="0" t="s">
        <v>11</v>
      </c>
      <c r="L288" s="0" t="s">
        <v>95</v>
      </c>
      <c r="M288" s="0" t="s">
        <v>226</v>
      </c>
      <c r="N288" s="0" t="s">
        <v>97</v>
      </c>
      <c r="O288" s="0" t="s">
        <v>1560</v>
      </c>
      <c r="Q288" s="0" t="s">
        <v>251</v>
      </c>
      <c r="R288" s="0" t="n">
        <v>2</v>
      </c>
      <c r="S288" s="5" t="n">
        <v>649</v>
      </c>
      <c r="T288" s="0" t="s">
        <v>271</v>
      </c>
      <c r="U288" s="0" t="n">
        <v>0</v>
      </c>
      <c r="V288" s="0" t="s">
        <v>230</v>
      </c>
      <c r="W288" s="0" t="s">
        <v>244</v>
      </c>
      <c r="Y288" s="0" t="s">
        <v>253</v>
      </c>
      <c r="Z288" s="0" t="s">
        <v>1550</v>
      </c>
      <c r="AA288" s="0" t="s">
        <v>235</v>
      </c>
      <c r="AB288" s="32" t="n">
        <v>2950</v>
      </c>
      <c r="AC288" s="32" t="n">
        <v>2950</v>
      </c>
      <c r="AD288" s="26" t="n">
        <f aca="false">IFERROR(AB288/B288,"")</f>
        <v>4.54545454545455</v>
      </c>
      <c r="AE288" s="26" t="n">
        <f aca="false">IFERROR(AC288/B288,"")</f>
        <v>4.54545454545455</v>
      </c>
      <c r="AF288" s="0" t="s">
        <v>236</v>
      </c>
      <c r="AG288" s="0" t="s">
        <v>236</v>
      </c>
      <c r="AH288" s="0" t="s">
        <v>236</v>
      </c>
      <c r="AI288" s="0" t="s">
        <v>1561</v>
      </c>
      <c r="AJ288" s="0" t="s">
        <v>1562</v>
      </c>
      <c r="AK288" s="0" t="s">
        <v>1563</v>
      </c>
      <c r="AL288" s="0" t="s">
        <v>1564</v>
      </c>
      <c r="AM288" s="0" t="s">
        <v>94</v>
      </c>
      <c r="AN288" s="26" t="n">
        <f aca="false">IFERROR(E288*(1+IF(AM288="Apartment",Data_Summary!$C$3,0)),"")</f>
        <v>4.54545454545455</v>
      </c>
      <c r="AO288" s="4" t="n">
        <v>46195</v>
      </c>
    </row>
    <row r="289" customFormat="false" ht="15" hidden="false" customHeight="false" outlineLevel="0" collapsed="false">
      <c r="A289" s="0" t="n">
        <f aca="false">IF(AND(ISNUMBER(B289),B289&gt;0,ISNUMBER(AB289),AB289&gt;0,J289&gt;=Data_Summary!$C$1),1,0)</f>
        <v>1</v>
      </c>
      <c r="B289" s="30" t="n">
        <v>799</v>
      </c>
      <c r="C289" s="5" t="n">
        <f aca="false">IF(ISNUMBER(AB289),AB289,"")</f>
        <v>3395</v>
      </c>
      <c r="D289" s="0" t="n">
        <f aca="false">IF(ISNUMBER(C289),C289-U289*Data_Summary!$C$2,"")</f>
        <v>3395</v>
      </c>
      <c r="E289" s="31" t="n">
        <f aca="false">IFERROR(C289/B289,"")</f>
        <v>4.24906132665832</v>
      </c>
      <c r="F289" s="26" t="n">
        <f aca="false">IFERROR(D289/B289,"")</f>
        <v>4.24906132665832</v>
      </c>
      <c r="G289" s="0" t="str">
        <f aca="false">Q289</f>
        <v>2</v>
      </c>
      <c r="H289" s="0" t="str">
        <f aca="false">IFERROR(LEFT(G289,1),"")</f>
        <v>2</v>
      </c>
      <c r="I289" s="0" t="n">
        <f aca="false">IF(LEN(G289)&gt;1,1,0)</f>
        <v>0</v>
      </c>
      <c r="J289" s="4" t="n">
        <v>46181</v>
      </c>
      <c r="K289" s="0" t="s">
        <v>11</v>
      </c>
      <c r="L289" s="0" t="s">
        <v>95</v>
      </c>
      <c r="M289" s="0" t="s">
        <v>226</v>
      </c>
      <c r="N289" s="0" t="s">
        <v>97</v>
      </c>
      <c r="O289" s="0" t="s">
        <v>1565</v>
      </c>
      <c r="Q289" s="0" t="s">
        <v>251</v>
      </c>
      <c r="R289" s="0" t="n">
        <v>2</v>
      </c>
      <c r="S289" s="5" t="n">
        <v>799</v>
      </c>
      <c r="T289" s="0" t="s">
        <v>252</v>
      </c>
      <c r="U289" s="0" t="n">
        <v>0</v>
      </c>
      <c r="V289" s="0" t="s">
        <v>230</v>
      </c>
      <c r="W289" s="0" t="s">
        <v>244</v>
      </c>
      <c r="X289" s="0" t="s">
        <v>232</v>
      </c>
      <c r="Y289" s="0" t="s">
        <v>233</v>
      </c>
      <c r="Z289" s="0" t="s">
        <v>1550</v>
      </c>
      <c r="AA289" s="0" t="s">
        <v>235</v>
      </c>
      <c r="AB289" s="32" t="n">
        <v>3395</v>
      </c>
      <c r="AC289" s="32" t="n">
        <v>3395</v>
      </c>
      <c r="AD289" s="26" t="n">
        <f aca="false">IFERROR(AB289/B289,"")</f>
        <v>4.24906132665832</v>
      </c>
      <c r="AE289" s="26" t="n">
        <f aca="false">IFERROR(AC289/B289,"")</f>
        <v>4.24906132665832</v>
      </c>
      <c r="AF289" s="0" t="s">
        <v>236</v>
      </c>
      <c r="AG289" s="0" t="s">
        <v>236</v>
      </c>
      <c r="AH289" s="0" t="s">
        <v>236</v>
      </c>
      <c r="AI289" s="0" t="s">
        <v>292</v>
      </c>
      <c r="AJ289" s="0" t="s">
        <v>1566</v>
      </c>
      <c r="AK289" s="0" t="s">
        <v>1567</v>
      </c>
      <c r="AL289" s="0" t="s">
        <v>1568</v>
      </c>
      <c r="AM289" s="0" t="s">
        <v>94</v>
      </c>
      <c r="AN289" s="26" t="n">
        <f aca="false">IFERROR(E289*(1+IF(AM289="Apartment",Data_Summary!$C$3,0)),"")</f>
        <v>4.24906132665832</v>
      </c>
      <c r="AO289" s="4" t="n">
        <v>46195</v>
      </c>
    </row>
    <row r="290" customFormat="false" ht="15" hidden="false" customHeight="false" outlineLevel="0" collapsed="false">
      <c r="A290" s="0" t="n">
        <f aca="false">IF(AND(ISNUMBER(B290),B290&gt;0,ISNUMBER(AB290),AB290&gt;0,J290&gt;=Data_Summary!$C$1),1,0)</f>
        <v>1</v>
      </c>
      <c r="B290" s="30" t="n">
        <v>416</v>
      </c>
      <c r="C290" s="5" t="n">
        <f aca="false">IF(ISNUMBER(AB290),AB290,"")</f>
        <v>2150</v>
      </c>
      <c r="D290" s="0" t="n">
        <f aca="false">IF(ISNUMBER(C290),C290-U290*Data_Summary!$C$2,"")</f>
        <v>2150</v>
      </c>
      <c r="E290" s="31" t="n">
        <f aca="false">IFERROR(C290/B290,"")</f>
        <v>5.16826923076923</v>
      </c>
      <c r="F290" s="26" t="n">
        <f aca="false">IFERROR(D290/B290,"")</f>
        <v>5.16826923076923</v>
      </c>
      <c r="G290" s="0" t="str">
        <f aca="false">Q290</f>
        <v>1</v>
      </c>
      <c r="H290" s="0" t="str">
        <f aca="false">IFERROR(LEFT(G290,1),"")</f>
        <v>1</v>
      </c>
      <c r="I290" s="0" t="n">
        <f aca="false">IF(LEN(G290)&gt;1,1,0)</f>
        <v>0</v>
      </c>
      <c r="J290" s="4" t="n">
        <v>46180</v>
      </c>
      <c r="K290" s="0" t="s">
        <v>11</v>
      </c>
      <c r="L290" s="0" t="s">
        <v>95</v>
      </c>
      <c r="M290" s="0" t="s">
        <v>226</v>
      </c>
      <c r="N290" s="0" t="s">
        <v>97</v>
      </c>
      <c r="O290" s="0" t="s">
        <v>1569</v>
      </c>
      <c r="Q290" s="0" t="s">
        <v>242</v>
      </c>
      <c r="R290" s="0" t="n">
        <v>1</v>
      </c>
      <c r="S290" s="5" t="n">
        <v>416</v>
      </c>
      <c r="T290" s="0" t="s">
        <v>303</v>
      </c>
      <c r="U290" s="0" t="n">
        <v>0</v>
      </c>
      <c r="V290" s="0" t="s">
        <v>230</v>
      </c>
      <c r="W290" s="0" t="s">
        <v>244</v>
      </c>
      <c r="Y290" s="0" t="s">
        <v>245</v>
      </c>
      <c r="Z290" s="0" t="s">
        <v>1550</v>
      </c>
      <c r="AA290" s="0" t="s">
        <v>235</v>
      </c>
      <c r="AB290" s="32" t="n">
        <v>2150</v>
      </c>
      <c r="AC290" s="32" t="n">
        <v>2150</v>
      </c>
      <c r="AD290" s="26" t="n">
        <f aca="false">IFERROR(AB290/B290,"")</f>
        <v>5.16826923076923</v>
      </c>
      <c r="AE290" s="26" t="n">
        <f aca="false">IFERROR(AC290/B290,"")</f>
        <v>5.16826923076923</v>
      </c>
      <c r="AF290" s="0" t="s">
        <v>236</v>
      </c>
      <c r="AG290" s="0" t="s">
        <v>236</v>
      </c>
      <c r="AH290" s="0" t="s">
        <v>236</v>
      </c>
      <c r="AI290" s="0" t="s">
        <v>1570</v>
      </c>
      <c r="AJ290" s="0" t="s">
        <v>1571</v>
      </c>
      <c r="AK290" s="0" t="s">
        <v>1572</v>
      </c>
      <c r="AL290" s="0" t="s">
        <v>1573</v>
      </c>
      <c r="AM290" s="0" t="s">
        <v>94</v>
      </c>
      <c r="AN290" s="26" t="n">
        <f aca="false">IFERROR(E290*(1+IF(AM290="Apartment",Data_Summary!$C$3,0)),"")</f>
        <v>5.16826923076923</v>
      </c>
      <c r="AO290" s="4" t="n">
        <v>46195</v>
      </c>
    </row>
    <row r="291" customFormat="false" ht="15" hidden="false" customHeight="false" outlineLevel="0" collapsed="false">
      <c r="A291" s="0" t="n">
        <f aca="false">IF(AND(ISNUMBER(B291),B291&gt;0,ISNUMBER(AB291),AB291&gt;0,J291&gt;=Data_Summary!$C$1),1,0)</f>
        <v>1</v>
      </c>
      <c r="B291" s="30" t="n">
        <v>799</v>
      </c>
      <c r="C291" s="5" t="n">
        <f aca="false">IF(ISNUMBER(AB291),AB291,"")</f>
        <v>3300</v>
      </c>
      <c r="D291" s="0" t="n">
        <f aca="false">IF(ISNUMBER(C291),C291-U291*Data_Summary!$C$2,"")</f>
        <v>3300</v>
      </c>
      <c r="E291" s="31" t="n">
        <f aca="false">IFERROR(C291/B291,"")</f>
        <v>4.13016270337922</v>
      </c>
      <c r="F291" s="26" t="n">
        <f aca="false">IFERROR(D291/B291,"")</f>
        <v>4.13016270337922</v>
      </c>
      <c r="G291" s="0" t="str">
        <f aca="false">Q291</f>
        <v>2+1</v>
      </c>
      <c r="H291" s="0" t="str">
        <f aca="false">IFERROR(LEFT(G291,1),"")</f>
        <v>2</v>
      </c>
      <c r="I291" s="0" t="n">
        <f aca="false">IF(LEN(G291)&gt;1,1,0)</f>
        <v>1</v>
      </c>
      <c r="J291" s="4" t="n">
        <v>46178</v>
      </c>
      <c r="K291" s="0" t="s">
        <v>11</v>
      </c>
      <c r="L291" s="0" t="s">
        <v>95</v>
      </c>
      <c r="M291" s="0" t="s">
        <v>226</v>
      </c>
      <c r="N291" s="0" t="s">
        <v>97</v>
      </c>
      <c r="O291" s="0" t="s">
        <v>1574</v>
      </c>
      <c r="Q291" s="0" t="s">
        <v>451</v>
      </c>
      <c r="R291" s="0" t="n">
        <v>2</v>
      </c>
      <c r="S291" s="5" t="n">
        <v>799</v>
      </c>
      <c r="T291" s="0" t="s">
        <v>252</v>
      </c>
      <c r="U291" s="0" t="n">
        <v>0</v>
      </c>
      <c r="V291" s="0" t="s">
        <v>230</v>
      </c>
      <c r="W291" s="0" t="s">
        <v>244</v>
      </c>
      <c r="X291" s="0" t="s">
        <v>232</v>
      </c>
      <c r="Y291" s="0" t="s">
        <v>308</v>
      </c>
      <c r="Z291" s="0" t="s">
        <v>1550</v>
      </c>
      <c r="AA291" s="0" t="s">
        <v>235</v>
      </c>
      <c r="AB291" s="32" t="n">
        <v>3300</v>
      </c>
      <c r="AC291" s="32" t="n">
        <v>3550</v>
      </c>
      <c r="AD291" s="26" t="n">
        <f aca="false">IFERROR(AB291/B291,"")</f>
        <v>4.13016270337922</v>
      </c>
      <c r="AE291" s="26" t="n">
        <f aca="false">IFERROR(AC291/B291,"")</f>
        <v>4.44305381727159</v>
      </c>
      <c r="AF291" s="0" t="s">
        <v>236</v>
      </c>
      <c r="AG291" s="0" t="s">
        <v>236</v>
      </c>
      <c r="AH291" s="0" t="s">
        <v>236</v>
      </c>
      <c r="AI291" s="0" t="s">
        <v>298</v>
      </c>
      <c r="AJ291" s="0" t="s">
        <v>1575</v>
      </c>
      <c r="AK291" s="0" t="s">
        <v>1576</v>
      </c>
      <c r="AL291" s="0" t="s">
        <v>1577</v>
      </c>
      <c r="AM291" s="0" t="s">
        <v>94</v>
      </c>
      <c r="AN291" s="26" t="n">
        <f aca="false">IFERROR(E291*(1+IF(AM291="Apartment",Data_Summary!$C$3,0)),"")</f>
        <v>4.13016270337922</v>
      </c>
      <c r="AO291" s="4" t="n">
        <v>46195</v>
      </c>
    </row>
    <row r="292" customFormat="false" ht="15" hidden="false" customHeight="false" outlineLevel="0" collapsed="false">
      <c r="A292" s="0" t="n">
        <f aca="false">IF(AND(ISNUMBER(B292),B292&gt;0,ISNUMBER(AB292),AB292&gt;0,J292&gt;=Data_Summary!$C$1),1,0)</f>
        <v>1</v>
      </c>
      <c r="B292" s="33" t="n">
        <v>625</v>
      </c>
      <c r="C292" s="5" t="n">
        <f aca="false">IF(ISNUMBER(AB292),AB292,"")</f>
        <v>2625</v>
      </c>
      <c r="D292" s="0" t="n">
        <f aca="false">IF(ISNUMBER(C292),C292-U292*Data_Summary!$C$2,"")</f>
        <v>2625</v>
      </c>
      <c r="E292" s="34" t="n">
        <f aca="false">IFERROR(C292/B292,"")</f>
        <v>4.2</v>
      </c>
      <c r="F292" s="26" t="n">
        <f aca="false">IFERROR(D292/B292,"")</f>
        <v>4.2</v>
      </c>
      <c r="G292" s="0" t="str">
        <f aca="false">Q292</f>
        <v>2</v>
      </c>
      <c r="H292" s="0" t="str">
        <f aca="false">IFERROR(LEFT(G292,1),"")</f>
        <v>2</v>
      </c>
      <c r="I292" s="0" t="n">
        <f aca="false">IF(LEN(G292)&gt;1,1,0)</f>
        <v>0</v>
      </c>
      <c r="J292" s="4" t="n">
        <v>46177</v>
      </c>
      <c r="K292" s="0" t="s">
        <v>11</v>
      </c>
      <c r="L292" s="0" t="s">
        <v>95</v>
      </c>
      <c r="M292" s="0" t="s">
        <v>226</v>
      </c>
      <c r="N292" s="0" t="s">
        <v>97</v>
      </c>
      <c r="O292" s="0" t="s">
        <v>773</v>
      </c>
      <c r="Q292" s="0" t="s">
        <v>251</v>
      </c>
      <c r="R292" s="0" t="n">
        <v>2</v>
      </c>
      <c r="S292" s="5" t="n">
        <v>625</v>
      </c>
      <c r="T292" s="0" t="s">
        <v>252</v>
      </c>
      <c r="U292" s="0" t="n">
        <v>0</v>
      </c>
      <c r="V292" s="0" t="s">
        <v>230</v>
      </c>
      <c r="W292" s="0" t="s">
        <v>244</v>
      </c>
      <c r="Y292" s="0" t="s">
        <v>278</v>
      </c>
      <c r="Z292" s="0" t="s">
        <v>1550</v>
      </c>
      <c r="AA292" s="0" t="s">
        <v>235</v>
      </c>
      <c r="AB292" s="32" t="n">
        <v>2625</v>
      </c>
      <c r="AC292" s="32" t="n">
        <v>2625</v>
      </c>
      <c r="AD292" s="26" t="n">
        <f aca="false">IFERROR(AB292/B292,"")</f>
        <v>4.2</v>
      </c>
      <c r="AE292" s="26" t="n">
        <f aca="false">IFERROR(AC292/B292,"")</f>
        <v>4.2</v>
      </c>
      <c r="AF292" s="0" t="s">
        <v>236</v>
      </c>
      <c r="AG292" s="0" t="s">
        <v>236</v>
      </c>
      <c r="AH292" s="0" t="s">
        <v>236</v>
      </c>
      <c r="AI292" s="0" t="s">
        <v>313</v>
      </c>
      <c r="AJ292" s="0" t="s">
        <v>1578</v>
      </c>
      <c r="AK292" s="0" t="s">
        <v>1579</v>
      </c>
      <c r="AL292" s="0" t="s">
        <v>1580</v>
      </c>
      <c r="AM292" s="0" t="s">
        <v>94</v>
      </c>
      <c r="AN292" s="26" t="n">
        <f aca="false">IFERROR(E292*(1+IF(AM292="Apartment",Data_Summary!$C$3,0)),"")</f>
        <v>4.2</v>
      </c>
      <c r="AO292" s="4" t="n">
        <v>46195</v>
      </c>
    </row>
    <row r="293" customFormat="false" ht="15" hidden="false" customHeight="false" outlineLevel="0" collapsed="false">
      <c r="A293" s="0" t="n">
        <f aca="false">IF(AND(ISNUMBER(B293),B293&gt;0,ISNUMBER(AB293),AB293&gt;0,J293&gt;=Data_Summary!$C$1),1,0)</f>
        <v>1</v>
      </c>
      <c r="B293" s="33" t="n">
        <v>427</v>
      </c>
      <c r="C293" s="5" t="n">
        <f aca="false">IF(ISNUMBER(AB293),AB293,"")</f>
        <v>2200</v>
      </c>
      <c r="D293" s="0" t="n">
        <f aca="false">IF(ISNUMBER(C293),C293-U293*Data_Summary!$C$2,"")</f>
        <v>2200</v>
      </c>
      <c r="E293" s="34" t="n">
        <f aca="false">IFERROR(C293/B293,"")</f>
        <v>5.15222482435597</v>
      </c>
      <c r="F293" s="26" t="n">
        <f aca="false">IFERROR(D293/B293,"")</f>
        <v>5.15222482435597</v>
      </c>
      <c r="G293" s="0" t="str">
        <f aca="false">Q293</f>
        <v>1</v>
      </c>
      <c r="H293" s="0" t="str">
        <f aca="false">IFERROR(LEFT(G293,1),"")</f>
        <v>1</v>
      </c>
      <c r="I293" s="0" t="n">
        <f aca="false">IF(LEN(G293)&gt;1,1,0)</f>
        <v>0</v>
      </c>
      <c r="J293" s="4" t="n">
        <v>46177</v>
      </c>
      <c r="K293" s="0" t="s">
        <v>11</v>
      </c>
      <c r="L293" s="0" t="s">
        <v>95</v>
      </c>
      <c r="M293" s="0" t="s">
        <v>226</v>
      </c>
      <c r="N293" s="0" t="s">
        <v>97</v>
      </c>
      <c r="O293" s="0" t="s">
        <v>1581</v>
      </c>
      <c r="Q293" s="0" t="s">
        <v>242</v>
      </c>
      <c r="R293" s="0" t="n">
        <v>1</v>
      </c>
      <c r="S293" s="5" t="n">
        <v>427</v>
      </c>
      <c r="T293" s="0" t="s">
        <v>303</v>
      </c>
      <c r="U293" s="0" t="n">
        <v>0</v>
      </c>
      <c r="V293" s="0" t="s">
        <v>230</v>
      </c>
      <c r="W293" s="0" t="s">
        <v>244</v>
      </c>
      <c r="Y293" s="0" t="s">
        <v>245</v>
      </c>
      <c r="Z293" s="0" t="s">
        <v>1550</v>
      </c>
      <c r="AA293" s="0" t="s">
        <v>235</v>
      </c>
      <c r="AB293" s="32" t="n">
        <v>2200</v>
      </c>
      <c r="AC293" s="32" t="n">
        <v>2200</v>
      </c>
      <c r="AD293" s="26" t="n">
        <f aca="false">IFERROR(AB293/B293,"")</f>
        <v>5.15222482435597</v>
      </c>
      <c r="AE293" s="26" t="n">
        <f aca="false">IFERROR(AC293/B293,"")</f>
        <v>5.15222482435597</v>
      </c>
      <c r="AF293" s="0" t="s">
        <v>236</v>
      </c>
      <c r="AG293" s="0" t="s">
        <v>236</v>
      </c>
      <c r="AH293" s="0" t="s">
        <v>236</v>
      </c>
      <c r="AI293" s="0" t="s">
        <v>313</v>
      </c>
      <c r="AJ293" s="0" t="s">
        <v>1582</v>
      </c>
      <c r="AK293" s="0" t="s">
        <v>1583</v>
      </c>
      <c r="AL293" s="0" t="s">
        <v>1584</v>
      </c>
      <c r="AM293" s="0" t="s">
        <v>94</v>
      </c>
      <c r="AN293" s="26" t="n">
        <f aca="false">IFERROR(E293*(1+IF(AM293="Apartment",Data_Summary!$C$3,0)),"")</f>
        <v>5.15222482435597</v>
      </c>
      <c r="AO293" s="4" t="n">
        <v>46195</v>
      </c>
    </row>
    <row r="294" customFormat="false" ht="15" hidden="false" customHeight="false" outlineLevel="0" collapsed="false">
      <c r="A294" s="0" t="n">
        <f aca="false">IF(AND(ISNUMBER(B294),B294&gt;0,ISNUMBER(AB294),AB294&gt;0,J294&gt;=Data_Summary!$C$1),1,0)</f>
        <v>1</v>
      </c>
      <c r="B294" s="30" t="n">
        <v>667</v>
      </c>
      <c r="C294" s="5" t="n">
        <f aca="false">IF(ISNUMBER(AB294),AB294,"")</f>
        <v>3000</v>
      </c>
      <c r="D294" s="0" t="n">
        <f aca="false">IF(ISNUMBER(C294),C294-U294*Data_Summary!$C$2,"")</f>
        <v>3000</v>
      </c>
      <c r="E294" s="31" t="n">
        <f aca="false">IFERROR(C294/B294,"")</f>
        <v>4.49775112443778</v>
      </c>
      <c r="F294" s="26" t="n">
        <f aca="false">IFERROR(D294/B294,"")</f>
        <v>4.49775112443778</v>
      </c>
      <c r="G294" s="0" t="str">
        <f aca="false">Q294</f>
        <v>2</v>
      </c>
      <c r="H294" s="0" t="str">
        <f aca="false">IFERROR(LEFT(G294,1),"")</f>
        <v>2</v>
      </c>
      <c r="I294" s="0" t="n">
        <f aca="false">IF(LEN(G294)&gt;1,1,0)</f>
        <v>0</v>
      </c>
      <c r="J294" s="4" t="n">
        <v>46172</v>
      </c>
      <c r="K294" s="0" t="s">
        <v>11</v>
      </c>
      <c r="L294" s="0" t="s">
        <v>95</v>
      </c>
      <c r="M294" s="0" t="s">
        <v>226</v>
      </c>
      <c r="N294" s="0" t="s">
        <v>97</v>
      </c>
      <c r="O294" s="0" t="s">
        <v>1585</v>
      </c>
      <c r="Q294" s="0" t="s">
        <v>251</v>
      </c>
      <c r="R294" s="0" t="n">
        <v>2</v>
      </c>
      <c r="S294" s="5" t="n">
        <v>667</v>
      </c>
      <c r="T294" s="0" t="s">
        <v>271</v>
      </c>
      <c r="U294" s="0" t="n">
        <v>0</v>
      </c>
      <c r="V294" s="0" t="s">
        <v>230</v>
      </c>
      <c r="W294" s="0" t="s">
        <v>244</v>
      </c>
      <c r="Y294" s="0" t="s">
        <v>278</v>
      </c>
      <c r="Z294" s="0" t="s">
        <v>1550</v>
      </c>
      <c r="AA294" s="0" t="s">
        <v>235</v>
      </c>
      <c r="AB294" s="32" t="n">
        <v>3000</v>
      </c>
      <c r="AC294" s="32" t="n">
        <v>3000</v>
      </c>
      <c r="AD294" s="26" t="n">
        <f aca="false">IFERROR(AB294/B294,"")</f>
        <v>4.49775112443778</v>
      </c>
      <c r="AE294" s="26" t="n">
        <f aca="false">IFERROR(AC294/B294,"")</f>
        <v>4.49775112443778</v>
      </c>
      <c r="AF294" s="0" t="s">
        <v>236</v>
      </c>
      <c r="AG294" s="0" t="s">
        <v>236</v>
      </c>
      <c r="AH294" s="0" t="s">
        <v>236</v>
      </c>
      <c r="AI294" s="0" t="s">
        <v>327</v>
      </c>
      <c r="AJ294" s="0" t="s">
        <v>1586</v>
      </c>
      <c r="AK294" s="0" t="s">
        <v>1587</v>
      </c>
      <c r="AL294" s="0" t="s">
        <v>1588</v>
      </c>
      <c r="AM294" s="0" t="s">
        <v>94</v>
      </c>
      <c r="AN294" s="26" t="n">
        <f aca="false">IFERROR(E294*(1+IF(AM294="Apartment",Data_Summary!$C$3,0)),"")</f>
        <v>4.49775112443778</v>
      </c>
      <c r="AO294" s="4" t="n">
        <v>46195</v>
      </c>
    </row>
    <row r="295" customFormat="false" ht="15" hidden="false" customHeight="false" outlineLevel="0" collapsed="false">
      <c r="A295" s="0" t="n">
        <f aca="false">IF(AND(ISNUMBER(B295),B295&gt;0,ISNUMBER(AB295),AB295&gt;0,J295&gt;=Data_Summary!$C$1),1,0)</f>
        <v>1</v>
      </c>
      <c r="B295" s="30" t="n">
        <v>814</v>
      </c>
      <c r="C295" s="5" t="n">
        <f aca="false">IF(ISNUMBER(AB295),AB295,"")</f>
        <v>3000</v>
      </c>
      <c r="D295" s="0" t="n">
        <f aca="false">IF(ISNUMBER(C295),C295-U295*Data_Summary!$C$2,"")</f>
        <v>3000</v>
      </c>
      <c r="E295" s="31" t="n">
        <f aca="false">IFERROR(C295/B295,"")</f>
        <v>3.68550368550369</v>
      </c>
      <c r="F295" s="26" t="n">
        <f aca="false">IFERROR(D295/B295,"")</f>
        <v>3.68550368550369</v>
      </c>
      <c r="G295" s="0" t="str">
        <f aca="false">Q295</f>
        <v>2+1</v>
      </c>
      <c r="H295" s="0" t="str">
        <f aca="false">IFERROR(LEFT(G295,1),"")</f>
        <v>2</v>
      </c>
      <c r="I295" s="0" t="n">
        <f aca="false">IF(LEN(G295)&gt;1,1,0)</f>
        <v>1</v>
      </c>
      <c r="J295" s="4" t="n">
        <v>46171</v>
      </c>
      <c r="K295" s="0" t="s">
        <v>11</v>
      </c>
      <c r="L295" s="0" t="s">
        <v>95</v>
      </c>
      <c r="M295" s="0" t="s">
        <v>226</v>
      </c>
      <c r="N295" s="0" t="s">
        <v>97</v>
      </c>
      <c r="O295" s="0" t="s">
        <v>1589</v>
      </c>
      <c r="Q295" s="0" t="s">
        <v>451</v>
      </c>
      <c r="R295" s="0" t="n">
        <v>2</v>
      </c>
      <c r="S295" s="5" t="n">
        <v>814</v>
      </c>
      <c r="T295" s="0" t="s">
        <v>229</v>
      </c>
      <c r="U295" s="0" t="n">
        <v>0</v>
      </c>
      <c r="V295" s="0" t="s">
        <v>230</v>
      </c>
      <c r="W295" s="0" t="s">
        <v>244</v>
      </c>
      <c r="Y295" s="0" t="s">
        <v>253</v>
      </c>
      <c r="Z295" s="0" t="s">
        <v>1550</v>
      </c>
      <c r="AA295" s="0" t="s">
        <v>235</v>
      </c>
      <c r="AB295" s="32" t="n">
        <v>3000</v>
      </c>
      <c r="AC295" s="32" t="n">
        <v>3000</v>
      </c>
      <c r="AD295" s="26" t="n">
        <f aca="false">IFERROR(AB295/B295,"")</f>
        <v>3.68550368550369</v>
      </c>
      <c r="AE295" s="26" t="n">
        <f aca="false">IFERROR(AC295/B295,"")</f>
        <v>3.68550368550369</v>
      </c>
      <c r="AF295" s="0" t="s">
        <v>236</v>
      </c>
      <c r="AG295" s="0" t="s">
        <v>236</v>
      </c>
      <c r="AH295" s="0" t="s">
        <v>236</v>
      </c>
      <c r="AI295" s="0" t="s">
        <v>344</v>
      </c>
      <c r="AJ295" s="0" t="s">
        <v>1590</v>
      </c>
      <c r="AK295" s="0" t="s">
        <v>1591</v>
      </c>
      <c r="AL295" s="0" t="s">
        <v>1592</v>
      </c>
      <c r="AM295" s="0" t="s">
        <v>94</v>
      </c>
      <c r="AN295" s="26" t="n">
        <f aca="false">IFERROR(E295*(1+IF(AM295="Apartment",Data_Summary!$C$3,0)),"")</f>
        <v>3.68550368550369</v>
      </c>
      <c r="AO295" s="4" t="n">
        <v>46195</v>
      </c>
    </row>
    <row r="296" customFormat="false" ht="15" hidden="false" customHeight="false" outlineLevel="0" collapsed="false">
      <c r="A296" s="0" t="n">
        <f aca="false">IF(AND(ISNUMBER(B296),B296&gt;0,ISNUMBER(AB296),AB296&gt;0,J296&gt;=Data_Summary!$C$1),1,0)</f>
        <v>1</v>
      </c>
      <c r="B296" s="33" t="n">
        <v>692</v>
      </c>
      <c r="C296" s="5" t="n">
        <f aca="false">IF(ISNUMBER(AB296),AB296,"")</f>
        <v>4000</v>
      </c>
      <c r="D296" s="0" t="n">
        <f aca="false">IF(ISNUMBER(C296),C296-U296*Data_Summary!$C$2,"")</f>
        <v>4000</v>
      </c>
      <c r="E296" s="34" t="n">
        <f aca="false">IFERROR(C296/B296,"")</f>
        <v>5.78034682080925</v>
      </c>
      <c r="F296" s="26" t="n">
        <f aca="false">IFERROR(D296/B296,"")</f>
        <v>5.78034682080925</v>
      </c>
      <c r="G296" s="0" t="str">
        <f aca="false">Q296</f>
        <v>2</v>
      </c>
      <c r="H296" s="0" t="str">
        <f aca="false">IFERROR(LEFT(G296,1),"")</f>
        <v>2</v>
      </c>
      <c r="I296" s="0" t="n">
        <f aca="false">IF(LEN(G296)&gt;1,1,0)</f>
        <v>0</v>
      </c>
      <c r="J296" s="4" t="n">
        <v>46170</v>
      </c>
      <c r="K296" s="0" t="s">
        <v>11</v>
      </c>
      <c r="L296" s="0" t="s">
        <v>95</v>
      </c>
      <c r="M296" s="0" t="s">
        <v>226</v>
      </c>
      <c r="N296" s="0" t="s">
        <v>97</v>
      </c>
      <c r="O296" s="0" t="s">
        <v>1593</v>
      </c>
      <c r="Q296" s="0" t="s">
        <v>251</v>
      </c>
      <c r="R296" s="0" t="n">
        <v>2</v>
      </c>
      <c r="S296" s="5" t="n">
        <v>692</v>
      </c>
      <c r="T296" s="0" t="s">
        <v>252</v>
      </c>
      <c r="U296" s="0" t="n">
        <v>0</v>
      </c>
      <c r="V296" s="0" t="s">
        <v>230</v>
      </c>
      <c r="W296" s="0" t="s">
        <v>244</v>
      </c>
      <c r="Y296" s="0" t="s">
        <v>253</v>
      </c>
      <c r="Z296" s="0" t="s">
        <v>1550</v>
      </c>
      <c r="AA296" s="0" t="s">
        <v>235</v>
      </c>
      <c r="AB296" s="32" t="n">
        <v>4000</v>
      </c>
      <c r="AC296" s="32" t="n">
        <v>3700</v>
      </c>
      <c r="AD296" s="26" t="n">
        <f aca="false">IFERROR(AB296/B296,"")</f>
        <v>5.78034682080925</v>
      </c>
      <c r="AE296" s="26" t="n">
        <f aca="false">IFERROR(AC296/B296,"")</f>
        <v>5.34682080924855</v>
      </c>
      <c r="AF296" s="0" t="s">
        <v>230</v>
      </c>
      <c r="AG296" s="0" t="s">
        <v>236</v>
      </c>
      <c r="AH296" s="0" t="s">
        <v>236</v>
      </c>
      <c r="AI296" s="0" t="s">
        <v>1594</v>
      </c>
      <c r="AJ296" s="0" t="s">
        <v>1595</v>
      </c>
      <c r="AK296" s="0" t="s">
        <v>1596</v>
      </c>
      <c r="AL296" s="0" t="s">
        <v>1597</v>
      </c>
      <c r="AM296" s="0" t="s">
        <v>94</v>
      </c>
      <c r="AN296" s="26" t="n">
        <f aca="false">IFERROR(E296*(1+IF(AM296="Apartment",Data_Summary!$C$3,0)),"")</f>
        <v>5.78034682080925</v>
      </c>
      <c r="AO296" s="4" t="n">
        <v>46195</v>
      </c>
    </row>
    <row r="297" customFormat="false" ht="15" hidden="false" customHeight="false" outlineLevel="0" collapsed="false">
      <c r="A297" s="0" t="n">
        <f aca="false">IF(AND(ISNUMBER(B297),B297&gt;0,ISNUMBER(AB297),AB297&gt;0,J297&gt;=Data_Summary!$C$1),1,0)</f>
        <v>1</v>
      </c>
      <c r="B297" s="30" t="n">
        <v>652</v>
      </c>
      <c r="C297" s="5" t="n">
        <f aca="false">IF(ISNUMBER(AB297),AB297,"")</f>
        <v>3100</v>
      </c>
      <c r="D297" s="0" t="n">
        <f aca="false">IF(ISNUMBER(C297),C297-U297*Data_Summary!$C$2,"")</f>
        <v>3100</v>
      </c>
      <c r="E297" s="31" t="n">
        <f aca="false">IFERROR(C297/B297,"")</f>
        <v>4.75460122699387</v>
      </c>
      <c r="F297" s="26" t="n">
        <f aca="false">IFERROR(D297/B297,"")</f>
        <v>4.75460122699387</v>
      </c>
      <c r="G297" s="0" t="str">
        <f aca="false">Q297</f>
        <v>2</v>
      </c>
      <c r="H297" s="0" t="str">
        <f aca="false">IFERROR(LEFT(G297,1),"")</f>
        <v>2</v>
      </c>
      <c r="I297" s="0" t="n">
        <f aca="false">IF(LEN(G297)&gt;1,1,0)</f>
        <v>0</v>
      </c>
      <c r="J297" s="4" t="n">
        <v>46167</v>
      </c>
      <c r="K297" s="0" t="s">
        <v>11</v>
      </c>
      <c r="L297" s="0" t="s">
        <v>95</v>
      </c>
      <c r="M297" s="0" t="s">
        <v>226</v>
      </c>
      <c r="N297" s="0" t="s">
        <v>97</v>
      </c>
      <c r="O297" s="0" t="s">
        <v>1139</v>
      </c>
      <c r="Q297" s="0" t="s">
        <v>251</v>
      </c>
      <c r="R297" s="0" t="n">
        <v>2</v>
      </c>
      <c r="S297" s="5" t="n">
        <v>652</v>
      </c>
      <c r="T297" s="0" t="s">
        <v>271</v>
      </c>
      <c r="U297" s="0" t="n">
        <v>0</v>
      </c>
      <c r="V297" s="0" t="s">
        <v>230</v>
      </c>
      <c r="W297" s="0" t="s">
        <v>244</v>
      </c>
      <c r="Y297" s="0" t="s">
        <v>253</v>
      </c>
      <c r="Z297" s="0" t="s">
        <v>1550</v>
      </c>
      <c r="AA297" s="0" t="s">
        <v>235</v>
      </c>
      <c r="AB297" s="32" t="n">
        <v>3100</v>
      </c>
      <c r="AC297" s="32" t="n">
        <v>3000</v>
      </c>
      <c r="AD297" s="26" t="n">
        <f aca="false">IFERROR(AB297/B297,"")</f>
        <v>4.75460122699387</v>
      </c>
      <c r="AE297" s="26" t="n">
        <f aca="false">IFERROR(AC297/B297,"")</f>
        <v>4.60122699386503</v>
      </c>
      <c r="AF297" s="0" t="s">
        <v>236</v>
      </c>
      <c r="AG297" s="0" t="s">
        <v>236</v>
      </c>
      <c r="AH297" s="0" t="s">
        <v>236</v>
      </c>
      <c r="AI297" s="0" t="s">
        <v>363</v>
      </c>
      <c r="AJ297" s="0" t="s">
        <v>1598</v>
      </c>
      <c r="AK297" s="0" t="s">
        <v>1599</v>
      </c>
      <c r="AL297" s="0" t="s">
        <v>1600</v>
      </c>
      <c r="AM297" s="0" t="s">
        <v>94</v>
      </c>
      <c r="AN297" s="26" t="n">
        <f aca="false">IFERROR(E297*(1+IF(AM297="Apartment",Data_Summary!$C$3,0)),"")</f>
        <v>4.75460122699387</v>
      </c>
      <c r="AO297" s="4" t="n">
        <v>46195</v>
      </c>
    </row>
    <row r="298" customFormat="false" ht="15" hidden="false" customHeight="false" outlineLevel="0" collapsed="false">
      <c r="A298" s="0" t="n">
        <f aca="false">IF(AND(ISNUMBER(B298),B298&gt;0,ISNUMBER(AB298),AB298&gt;0,J298&gt;=Data_Summary!$C$1),1,0)</f>
        <v>1</v>
      </c>
      <c r="B298" s="30" t="n">
        <v>639</v>
      </c>
      <c r="C298" s="5" t="n">
        <f aca="false">IF(ISNUMBER(AB298),AB298,"")</f>
        <v>3100</v>
      </c>
      <c r="D298" s="0" t="n">
        <f aca="false">IF(ISNUMBER(C298),C298-U298*Data_Summary!$C$2,"")</f>
        <v>3100</v>
      </c>
      <c r="E298" s="31" t="n">
        <f aca="false">IFERROR(C298/B298,"")</f>
        <v>4.85133020344288</v>
      </c>
      <c r="F298" s="26" t="n">
        <f aca="false">IFERROR(D298/B298,"")</f>
        <v>4.85133020344288</v>
      </c>
      <c r="G298" s="0" t="str">
        <f aca="false">Q298</f>
        <v>2</v>
      </c>
      <c r="H298" s="0" t="str">
        <f aca="false">IFERROR(LEFT(G298,1),"")</f>
        <v>2</v>
      </c>
      <c r="I298" s="0" t="n">
        <f aca="false">IF(LEN(G298)&gt;1,1,0)</f>
        <v>0</v>
      </c>
      <c r="J298" s="4" t="n">
        <v>46163</v>
      </c>
      <c r="K298" s="0" t="s">
        <v>11</v>
      </c>
      <c r="L298" s="0" t="s">
        <v>95</v>
      </c>
      <c r="M298" s="0" t="s">
        <v>226</v>
      </c>
      <c r="N298" s="0" t="s">
        <v>97</v>
      </c>
      <c r="O298" s="0" t="s">
        <v>1601</v>
      </c>
      <c r="Q298" s="0" t="s">
        <v>251</v>
      </c>
      <c r="R298" s="0" t="n">
        <v>2</v>
      </c>
      <c r="S298" s="5" t="n">
        <v>639</v>
      </c>
      <c r="T298" s="0" t="s">
        <v>271</v>
      </c>
      <c r="U298" s="0" t="n">
        <v>0</v>
      </c>
      <c r="V298" s="0" t="s">
        <v>230</v>
      </c>
      <c r="W298" s="0" t="s">
        <v>244</v>
      </c>
      <c r="Y298" s="0" t="s">
        <v>308</v>
      </c>
      <c r="Z298" s="0" t="s">
        <v>1550</v>
      </c>
      <c r="AA298" s="0" t="s">
        <v>235</v>
      </c>
      <c r="AB298" s="32" t="n">
        <v>3100</v>
      </c>
      <c r="AC298" s="32" t="n">
        <v>3100</v>
      </c>
      <c r="AD298" s="26" t="n">
        <f aca="false">IFERROR(AB298/B298,"")</f>
        <v>4.85133020344288</v>
      </c>
      <c r="AE298" s="26" t="n">
        <f aca="false">IFERROR(AC298/B298,"")</f>
        <v>4.85133020344288</v>
      </c>
      <c r="AF298" s="0" t="s">
        <v>236</v>
      </c>
      <c r="AG298" s="0" t="s">
        <v>236</v>
      </c>
      <c r="AH298" s="0" t="s">
        <v>236</v>
      </c>
      <c r="AI298" s="0" t="s">
        <v>1602</v>
      </c>
      <c r="AJ298" s="0" t="s">
        <v>1603</v>
      </c>
      <c r="AK298" s="0" t="s">
        <v>1604</v>
      </c>
      <c r="AL298" s="0" t="s">
        <v>1605</v>
      </c>
      <c r="AM298" s="0" t="s">
        <v>94</v>
      </c>
      <c r="AN298" s="26" t="n">
        <f aca="false">IFERROR(E298*(1+IF(AM298="Apartment",Data_Summary!$C$3,0)),"")</f>
        <v>4.85133020344288</v>
      </c>
      <c r="AO298" s="4" t="n">
        <v>46195</v>
      </c>
    </row>
    <row r="299" customFormat="false" ht="15" hidden="false" customHeight="false" outlineLevel="0" collapsed="false">
      <c r="A299" s="0" t="n">
        <f aca="false">IF(AND(ISNUMBER(B299),B299&gt;0,ISNUMBER(AB299),AB299&gt;0,J299&gt;=Data_Summary!$C$1),1,0)</f>
        <v>1</v>
      </c>
      <c r="B299" s="30" t="n">
        <v>639</v>
      </c>
      <c r="C299" s="5" t="n">
        <f aca="false">IF(ISNUMBER(AB299),AB299,"")</f>
        <v>3000</v>
      </c>
      <c r="D299" s="0" t="n">
        <f aca="false">IF(ISNUMBER(C299),C299-U299*Data_Summary!$C$2,"")</f>
        <v>3000</v>
      </c>
      <c r="E299" s="31" t="n">
        <f aca="false">IFERROR(C299/B299,"")</f>
        <v>4.69483568075117</v>
      </c>
      <c r="F299" s="26" t="n">
        <f aca="false">IFERROR(D299/B299,"")</f>
        <v>4.69483568075117</v>
      </c>
      <c r="G299" s="0" t="str">
        <f aca="false">Q299</f>
        <v>2</v>
      </c>
      <c r="H299" s="0" t="str">
        <f aca="false">IFERROR(LEFT(G299,1),"")</f>
        <v>2</v>
      </c>
      <c r="I299" s="0" t="n">
        <f aca="false">IF(LEN(G299)&gt;1,1,0)</f>
        <v>0</v>
      </c>
      <c r="J299" s="4" t="n">
        <v>46162</v>
      </c>
      <c r="K299" s="0" t="s">
        <v>11</v>
      </c>
      <c r="L299" s="0" t="s">
        <v>95</v>
      </c>
      <c r="M299" s="0" t="s">
        <v>226</v>
      </c>
      <c r="N299" s="0" t="s">
        <v>97</v>
      </c>
      <c r="O299" s="0" t="s">
        <v>1606</v>
      </c>
      <c r="Q299" s="0" t="s">
        <v>251</v>
      </c>
      <c r="R299" s="0" t="n">
        <v>2</v>
      </c>
      <c r="S299" s="5" t="n">
        <v>639</v>
      </c>
      <c r="T299" s="0" t="s">
        <v>271</v>
      </c>
      <c r="U299" s="0" t="n">
        <v>0</v>
      </c>
      <c r="V299" s="0" t="s">
        <v>230</v>
      </c>
      <c r="W299" s="0" t="s">
        <v>244</v>
      </c>
      <c r="Y299" s="0" t="s">
        <v>278</v>
      </c>
      <c r="Z299" s="0" t="s">
        <v>1550</v>
      </c>
      <c r="AA299" s="0" t="s">
        <v>235</v>
      </c>
      <c r="AB299" s="32" t="n">
        <v>3000</v>
      </c>
      <c r="AC299" s="32" t="n">
        <v>3000</v>
      </c>
      <c r="AD299" s="26" t="n">
        <f aca="false">IFERROR(AB299/B299,"")</f>
        <v>4.69483568075117</v>
      </c>
      <c r="AE299" s="26" t="n">
        <f aca="false">IFERROR(AC299/B299,"")</f>
        <v>4.69483568075117</v>
      </c>
      <c r="AF299" s="0" t="s">
        <v>236</v>
      </c>
      <c r="AG299" s="0" t="s">
        <v>236</v>
      </c>
      <c r="AH299" s="0" t="s">
        <v>236</v>
      </c>
      <c r="AI299" s="0" t="s">
        <v>372</v>
      </c>
      <c r="AJ299" s="0" t="s">
        <v>1607</v>
      </c>
      <c r="AK299" s="0" t="s">
        <v>1608</v>
      </c>
      <c r="AL299" s="0" t="s">
        <v>1609</v>
      </c>
      <c r="AM299" s="0" t="s">
        <v>94</v>
      </c>
      <c r="AN299" s="26" t="n">
        <f aca="false">IFERROR(E299*(1+IF(AM299="Apartment",Data_Summary!$C$3,0)),"")</f>
        <v>4.69483568075117</v>
      </c>
      <c r="AO299" s="4" t="n">
        <v>46195</v>
      </c>
    </row>
    <row r="300" customFormat="false" ht="15" hidden="false" customHeight="false" outlineLevel="0" collapsed="false">
      <c r="A300" s="0" t="n">
        <f aca="false">IF(AND(ISNUMBER(B300),B300&gt;0,ISNUMBER(AB300),AB300&gt;0,J300&gt;=Data_Summary!$C$1),1,0)</f>
        <v>1</v>
      </c>
      <c r="B300" s="30" t="n">
        <v>701</v>
      </c>
      <c r="C300" s="5" t="n">
        <f aca="false">IF(ISNUMBER(AB300),AB300,"")</f>
        <v>2850</v>
      </c>
      <c r="D300" s="0" t="n">
        <f aca="false">IF(ISNUMBER(C300),C300-U300*Data_Summary!$C$2,"")</f>
        <v>2850</v>
      </c>
      <c r="E300" s="31" t="n">
        <f aca="false">IFERROR(C300/B300,"")</f>
        <v>4.06562054208274</v>
      </c>
      <c r="F300" s="26" t="n">
        <f aca="false">IFERROR(D300/B300,"")</f>
        <v>4.06562054208274</v>
      </c>
      <c r="G300" s="0" t="str">
        <f aca="false">Q300</f>
        <v>2</v>
      </c>
      <c r="H300" s="0" t="str">
        <f aca="false">IFERROR(LEFT(G300,1),"")</f>
        <v>2</v>
      </c>
      <c r="I300" s="0" t="n">
        <f aca="false">IF(LEN(G300)&gt;1,1,0)</f>
        <v>0</v>
      </c>
      <c r="J300" s="4" t="n">
        <v>46161</v>
      </c>
      <c r="K300" s="0" t="s">
        <v>11</v>
      </c>
      <c r="L300" s="0" t="s">
        <v>95</v>
      </c>
      <c r="M300" s="0" t="s">
        <v>226</v>
      </c>
      <c r="N300" s="0" t="s">
        <v>97</v>
      </c>
      <c r="O300" s="0" t="s">
        <v>622</v>
      </c>
      <c r="Q300" s="0" t="s">
        <v>251</v>
      </c>
      <c r="R300" s="0" t="n">
        <v>2</v>
      </c>
      <c r="S300" s="5" t="n">
        <v>701</v>
      </c>
      <c r="T300" s="0" t="s">
        <v>252</v>
      </c>
      <c r="U300" s="0" t="n">
        <v>0</v>
      </c>
      <c r="V300" s="0" t="s">
        <v>230</v>
      </c>
      <c r="W300" s="0" t="s">
        <v>244</v>
      </c>
      <c r="Y300" s="0" t="s">
        <v>278</v>
      </c>
      <c r="Z300" s="0" t="s">
        <v>1550</v>
      </c>
      <c r="AA300" s="0" t="s">
        <v>235</v>
      </c>
      <c r="AB300" s="32" t="n">
        <v>2850</v>
      </c>
      <c r="AC300" s="32" t="n">
        <v>2800</v>
      </c>
      <c r="AD300" s="26" t="n">
        <f aca="false">IFERROR(AB300/B300,"")</f>
        <v>4.06562054208274</v>
      </c>
      <c r="AE300" s="26" t="n">
        <f aca="false">IFERROR(AC300/B300,"")</f>
        <v>3.99429386590585</v>
      </c>
      <c r="AF300" s="0" t="s">
        <v>236</v>
      </c>
      <c r="AG300" s="0" t="s">
        <v>236</v>
      </c>
      <c r="AH300" s="0" t="s">
        <v>236</v>
      </c>
      <c r="AI300" s="0" t="s">
        <v>376</v>
      </c>
      <c r="AJ300" s="0" t="s">
        <v>1610</v>
      </c>
      <c r="AK300" s="0" t="s">
        <v>1611</v>
      </c>
      <c r="AL300" s="0" t="s">
        <v>1612</v>
      </c>
      <c r="AM300" s="0" t="s">
        <v>94</v>
      </c>
      <c r="AN300" s="26" t="n">
        <f aca="false">IFERROR(E300*(1+IF(AM300="Apartment",Data_Summary!$C$3,0)),"")</f>
        <v>4.06562054208274</v>
      </c>
      <c r="AO300" s="4" t="n">
        <v>46195</v>
      </c>
    </row>
    <row r="301" customFormat="false" ht="15" hidden="false" customHeight="false" outlineLevel="0" collapsed="false">
      <c r="A301" s="0" t="n">
        <f aca="false">IF(AND(ISNUMBER(B301),B301&gt;0,ISNUMBER(AB301),AB301&gt;0,J301&gt;=Data_Summary!$C$1),1,0)</f>
        <v>1</v>
      </c>
      <c r="B301" s="33" t="n">
        <v>776</v>
      </c>
      <c r="C301" s="5" t="n">
        <f aca="false">IF(ISNUMBER(AB301),AB301,"")</f>
        <v>3500</v>
      </c>
      <c r="D301" s="0" t="n">
        <f aca="false">IF(ISNUMBER(C301),C301-U301*Data_Summary!$C$2,"")</f>
        <v>3350</v>
      </c>
      <c r="E301" s="34" t="n">
        <f aca="false">IFERROR(C301/B301,"")</f>
        <v>4.51030927835052</v>
      </c>
      <c r="F301" s="26" t="n">
        <f aca="false">IFERROR(D301/B301,"")</f>
        <v>4.31701030927835</v>
      </c>
      <c r="G301" s="0" t="str">
        <f aca="false">Q301</f>
        <v>2+1</v>
      </c>
      <c r="H301" s="0" t="str">
        <f aca="false">IFERROR(LEFT(G301,1),"")</f>
        <v>2</v>
      </c>
      <c r="I301" s="0" t="n">
        <f aca="false">IF(LEN(G301)&gt;1,1,0)</f>
        <v>1</v>
      </c>
      <c r="J301" s="4" t="n">
        <v>46150</v>
      </c>
      <c r="K301" s="0" t="s">
        <v>11</v>
      </c>
      <c r="L301" s="0" t="s">
        <v>95</v>
      </c>
      <c r="M301" s="0" t="s">
        <v>226</v>
      </c>
      <c r="N301" s="0" t="s">
        <v>97</v>
      </c>
      <c r="O301" s="0" t="s">
        <v>949</v>
      </c>
      <c r="Q301" s="0" t="s">
        <v>451</v>
      </c>
      <c r="R301" s="0" t="n">
        <v>2</v>
      </c>
      <c r="S301" s="5" t="n">
        <v>776</v>
      </c>
      <c r="T301" s="0" t="s">
        <v>229</v>
      </c>
      <c r="U301" s="0" t="n">
        <v>1</v>
      </c>
      <c r="V301" s="0" t="s">
        <v>230</v>
      </c>
      <c r="W301" s="0" t="s">
        <v>244</v>
      </c>
      <c r="X301" s="0" t="s">
        <v>232</v>
      </c>
      <c r="Y301" s="0" t="s">
        <v>233</v>
      </c>
      <c r="Z301" s="0" t="s">
        <v>1550</v>
      </c>
      <c r="AA301" s="0" t="s">
        <v>235</v>
      </c>
      <c r="AB301" s="32" t="n">
        <v>3500</v>
      </c>
      <c r="AC301" s="32" t="n">
        <v>3600</v>
      </c>
      <c r="AD301" s="26" t="n">
        <f aca="false">IFERROR(AB301/B301,"")</f>
        <v>4.51030927835052</v>
      </c>
      <c r="AE301" s="26" t="n">
        <f aca="false">IFERROR(AC301/B301,"")</f>
        <v>4.63917525773196</v>
      </c>
      <c r="AF301" s="0" t="s">
        <v>236</v>
      </c>
      <c r="AG301" s="0" t="s">
        <v>236</v>
      </c>
      <c r="AH301" s="0" t="s">
        <v>236</v>
      </c>
      <c r="AI301" s="0" t="s">
        <v>401</v>
      </c>
      <c r="AJ301" s="0" t="s">
        <v>1613</v>
      </c>
      <c r="AK301" s="0" t="s">
        <v>1614</v>
      </c>
      <c r="AL301" s="0" t="s">
        <v>1615</v>
      </c>
      <c r="AM301" s="0" t="s">
        <v>94</v>
      </c>
      <c r="AN301" s="26" t="n">
        <f aca="false">IFERROR(E301*(1+IF(AM301="Apartment",Data_Summary!$C$3,0)),"")</f>
        <v>4.51030927835052</v>
      </c>
      <c r="AO301" s="4" t="n">
        <v>46195</v>
      </c>
    </row>
    <row r="302" customFormat="false" ht="15" hidden="false" customHeight="false" outlineLevel="0" collapsed="false">
      <c r="A302" s="0" t="n">
        <f aca="false">IF(AND(ISNUMBER(B302),B302&gt;0,ISNUMBER(AB302),AB302&gt;0,J302&gt;=Data_Summary!$C$1),1,0)</f>
        <v>1</v>
      </c>
      <c r="B302" s="30" t="n">
        <v>427</v>
      </c>
      <c r="C302" s="5" t="n">
        <f aca="false">IF(ISNUMBER(AB302),AB302,"")</f>
        <v>2200</v>
      </c>
      <c r="D302" s="0" t="n">
        <f aca="false">IF(ISNUMBER(C302),C302-U302*Data_Summary!$C$2,"")</f>
        <v>2200</v>
      </c>
      <c r="E302" s="31" t="n">
        <f aca="false">IFERROR(C302/B302,"")</f>
        <v>5.15222482435597</v>
      </c>
      <c r="F302" s="26" t="n">
        <f aca="false">IFERROR(D302/B302,"")</f>
        <v>5.15222482435597</v>
      </c>
      <c r="G302" s="0" t="str">
        <f aca="false">Q302</f>
        <v>1</v>
      </c>
      <c r="H302" s="0" t="str">
        <f aca="false">IFERROR(LEFT(G302,1),"")</f>
        <v>1</v>
      </c>
      <c r="I302" s="0" t="n">
        <f aca="false">IF(LEN(G302)&gt;1,1,0)</f>
        <v>0</v>
      </c>
      <c r="J302" s="4" t="n">
        <v>46149</v>
      </c>
      <c r="K302" s="0" t="s">
        <v>11</v>
      </c>
      <c r="L302" s="0" t="s">
        <v>95</v>
      </c>
      <c r="M302" s="0" t="s">
        <v>226</v>
      </c>
      <c r="N302" s="0" t="s">
        <v>97</v>
      </c>
      <c r="O302" s="0" t="s">
        <v>1616</v>
      </c>
      <c r="Q302" s="0" t="s">
        <v>242</v>
      </c>
      <c r="R302" s="0" t="n">
        <v>1</v>
      </c>
      <c r="S302" s="5" t="n">
        <v>427</v>
      </c>
      <c r="T302" s="0" t="s">
        <v>303</v>
      </c>
      <c r="U302" s="0" t="n">
        <v>0</v>
      </c>
      <c r="V302" s="0" t="s">
        <v>230</v>
      </c>
      <c r="W302" s="0" t="s">
        <v>244</v>
      </c>
      <c r="Y302" s="0" t="s">
        <v>297</v>
      </c>
      <c r="Z302" s="0" t="s">
        <v>1550</v>
      </c>
      <c r="AA302" s="0" t="s">
        <v>235</v>
      </c>
      <c r="AB302" s="32" t="n">
        <v>2200</v>
      </c>
      <c r="AC302" s="32" t="n">
        <v>2250</v>
      </c>
      <c r="AD302" s="26" t="n">
        <f aca="false">IFERROR(AB302/B302,"")</f>
        <v>5.15222482435597</v>
      </c>
      <c r="AE302" s="26" t="n">
        <f aca="false">IFERROR(AC302/B302,"")</f>
        <v>5.26932084309134</v>
      </c>
      <c r="AF302" s="0" t="s">
        <v>236</v>
      </c>
      <c r="AG302" s="0" t="s">
        <v>236</v>
      </c>
      <c r="AH302" s="0" t="s">
        <v>236</v>
      </c>
      <c r="AI302" s="0" t="s">
        <v>1617</v>
      </c>
      <c r="AJ302" s="0" t="s">
        <v>1618</v>
      </c>
      <c r="AK302" s="0" t="s">
        <v>1619</v>
      </c>
      <c r="AL302" s="0" t="s">
        <v>1620</v>
      </c>
      <c r="AM302" s="0" t="s">
        <v>94</v>
      </c>
      <c r="AN302" s="26" t="n">
        <f aca="false">IFERROR(E302*(1+IF(AM302="Apartment",Data_Summary!$C$3,0)),"")</f>
        <v>5.15222482435597</v>
      </c>
      <c r="AO302" s="4" t="n">
        <v>46195</v>
      </c>
    </row>
    <row r="303" customFormat="false" ht="15" hidden="false" customHeight="false" outlineLevel="0" collapsed="false">
      <c r="A303" s="0" t="n">
        <f aca="false">IF(AND(ISNUMBER(B303),B303&gt;0,ISNUMBER(AB303),AB303&gt;0,J303&gt;=Data_Summary!$C$1),1,0)</f>
        <v>1</v>
      </c>
      <c r="B303" s="30" t="n">
        <v>527</v>
      </c>
      <c r="C303" s="5" t="n">
        <f aca="false">IF(ISNUMBER(AB303),AB303,"")</f>
        <v>2300</v>
      </c>
      <c r="D303" s="0" t="n">
        <f aca="false">IF(ISNUMBER(C303),C303-U303*Data_Summary!$C$2,"")</f>
        <v>2300</v>
      </c>
      <c r="E303" s="31" t="n">
        <f aca="false">IFERROR(C303/B303,"")</f>
        <v>4.36432637571158</v>
      </c>
      <c r="F303" s="26" t="n">
        <f aca="false">IFERROR(D303/B303,"")</f>
        <v>4.36432637571158</v>
      </c>
      <c r="G303" s="0" t="str">
        <f aca="false">Q303</f>
        <v>1</v>
      </c>
      <c r="H303" s="0" t="str">
        <f aca="false">IFERROR(LEFT(G303,1),"")</f>
        <v>1</v>
      </c>
      <c r="I303" s="0" t="n">
        <f aca="false">IF(LEN(G303)&gt;1,1,0)</f>
        <v>0</v>
      </c>
      <c r="J303" s="4" t="n">
        <v>46148</v>
      </c>
      <c r="K303" s="0" t="s">
        <v>11</v>
      </c>
      <c r="L303" s="0" t="s">
        <v>95</v>
      </c>
      <c r="M303" s="0" t="s">
        <v>226</v>
      </c>
      <c r="N303" s="0" t="s">
        <v>97</v>
      </c>
      <c r="O303" s="0" t="s">
        <v>1621</v>
      </c>
      <c r="Q303" s="0" t="s">
        <v>242</v>
      </c>
      <c r="R303" s="0" t="n">
        <v>1</v>
      </c>
      <c r="S303" s="5" t="n">
        <v>527</v>
      </c>
      <c r="T303" s="0" t="s">
        <v>243</v>
      </c>
      <c r="U303" s="0" t="n">
        <v>0</v>
      </c>
      <c r="V303" s="0" t="s">
        <v>230</v>
      </c>
      <c r="W303" s="0" t="s">
        <v>244</v>
      </c>
      <c r="Y303" s="0" t="s">
        <v>245</v>
      </c>
      <c r="Z303" s="0" t="s">
        <v>1550</v>
      </c>
      <c r="AA303" s="0" t="s">
        <v>235</v>
      </c>
      <c r="AB303" s="32" t="n">
        <v>2300</v>
      </c>
      <c r="AC303" s="32" t="n">
        <v>2300</v>
      </c>
      <c r="AD303" s="26" t="n">
        <f aca="false">IFERROR(AB303/B303,"")</f>
        <v>4.36432637571158</v>
      </c>
      <c r="AE303" s="26" t="n">
        <f aca="false">IFERROR(AC303/B303,"")</f>
        <v>4.36432637571158</v>
      </c>
      <c r="AF303" s="0" t="s">
        <v>236</v>
      </c>
      <c r="AG303" s="0" t="s">
        <v>236</v>
      </c>
      <c r="AH303" s="0" t="s">
        <v>236</v>
      </c>
      <c r="AI303" s="0" t="s">
        <v>406</v>
      </c>
      <c r="AJ303" s="0" t="s">
        <v>1622</v>
      </c>
      <c r="AK303" s="0" t="s">
        <v>1623</v>
      </c>
      <c r="AL303" s="0" t="s">
        <v>1624</v>
      </c>
      <c r="AM303" s="0" t="s">
        <v>94</v>
      </c>
      <c r="AN303" s="26" t="n">
        <f aca="false">IFERROR(E303*(1+IF(AM303="Apartment",Data_Summary!$C$3,0)),"")</f>
        <v>4.36432637571158</v>
      </c>
      <c r="AO303" s="4" t="n">
        <v>46195</v>
      </c>
    </row>
    <row r="304" customFormat="false" ht="15" hidden="false" customHeight="false" outlineLevel="0" collapsed="false">
      <c r="A304" s="0" t="n">
        <f aca="false">IF(AND(ISNUMBER(B304),B304&gt;0,ISNUMBER(AB304),AB304&gt;0,J304&gt;=Data_Summary!$C$1),1,0)</f>
        <v>1</v>
      </c>
      <c r="B304" s="30" t="n">
        <v>510</v>
      </c>
      <c r="C304" s="5" t="n">
        <f aca="false">IF(ISNUMBER(AB304),AB304,"")</f>
        <v>2300</v>
      </c>
      <c r="D304" s="0" t="n">
        <f aca="false">IF(ISNUMBER(C304),C304-U304*Data_Summary!$C$2,"")</f>
        <v>2300</v>
      </c>
      <c r="E304" s="31" t="n">
        <f aca="false">IFERROR(C304/B304,"")</f>
        <v>4.50980392156863</v>
      </c>
      <c r="F304" s="26" t="n">
        <f aca="false">IFERROR(D304/B304,"")</f>
        <v>4.50980392156863</v>
      </c>
      <c r="G304" s="0" t="str">
        <f aca="false">Q304</f>
        <v>1</v>
      </c>
      <c r="H304" s="0" t="str">
        <f aca="false">IFERROR(LEFT(G304,1),"")</f>
        <v>1</v>
      </c>
      <c r="I304" s="0" t="n">
        <f aca="false">IF(LEN(G304)&gt;1,1,0)</f>
        <v>0</v>
      </c>
      <c r="J304" s="4" t="n">
        <v>46146</v>
      </c>
      <c r="K304" s="0" t="s">
        <v>11</v>
      </c>
      <c r="L304" s="0" t="s">
        <v>95</v>
      </c>
      <c r="M304" s="0" t="s">
        <v>226</v>
      </c>
      <c r="N304" s="0" t="s">
        <v>97</v>
      </c>
      <c r="O304" s="0" t="s">
        <v>1625</v>
      </c>
      <c r="Q304" s="0" t="s">
        <v>242</v>
      </c>
      <c r="R304" s="0" t="n">
        <v>1</v>
      </c>
      <c r="S304" s="5" t="n">
        <v>510</v>
      </c>
      <c r="T304" s="0" t="s">
        <v>243</v>
      </c>
      <c r="U304" s="0" t="n">
        <v>0</v>
      </c>
      <c r="V304" s="0" t="s">
        <v>230</v>
      </c>
      <c r="W304" s="0" t="s">
        <v>244</v>
      </c>
      <c r="Y304" s="0" t="s">
        <v>272</v>
      </c>
      <c r="Z304" s="0" t="s">
        <v>1550</v>
      </c>
      <c r="AA304" s="0" t="s">
        <v>235</v>
      </c>
      <c r="AB304" s="32" t="n">
        <v>2300</v>
      </c>
      <c r="AC304" s="32" t="n">
        <v>2250</v>
      </c>
      <c r="AD304" s="26" t="n">
        <f aca="false">IFERROR(AB304/B304,"")</f>
        <v>4.50980392156863</v>
      </c>
      <c r="AE304" s="26" t="n">
        <f aca="false">IFERROR(AC304/B304,"")</f>
        <v>4.41176470588235</v>
      </c>
      <c r="AF304" s="0" t="s">
        <v>236</v>
      </c>
      <c r="AG304" s="0" t="s">
        <v>236</v>
      </c>
      <c r="AH304" s="0" t="s">
        <v>236</v>
      </c>
      <c r="AI304" s="0" t="s">
        <v>416</v>
      </c>
      <c r="AJ304" s="0" t="s">
        <v>1626</v>
      </c>
      <c r="AK304" s="0" t="s">
        <v>1627</v>
      </c>
      <c r="AL304" s="0" t="s">
        <v>1628</v>
      </c>
      <c r="AM304" s="0" t="s">
        <v>94</v>
      </c>
      <c r="AN304" s="26" t="n">
        <f aca="false">IFERROR(E304*(1+IF(AM304="Apartment",Data_Summary!$C$3,0)),"")</f>
        <v>4.50980392156863</v>
      </c>
      <c r="AO304" s="4" t="n">
        <v>46195</v>
      </c>
    </row>
    <row r="305" customFormat="false" ht="15" hidden="false" customHeight="false" outlineLevel="0" collapsed="false">
      <c r="A305" s="0" t="n">
        <f aca="false">IF(AND(ISNUMBER(B305),B305&gt;0,ISNUMBER(AB305),AB305&gt;0,J305&gt;=Data_Summary!$C$1),1,0)</f>
        <v>1</v>
      </c>
      <c r="B305" s="33" t="n">
        <v>527</v>
      </c>
      <c r="C305" s="5" t="n">
        <f aca="false">IF(ISNUMBER(AB305),AB305,"")</f>
        <v>2150</v>
      </c>
      <c r="D305" s="0" t="n">
        <f aca="false">IF(ISNUMBER(C305),C305-U305*Data_Summary!$C$2,"")</f>
        <v>2150</v>
      </c>
      <c r="E305" s="34" t="n">
        <f aca="false">IFERROR(C305/B305,"")</f>
        <v>4.07969639468691</v>
      </c>
      <c r="F305" s="26" t="n">
        <f aca="false">IFERROR(D305/B305,"")</f>
        <v>4.07969639468691</v>
      </c>
      <c r="G305" s="0" t="str">
        <f aca="false">Q305</f>
        <v>1</v>
      </c>
      <c r="H305" s="0" t="str">
        <f aca="false">IFERROR(LEFT(G305,1),"")</f>
        <v>1</v>
      </c>
      <c r="I305" s="0" t="n">
        <f aca="false">IF(LEN(G305)&gt;1,1,0)</f>
        <v>0</v>
      </c>
      <c r="J305" s="4" t="n">
        <v>46143</v>
      </c>
      <c r="K305" s="0" t="s">
        <v>11</v>
      </c>
      <c r="L305" s="0" t="s">
        <v>95</v>
      </c>
      <c r="M305" s="0" t="s">
        <v>226</v>
      </c>
      <c r="N305" s="0" t="s">
        <v>97</v>
      </c>
      <c r="O305" s="0" t="s">
        <v>1629</v>
      </c>
      <c r="Q305" s="0" t="s">
        <v>242</v>
      </c>
      <c r="R305" s="0" t="n">
        <v>1</v>
      </c>
      <c r="S305" s="5" t="n">
        <v>527</v>
      </c>
      <c r="T305" s="0" t="s">
        <v>303</v>
      </c>
      <c r="U305" s="0" t="n">
        <v>0</v>
      </c>
      <c r="V305" s="0" t="s">
        <v>230</v>
      </c>
      <c r="W305" s="0" t="s">
        <v>244</v>
      </c>
      <c r="Y305" s="0" t="s">
        <v>245</v>
      </c>
      <c r="Z305" s="0" t="s">
        <v>1550</v>
      </c>
      <c r="AA305" s="0" t="s">
        <v>235</v>
      </c>
      <c r="AB305" s="32" t="n">
        <v>2150</v>
      </c>
      <c r="AC305" s="32" t="n">
        <v>2270</v>
      </c>
      <c r="AD305" s="26" t="n">
        <f aca="false">IFERROR(AB305/B305,"")</f>
        <v>4.07969639468691</v>
      </c>
      <c r="AE305" s="26" t="n">
        <f aca="false">IFERROR(AC305/B305,"")</f>
        <v>4.30740037950664</v>
      </c>
      <c r="AF305" s="0" t="s">
        <v>236</v>
      </c>
      <c r="AG305" s="0" t="s">
        <v>236</v>
      </c>
      <c r="AH305" s="0" t="s">
        <v>236</v>
      </c>
      <c r="AI305" s="0" t="s">
        <v>1630</v>
      </c>
      <c r="AJ305" s="0" t="s">
        <v>1631</v>
      </c>
      <c r="AK305" s="0" t="s">
        <v>1632</v>
      </c>
      <c r="AL305" s="0" t="s">
        <v>1633</v>
      </c>
      <c r="AM305" s="0" t="s">
        <v>94</v>
      </c>
      <c r="AN305" s="26" t="n">
        <f aca="false">IFERROR(E305*(1+IF(AM305="Apartment",Data_Summary!$C$3,0)),"")</f>
        <v>4.07969639468691</v>
      </c>
      <c r="AO305" s="4" t="n">
        <v>46195</v>
      </c>
    </row>
    <row r="306" customFormat="false" ht="15" hidden="false" customHeight="false" outlineLevel="0" collapsed="false">
      <c r="A306" s="0" t="n">
        <f aca="false">IF(AND(ISNUMBER(B306),B306&gt;0,ISNUMBER(AB306),AB306&gt;0,J306&gt;=Data_Summary!$C$1),1,0)</f>
        <v>1</v>
      </c>
      <c r="B306" s="30" t="n">
        <v>652</v>
      </c>
      <c r="C306" s="5" t="n">
        <f aca="false">IF(ISNUMBER(AB306),AB306,"")</f>
        <v>2900</v>
      </c>
      <c r="D306" s="0" t="n">
        <f aca="false">IF(ISNUMBER(C306),C306-U306*Data_Summary!$C$2,"")</f>
        <v>2900</v>
      </c>
      <c r="E306" s="31" t="n">
        <f aca="false">IFERROR(C306/B306,"")</f>
        <v>4.4478527607362</v>
      </c>
      <c r="F306" s="26" t="n">
        <f aca="false">IFERROR(D306/B306,"")</f>
        <v>4.4478527607362</v>
      </c>
      <c r="G306" s="0" t="str">
        <f aca="false">Q306</f>
        <v>2</v>
      </c>
      <c r="H306" s="0" t="str">
        <f aca="false">IFERROR(LEFT(G306,1),"")</f>
        <v>2</v>
      </c>
      <c r="I306" s="0" t="n">
        <f aca="false">IF(LEN(G306)&gt;1,1,0)</f>
        <v>0</v>
      </c>
      <c r="J306" s="4" t="n">
        <v>46141</v>
      </c>
      <c r="K306" s="0" t="s">
        <v>11</v>
      </c>
      <c r="L306" s="0" t="s">
        <v>95</v>
      </c>
      <c r="M306" s="0" t="s">
        <v>226</v>
      </c>
      <c r="N306" s="0" t="s">
        <v>97</v>
      </c>
      <c r="O306" s="0" t="s">
        <v>911</v>
      </c>
      <c r="Q306" s="0" t="s">
        <v>251</v>
      </c>
      <c r="R306" s="0" t="n">
        <v>2</v>
      </c>
      <c r="S306" s="5" t="n">
        <v>652</v>
      </c>
      <c r="T306" s="0" t="s">
        <v>271</v>
      </c>
      <c r="U306" s="0" t="n">
        <v>0</v>
      </c>
      <c r="V306" s="0" t="s">
        <v>230</v>
      </c>
      <c r="W306" s="0" t="s">
        <v>244</v>
      </c>
      <c r="Y306" s="0" t="s">
        <v>297</v>
      </c>
      <c r="Z306" s="0" t="s">
        <v>1550</v>
      </c>
      <c r="AA306" s="0" t="s">
        <v>235</v>
      </c>
      <c r="AB306" s="32" t="n">
        <v>2900</v>
      </c>
      <c r="AC306" s="32" t="n">
        <v>2950</v>
      </c>
      <c r="AD306" s="26" t="n">
        <f aca="false">IFERROR(AB306/B306,"")</f>
        <v>4.4478527607362</v>
      </c>
      <c r="AE306" s="26" t="n">
        <f aca="false">IFERROR(AC306/B306,"")</f>
        <v>4.52453987730061</v>
      </c>
      <c r="AF306" s="0" t="s">
        <v>236</v>
      </c>
      <c r="AG306" s="0" t="s">
        <v>236</v>
      </c>
      <c r="AH306" s="0" t="s">
        <v>236</v>
      </c>
      <c r="AI306" s="0" t="s">
        <v>1634</v>
      </c>
      <c r="AJ306" s="0" t="s">
        <v>1635</v>
      </c>
      <c r="AK306" s="0" t="s">
        <v>1636</v>
      </c>
      <c r="AL306" s="0" t="s">
        <v>1637</v>
      </c>
      <c r="AM306" s="0" t="s">
        <v>94</v>
      </c>
      <c r="AN306" s="26" t="n">
        <f aca="false">IFERROR(E306*(1+IF(AM306="Apartment",Data_Summary!$C$3,0)),"")</f>
        <v>4.4478527607362</v>
      </c>
      <c r="AO306" s="4" t="n">
        <v>46195</v>
      </c>
    </row>
    <row r="307" customFormat="false" ht="15" hidden="false" customHeight="false" outlineLevel="0" collapsed="false">
      <c r="A307" s="0" t="n">
        <f aca="false">IF(AND(ISNUMBER(B307),B307&gt;0,ISNUMBER(AB307),AB307&gt;0,J307&gt;=Data_Summary!$C$1),1,0)</f>
        <v>1</v>
      </c>
      <c r="B307" s="30" t="n">
        <v>723</v>
      </c>
      <c r="C307" s="5" t="n">
        <f aca="false">IF(ISNUMBER(AB307),AB307,"")</f>
        <v>2650</v>
      </c>
      <c r="D307" s="0" t="n">
        <f aca="false">IF(ISNUMBER(C307),C307-U307*Data_Summary!$C$2,"")</f>
        <v>2650</v>
      </c>
      <c r="E307" s="31" t="n">
        <f aca="false">IFERROR(C307/B307,"")</f>
        <v>3.66528354080221</v>
      </c>
      <c r="F307" s="26" t="n">
        <f aca="false">IFERROR(D307/B307,"")</f>
        <v>3.66528354080221</v>
      </c>
      <c r="G307" s="0" t="str">
        <f aca="false">Q307</f>
        <v>2</v>
      </c>
      <c r="H307" s="0" t="str">
        <f aca="false">IFERROR(LEFT(G307,1),"")</f>
        <v>2</v>
      </c>
      <c r="I307" s="0" t="n">
        <f aca="false">IF(LEN(G307)&gt;1,1,0)</f>
        <v>0</v>
      </c>
      <c r="J307" s="4" t="n">
        <v>46140</v>
      </c>
      <c r="K307" s="0" t="s">
        <v>11</v>
      </c>
      <c r="L307" s="0" t="s">
        <v>95</v>
      </c>
      <c r="M307" s="0" t="s">
        <v>226</v>
      </c>
      <c r="N307" s="0" t="s">
        <v>97</v>
      </c>
      <c r="O307" s="0" t="s">
        <v>1638</v>
      </c>
      <c r="Q307" s="0" t="s">
        <v>251</v>
      </c>
      <c r="R307" s="0" t="n">
        <v>2</v>
      </c>
      <c r="S307" s="5" t="n">
        <v>723</v>
      </c>
      <c r="T307" s="0" t="s">
        <v>252</v>
      </c>
      <c r="U307" s="0" t="n">
        <v>0</v>
      </c>
      <c r="V307" s="0" t="s">
        <v>230</v>
      </c>
      <c r="W307" s="0" t="s">
        <v>244</v>
      </c>
      <c r="Y307" s="0" t="s">
        <v>272</v>
      </c>
      <c r="Z307" s="0" t="s">
        <v>1550</v>
      </c>
      <c r="AA307" s="0" t="s">
        <v>235</v>
      </c>
      <c r="AB307" s="32" t="n">
        <v>2650</v>
      </c>
      <c r="AC307" s="32" t="n">
        <v>2650</v>
      </c>
      <c r="AD307" s="26" t="n">
        <f aca="false">IFERROR(AB307/B307,"")</f>
        <v>3.66528354080221</v>
      </c>
      <c r="AE307" s="26" t="n">
        <f aca="false">IFERROR(AC307/B307,"")</f>
        <v>3.66528354080221</v>
      </c>
      <c r="AF307" s="0" t="s">
        <v>236</v>
      </c>
      <c r="AG307" s="0" t="s">
        <v>236</v>
      </c>
      <c r="AH307" s="0" t="s">
        <v>236</v>
      </c>
      <c r="AI307" s="0" t="s">
        <v>1639</v>
      </c>
      <c r="AJ307" s="0" t="s">
        <v>1640</v>
      </c>
      <c r="AK307" s="0" t="s">
        <v>1641</v>
      </c>
      <c r="AL307" s="0" t="s">
        <v>1642</v>
      </c>
      <c r="AM307" s="0" t="s">
        <v>94</v>
      </c>
      <c r="AN307" s="26" t="n">
        <f aca="false">IFERROR(E307*(1+IF(AM307="Apartment",Data_Summary!$C$3,0)),"")</f>
        <v>3.66528354080221</v>
      </c>
      <c r="AO307" s="4" t="n">
        <v>46195</v>
      </c>
    </row>
    <row r="308" customFormat="false" ht="15" hidden="false" customHeight="false" outlineLevel="0" collapsed="false">
      <c r="A308" s="0" t="n">
        <f aca="false">IF(AND(ISNUMBER(B308),B308&gt;0,ISNUMBER(AB308),AB308&gt;0,J308&gt;=Data_Summary!$C$1),1,0)</f>
        <v>1</v>
      </c>
      <c r="B308" s="30" t="n">
        <v>599</v>
      </c>
      <c r="C308" s="5" t="n">
        <f aca="false">IF(ISNUMBER(AB308),AB308,"")</f>
        <v>2500</v>
      </c>
      <c r="D308" s="0" t="n">
        <f aca="false">IF(ISNUMBER(C308),C308-U308*Data_Summary!$C$2,"")</f>
        <v>2500</v>
      </c>
      <c r="E308" s="31" t="n">
        <f aca="false">IFERROR(C308/B308,"")</f>
        <v>4.17362270450751</v>
      </c>
      <c r="F308" s="26" t="n">
        <f aca="false">IFERROR(D308/B308,"")</f>
        <v>4.17362270450751</v>
      </c>
      <c r="G308" s="0" t="str">
        <f aca="false">Q308</f>
        <v>1+1</v>
      </c>
      <c r="H308" s="0" t="str">
        <f aca="false">IFERROR(LEFT(G308,1),"")</f>
        <v>1</v>
      </c>
      <c r="I308" s="0" t="n">
        <f aca="false">IF(LEN(G308)&gt;1,1,0)</f>
        <v>1</v>
      </c>
      <c r="J308" s="4" t="n">
        <v>46139</v>
      </c>
      <c r="K308" s="0" t="s">
        <v>11</v>
      </c>
      <c r="L308" s="0" t="s">
        <v>95</v>
      </c>
      <c r="M308" s="0" t="s">
        <v>226</v>
      </c>
      <c r="N308" s="0" t="s">
        <v>97</v>
      </c>
      <c r="O308" s="0" t="s">
        <v>1643</v>
      </c>
      <c r="Q308" s="0" t="s">
        <v>270</v>
      </c>
      <c r="R308" s="0" t="n">
        <v>2</v>
      </c>
      <c r="S308" s="5" t="n">
        <v>599</v>
      </c>
      <c r="T308" s="0" t="s">
        <v>243</v>
      </c>
      <c r="U308" s="0" t="n">
        <v>0</v>
      </c>
      <c r="V308" s="0" t="s">
        <v>230</v>
      </c>
      <c r="W308" s="0" t="s">
        <v>244</v>
      </c>
      <c r="Y308" s="0" t="s">
        <v>253</v>
      </c>
      <c r="Z308" s="0" t="s">
        <v>1550</v>
      </c>
      <c r="AA308" s="0" t="s">
        <v>235</v>
      </c>
      <c r="AB308" s="32" t="n">
        <v>2500</v>
      </c>
      <c r="AC308" s="32" t="n">
        <v>2600</v>
      </c>
      <c r="AD308" s="26" t="n">
        <f aca="false">IFERROR(AB308/B308,"")</f>
        <v>4.17362270450751</v>
      </c>
      <c r="AE308" s="26" t="n">
        <f aca="false">IFERROR(AC308/B308,"")</f>
        <v>4.34056761268781</v>
      </c>
      <c r="AF308" s="0" t="s">
        <v>236</v>
      </c>
      <c r="AG308" s="0" t="s">
        <v>236</v>
      </c>
      <c r="AH308" s="0" t="s">
        <v>236</v>
      </c>
      <c r="AI308" s="0" t="s">
        <v>427</v>
      </c>
      <c r="AJ308" s="0" t="s">
        <v>1644</v>
      </c>
      <c r="AK308" s="0" t="s">
        <v>1645</v>
      </c>
      <c r="AL308" s="0" t="s">
        <v>1646</v>
      </c>
      <c r="AM308" s="0" t="s">
        <v>94</v>
      </c>
      <c r="AN308" s="26" t="n">
        <f aca="false">IFERROR(E308*(1+IF(AM308="Apartment",Data_Summary!$C$3,0)),"")</f>
        <v>4.17362270450751</v>
      </c>
      <c r="AO308" s="4" t="n">
        <v>46195</v>
      </c>
    </row>
    <row r="309" customFormat="false" ht="15" hidden="false" customHeight="false" outlineLevel="0" collapsed="false">
      <c r="A309" s="0" t="n">
        <f aca="false">IF(AND(ISNUMBER(B309),B309&gt;0,ISNUMBER(AB309),AB309&gt;0,J309&gt;=Data_Summary!$C$1),1,0)</f>
        <v>1</v>
      </c>
      <c r="B309" s="30" t="n">
        <v>1015</v>
      </c>
      <c r="C309" s="5" t="n">
        <f aca="false">IF(ISNUMBER(AB309),AB309,"")</f>
        <v>4100</v>
      </c>
      <c r="D309" s="0" t="n">
        <f aca="false">IF(ISNUMBER(C309),C309-U309*Data_Summary!$C$2,"")</f>
        <v>3950</v>
      </c>
      <c r="E309" s="31" t="n">
        <f aca="false">IFERROR(C309/B309,"")</f>
        <v>4.03940886699507</v>
      </c>
      <c r="F309" s="26" t="n">
        <f aca="false">IFERROR(D309/B309,"")</f>
        <v>3.89162561576355</v>
      </c>
      <c r="G309" s="0" t="str">
        <f aca="false">Q309</f>
        <v>3</v>
      </c>
      <c r="H309" s="0" t="str">
        <f aca="false">IFERROR(LEFT(G309,1),"")</f>
        <v>3</v>
      </c>
      <c r="I309" s="0" t="n">
        <f aca="false">IF(LEN(G309)&gt;1,1,0)</f>
        <v>0</v>
      </c>
      <c r="J309" s="4" t="n">
        <v>46137</v>
      </c>
      <c r="K309" s="0" t="s">
        <v>11</v>
      </c>
      <c r="L309" s="0" t="s">
        <v>95</v>
      </c>
      <c r="M309" s="0" t="s">
        <v>226</v>
      </c>
      <c r="N309" s="0" t="s">
        <v>97</v>
      </c>
      <c r="O309" s="0" t="s">
        <v>1647</v>
      </c>
      <c r="Q309" s="0" t="s">
        <v>228</v>
      </c>
      <c r="R309" s="0" t="n">
        <v>2</v>
      </c>
      <c r="S309" s="5" t="n">
        <v>1015</v>
      </c>
      <c r="T309" s="0" t="s">
        <v>265</v>
      </c>
      <c r="U309" s="0" t="n">
        <v>1</v>
      </c>
      <c r="V309" s="0" t="s">
        <v>230</v>
      </c>
      <c r="W309" s="0" t="s">
        <v>244</v>
      </c>
      <c r="X309" s="0" t="s">
        <v>232</v>
      </c>
      <c r="Y309" s="0" t="s">
        <v>308</v>
      </c>
      <c r="Z309" s="0" t="s">
        <v>1550</v>
      </c>
      <c r="AA309" s="0" t="s">
        <v>235</v>
      </c>
      <c r="AB309" s="32" t="n">
        <v>4100</v>
      </c>
      <c r="AC309" s="32" t="n">
        <v>4200</v>
      </c>
      <c r="AD309" s="26" t="n">
        <f aca="false">IFERROR(AB309/B309,"")</f>
        <v>4.03940886699507</v>
      </c>
      <c r="AE309" s="26" t="n">
        <f aca="false">IFERROR(AC309/B309,"")</f>
        <v>4.13793103448276</v>
      </c>
      <c r="AF309" s="0" t="s">
        <v>236</v>
      </c>
      <c r="AG309" s="0" t="s">
        <v>236</v>
      </c>
      <c r="AH309" s="0" t="s">
        <v>236</v>
      </c>
      <c r="AI309" s="0" t="s">
        <v>1648</v>
      </c>
      <c r="AJ309" s="0" t="s">
        <v>1649</v>
      </c>
      <c r="AK309" s="0" t="s">
        <v>1650</v>
      </c>
      <c r="AL309" s="0" t="s">
        <v>1651</v>
      </c>
      <c r="AM309" s="0" t="s">
        <v>94</v>
      </c>
      <c r="AN309" s="26" t="n">
        <f aca="false">IFERROR(E309*(1+IF(AM309="Apartment",Data_Summary!$C$3,0)),"")</f>
        <v>4.03940886699507</v>
      </c>
      <c r="AO309" s="4" t="n">
        <v>46195</v>
      </c>
    </row>
    <row r="310" customFormat="false" ht="15" hidden="false" customHeight="false" outlineLevel="0" collapsed="false">
      <c r="A310" s="0" t="n">
        <f aca="false">IF(AND(ISNUMBER(B310),B310&gt;0,ISNUMBER(AB310),AB310&gt;0,J310&gt;=Data_Summary!$C$1),1,0)</f>
        <v>1</v>
      </c>
      <c r="B310" s="33" t="n">
        <v>701</v>
      </c>
      <c r="C310" s="5" t="n">
        <f aca="false">IF(ISNUMBER(AB310),AB310,"")</f>
        <v>3080</v>
      </c>
      <c r="D310" s="0" t="n">
        <f aca="false">IF(ISNUMBER(C310),C310-U310*Data_Summary!$C$2,"")</f>
        <v>3080</v>
      </c>
      <c r="E310" s="34" t="n">
        <f aca="false">IFERROR(C310/B310,"")</f>
        <v>4.39372325249643</v>
      </c>
      <c r="F310" s="26" t="n">
        <f aca="false">IFERROR(D310/B310,"")</f>
        <v>4.39372325249643</v>
      </c>
      <c r="G310" s="0" t="str">
        <f aca="false">Q310</f>
        <v>2</v>
      </c>
      <c r="H310" s="0" t="str">
        <f aca="false">IFERROR(LEFT(G310,1),"")</f>
        <v>2</v>
      </c>
      <c r="I310" s="0" t="n">
        <f aca="false">IF(LEN(G310)&gt;1,1,0)</f>
        <v>0</v>
      </c>
      <c r="J310" s="4" t="n">
        <v>46135</v>
      </c>
      <c r="K310" s="0" t="s">
        <v>11</v>
      </c>
      <c r="L310" s="0" t="s">
        <v>95</v>
      </c>
      <c r="M310" s="0" t="s">
        <v>226</v>
      </c>
      <c r="N310" s="0" t="s">
        <v>97</v>
      </c>
      <c r="O310" s="0" t="s">
        <v>1652</v>
      </c>
      <c r="Q310" s="0" t="s">
        <v>251</v>
      </c>
      <c r="R310" s="0" t="n">
        <v>2</v>
      </c>
      <c r="S310" s="5" t="n">
        <v>701</v>
      </c>
      <c r="T310" s="0" t="s">
        <v>271</v>
      </c>
      <c r="U310" s="0" t="n">
        <v>0</v>
      </c>
      <c r="V310" s="0" t="s">
        <v>230</v>
      </c>
      <c r="W310" s="0" t="s">
        <v>244</v>
      </c>
      <c r="Y310" s="0" t="s">
        <v>297</v>
      </c>
      <c r="Z310" s="0" t="s">
        <v>1550</v>
      </c>
      <c r="AA310" s="0" t="s">
        <v>235</v>
      </c>
      <c r="AB310" s="32" t="n">
        <v>3080</v>
      </c>
      <c r="AC310" s="32" t="n">
        <v>3080</v>
      </c>
      <c r="AD310" s="26" t="n">
        <f aca="false">IFERROR(AB310/B310,"")</f>
        <v>4.39372325249643</v>
      </c>
      <c r="AE310" s="26" t="n">
        <f aca="false">IFERROR(AC310/B310,"")</f>
        <v>4.39372325249643</v>
      </c>
      <c r="AF310" s="0" t="s">
        <v>236</v>
      </c>
      <c r="AG310" s="0" t="s">
        <v>236</v>
      </c>
      <c r="AH310" s="0" t="s">
        <v>236</v>
      </c>
      <c r="AI310" s="0" t="s">
        <v>437</v>
      </c>
      <c r="AJ310" s="0" t="s">
        <v>1653</v>
      </c>
      <c r="AK310" s="0" t="s">
        <v>1654</v>
      </c>
      <c r="AL310" s="0" t="s">
        <v>1655</v>
      </c>
      <c r="AM310" s="0" t="s">
        <v>94</v>
      </c>
      <c r="AN310" s="26" t="n">
        <f aca="false">IFERROR(E310*(1+IF(AM310="Apartment",Data_Summary!$C$3,0)),"")</f>
        <v>4.39372325249643</v>
      </c>
      <c r="AO310" s="4" t="n">
        <v>46195</v>
      </c>
    </row>
    <row r="311" customFormat="false" ht="15" hidden="false" customHeight="false" outlineLevel="0" collapsed="false">
      <c r="A311" s="0" t="n">
        <f aca="false">IF(AND(ISNUMBER(B311),B311&gt;0,ISNUMBER(AB311),AB311&gt;0,J311&gt;=Data_Summary!$C$1),1,0)</f>
        <v>1</v>
      </c>
      <c r="B311" s="30" t="n">
        <v>652</v>
      </c>
      <c r="C311" s="5" t="n">
        <f aca="false">IF(ISNUMBER(AB311),AB311,"")</f>
        <v>2800</v>
      </c>
      <c r="D311" s="0" t="n">
        <f aca="false">IF(ISNUMBER(C311),C311-U311*Data_Summary!$C$2,"")</f>
        <v>2800</v>
      </c>
      <c r="E311" s="31" t="n">
        <f aca="false">IFERROR(C311/B311,"")</f>
        <v>4.29447852760736</v>
      </c>
      <c r="F311" s="26" t="n">
        <f aca="false">IFERROR(D311/B311,"")</f>
        <v>4.29447852760736</v>
      </c>
      <c r="G311" s="0" t="str">
        <f aca="false">Q311</f>
        <v>2</v>
      </c>
      <c r="H311" s="0" t="str">
        <f aca="false">IFERROR(LEFT(G311,1),"")</f>
        <v>2</v>
      </c>
      <c r="I311" s="0" t="n">
        <f aca="false">IF(LEN(G311)&gt;1,1,0)</f>
        <v>0</v>
      </c>
      <c r="J311" s="4" t="n">
        <v>46135</v>
      </c>
      <c r="K311" s="0" t="s">
        <v>11</v>
      </c>
      <c r="L311" s="0" t="s">
        <v>95</v>
      </c>
      <c r="M311" s="0" t="s">
        <v>226</v>
      </c>
      <c r="N311" s="0" t="s">
        <v>97</v>
      </c>
      <c r="O311" s="0" t="s">
        <v>1656</v>
      </c>
      <c r="Q311" s="0" t="s">
        <v>251</v>
      </c>
      <c r="R311" s="0" t="n">
        <v>2</v>
      </c>
      <c r="S311" s="5" t="n">
        <v>652</v>
      </c>
      <c r="T311" s="0" t="s">
        <v>271</v>
      </c>
      <c r="U311" s="0" t="n">
        <v>0</v>
      </c>
      <c r="V311" s="0" t="s">
        <v>230</v>
      </c>
      <c r="W311" s="0" t="s">
        <v>244</v>
      </c>
      <c r="Y311" s="0" t="s">
        <v>245</v>
      </c>
      <c r="Z311" s="0" t="s">
        <v>1550</v>
      </c>
      <c r="AA311" s="0" t="s">
        <v>235</v>
      </c>
      <c r="AB311" s="32" t="n">
        <v>2800</v>
      </c>
      <c r="AC311" s="32" t="n">
        <v>2800</v>
      </c>
      <c r="AD311" s="26" t="n">
        <f aca="false">IFERROR(AB311/B311,"")</f>
        <v>4.29447852760736</v>
      </c>
      <c r="AE311" s="26" t="n">
        <f aca="false">IFERROR(AC311/B311,"")</f>
        <v>4.29447852760736</v>
      </c>
      <c r="AF311" s="0" t="s">
        <v>236</v>
      </c>
      <c r="AG311" s="0" t="s">
        <v>236</v>
      </c>
      <c r="AH311" s="0" t="s">
        <v>236</v>
      </c>
      <c r="AI311" s="0" t="s">
        <v>437</v>
      </c>
      <c r="AJ311" s="0" t="s">
        <v>1657</v>
      </c>
      <c r="AK311" s="0" t="s">
        <v>1658</v>
      </c>
      <c r="AL311" s="0" t="s">
        <v>1659</v>
      </c>
      <c r="AM311" s="0" t="s">
        <v>94</v>
      </c>
      <c r="AN311" s="26" t="n">
        <f aca="false">IFERROR(E311*(1+IF(AM311="Apartment",Data_Summary!$C$3,0)),"")</f>
        <v>4.29447852760736</v>
      </c>
      <c r="AO311" s="4" t="n">
        <v>46195</v>
      </c>
    </row>
    <row r="312" customFormat="false" ht="15" hidden="false" customHeight="false" outlineLevel="0" collapsed="false">
      <c r="A312" s="0" t="n">
        <f aca="false">IF(AND(ISNUMBER(B312),B312&gt;0,ISNUMBER(AB312),AB312&gt;0,J312&gt;=Data_Summary!$C$1),1,0)</f>
        <v>1</v>
      </c>
      <c r="B312" s="30" t="n">
        <v>417</v>
      </c>
      <c r="C312" s="5" t="n">
        <f aca="false">IF(ISNUMBER(AB312),AB312,"")</f>
        <v>2300</v>
      </c>
      <c r="D312" s="0" t="n">
        <f aca="false">IF(ISNUMBER(C312),C312-U312*Data_Summary!$C$2,"")</f>
        <v>2300</v>
      </c>
      <c r="E312" s="31" t="n">
        <f aca="false">IFERROR(C312/B312,"")</f>
        <v>5.51558752997602</v>
      </c>
      <c r="F312" s="26" t="n">
        <f aca="false">IFERROR(D312/B312,"")</f>
        <v>5.51558752997602</v>
      </c>
      <c r="G312" s="0" t="str">
        <f aca="false">Q312</f>
        <v>1</v>
      </c>
      <c r="H312" s="0" t="str">
        <f aca="false">IFERROR(LEFT(G312,1),"")</f>
        <v>1</v>
      </c>
      <c r="I312" s="0" t="n">
        <f aca="false">IF(LEN(G312)&gt;1,1,0)</f>
        <v>0</v>
      </c>
      <c r="J312" s="4" t="n">
        <v>46134</v>
      </c>
      <c r="K312" s="0" t="s">
        <v>11</v>
      </c>
      <c r="L312" s="0" t="s">
        <v>95</v>
      </c>
      <c r="M312" s="0" t="s">
        <v>226</v>
      </c>
      <c r="N312" s="0" t="s">
        <v>97</v>
      </c>
      <c r="O312" s="0" t="s">
        <v>1660</v>
      </c>
      <c r="Q312" s="0" t="s">
        <v>242</v>
      </c>
      <c r="R312" s="0" t="n">
        <v>1</v>
      </c>
      <c r="S312" s="5" t="n">
        <v>417</v>
      </c>
      <c r="T312" s="0" t="s">
        <v>303</v>
      </c>
      <c r="U312" s="0" t="n">
        <v>0</v>
      </c>
      <c r="V312" s="0" t="s">
        <v>230</v>
      </c>
      <c r="W312" s="0" t="s">
        <v>244</v>
      </c>
      <c r="Y312" s="0" t="s">
        <v>272</v>
      </c>
      <c r="Z312" s="0" t="s">
        <v>1550</v>
      </c>
      <c r="AA312" s="0" t="s">
        <v>235</v>
      </c>
      <c r="AB312" s="32" t="n">
        <v>2300</v>
      </c>
      <c r="AC312" s="32" t="n">
        <v>2350</v>
      </c>
      <c r="AD312" s="26" t="n">
        <f aca="false">IFERROR(AB312/B312,"")</f>
        <v>5.51558752997602</v>
      </c>
      <c r="AE312" s="26" t="n">
        <f aca="false">IFERROR(AC312/B312,"")</f>
        <v>5.63549160671463</v>
      </c>
      <c r="AF312" s="0" t="s">
        <v>236</v>
      </c>
      <c r="AG312" s="0" t="s">
        <v>236</v>
      </c>
      <c r="AH312" s="0" t="s">
        <v>236</v>
      </c>
      <c r="AI312" s="0" t="s">
        <v>1661</v>
      </c>
      <c r="AJ312" s="0" t="s">
        <v>1662</v>
      </c>
      <c r="AK312" s="0" t="s">
        <v>1663</v>
      </c>
      <c r="AL312" s="0" t="s">
        <v>1664</v>
      </c>
      <c r="AM312" s="0" t="s">
        <v>94</v>
      </c>
      <c r="AN312" s="26" t="n">
        <f aca="false">IFERROR(E312*(1+IF(AM312="Apartment",Data_Summary!$C$3,0)),"")</f>
        <v>5.51558752997602</v>
      </c>
      <c r="AO312" s="4" t="n">
        <v>46195</v>
      </c>
    </row>
    <row r="313" customFormat="false" ht="15" hidden="false" customHeight="false" outlineLevel="0" collapsed="false">
      <c r="A313" s="0" t="n">
        <f aca="false">IF(AND(ISNUMBER(B313),B313&gt;0,ISNUMBER(AB313),AB313&gt;0,J313&gt;=Data_Summary!$C$1),1,0)</f>
        <v>1</v>
      </c>
      <c r="B313" s="33" t="n">
        <v>639</v>
      </c>
      <c r="C313" s="5" t="n">
        <f aca="false">IF(ISNUMBER(AB313),AB313,"")</f>
        <v>3100</v>
      </c>
      <c r="D313" s="0" t="n">
        <f aca="false">IF(ISNUMBER(C313),C313-U313*Data_Summary!$C$2,"")</f>
        <v>3100</v>
      </c>
      <c r="E313" s="34" t="n">
        <f aca="false">IFERROR(C313/B313,"")</f>
        <v>4.85133020344288</v>
      </c>
      <c r="F313" s="26" t="n">
        <f aca="false">IFERROR(D313/B313,"")</f>
        <v>4.85133020344288</v>
      </c>
      <c r="G313" s="0" t="str">
        <f aca="false">Q313</f>
        <v>2</v>
      </c>
      <c r="H313" s="0" t="str">
        <f aca="false">IFERROR(LEFT(G313,1),"")</f>
        <v>2</v>
      </c>
      <c r="I313" s="0" t="n">
        <f aca="false">IF(LEN(G313)&gt;1,1,0)</f>
        <v>0</v>
      </c>
      <c r="J313" s="4" t="n">
        <v>46133</v>
      </c>
      <c r="K313" s="0" t="s">
        <v>11</v>
      </c>
      <c r="L313" s="0" t="s">
        <v>95</v>
      </c>
      <c r="M313" s="0" t="s">
        <v>226</v>
      </c>
      <c r="N313" s="0" t="s">
        <v>97</v>
      </c>
      <c r="O313" s="0" t="s">
        <v>1665</v>
      </c>
      <c r="Q313" s="0" t="s">
        <v>251</v>
      </c>
      <c r="R313" s="0" t="n">
        <v>2</v>
      </c>
      <c r="S313" s="5" t="n">
        <v>639</v>
      </c>
      <c r="T313" s="0" t="s">
        <v>271</v>
      </c>
      <c r="U313" s="0" t="n">
        <v>0</v>
      </c>
      <c r="V313" s="0" t="s">
        <v>230</v>
      </c>
      <c r="W313" s="0" t="s">
        <v>244</v>
      </c>
      <c r="Y313" s="0" t="s">
        <v>308</v>
      </c>
      <c r="Z313" s="0" t="s">
        <v>1550</v>
      </c>
      <c r="AA313" s="0" t="s">
        <v>235</v>
      </c>
      <c r="AB313" s="32" t="n">
        <v>3100</v>
      </c>
      <c r="AC313" s="32" t="n">
        <v>3100</v>
      </c>
      <c r="AD313" s="26" t="n">
        <f aca="false">IFERROR(AB313/B313,"")</f>
        <v>4.85133020344288</v>
      </c>
      <c r="AE313" s="26" t="n">
        <f aca="false">IFERROR(AC313/B313,"")</f>
        <v>4.85133020344288</v>
      </c>
      <c r="AF313" s="0" t="s">
        <v>230</v>
      </c>
      <c r="AG313" s="0" t="s">
        <v>236</v>
      </c>
      <c r="AH313" s="0" t="s">
        <v>236</v>
      </c>
      <c r="AI313" s="0" t="s">
        <v>1666</v>
      </c>
      <c r="AJ313" s="0" t="s">
        <v>1667</v>
      </c>
      <c r="AK313" s="0" t="s">
        <v>1668</v>
      </c>
      <c r="AL313" s="0" t="s">
        <v>1669</v>
      </c>
      <c r="AM313" s="0" t="s">
        <v>94</v>
      </c>
      <c r="AN313" s="26" t="n">
        <f aca="false">IFERROR(E313*(1+IF(AM313="Apartment",Data_Summary!$C$3,0)),"")</f>
        <v>4.85133020344288</v>
      </c>
      <c r="AO313" s="4" t="n">
        <v>46195</v>
      </c>
    </row>
    <row r="314" customFormat="false" ht="15" hidden="false" customHeight="false" outlineLevel="0" collapsed="false">
      <c r="A314" s="0" t="n">
        <f aca="false">IF(AND(ISNUMBER(B314),B314&gt;0,ISNUMBER(AB314),AB314&gt;0,J314&gt;=Data_Summary!$C$1),1,0)</f>
        <v>1</v>
      </c>
      <c r="B314" s="30" t="n">
        <v>890</v>
      </c>
      <c r="C314" s="5" t="n">
        <f aca="false">IF(ISNUMBER(AB314),AB314,"")</f>
        <v>3200</v>
      </c>
      <c r="D314" s="0" t="n">
        <f aca="false">IF(ISNUMBER(C314),C314-U314*Data_Summary!$C$2,"")</f>
        <v>3200</v>
      </c>
      <c r="E314" s="31" t="n">
        <f aca="false">IFERROR(C314/B314,"")</f>
        <v>3.59550561797753</v>
      </c>
      <c r="F314" s="26" t="n">
        <f aca="false">IFERROR(D314/B314,"")</f>
        <v>3.59550561797753</v>
      </c>
      <c r="G314" s="0" t="str">
        <f aca="false">Q314</f>
        <v>2+1</v>
      </c>
      <c r="H314" s="0" t="str">
        <f aca="false">IFERROR(LEFT(G314,1),"")</f>
        <v>2</v>
      </c>
      <c r="I314" s="0" t="n">
        <f aca="false">IF(LEN(G314)&gt;1,1,0)</f>
        <v>1</v>
      </c>
      <c r="J314" s="4" t="n">
        <v>46132</v>
      </c>
      <c r="K314" s="0" t="s">
        <v>11</v>
      </c>
      <c r="L314" s="0" t="s">
        <v>95</v>
      </c>
      <c r="M314" s="0" t="s">
        <v>226</v>
      </c>
      <c r="N314" s="0" t="s">
        <v>97</v>
      </c>
      <c r="O314" s="0" t="s">
        <v>1670</v>
      </c>
      <c r="Q314" s="0" t="s">
        <v>451</v>
      </c>
      <c r="R314" s="0" t="n">
        <v>2</v>
      </c>
      <c r="S314" s="5" t="n">
        <v>890</v>
      </c>
      <c r="T314" s="0" t="s">
        <v>229</v>
      </c>
      <c r="U314" s="0" t="n">
        <v>0</v>
      </c>
      <c r="V314" s="0" t="s">
        <v>230</v>
      </c>
      <c r="W314" s="0" t="s">
        <v>244</v>
      </c>
      <c r="X314" s="0" t="s">
        <v>232</v>
      </c>
      <c r="Y314" s="0" t="s">
        <v>233</v>
      </c>
      <c r="Z314" s="0" t="s">
        <v>1550</v>
      </c>
      <c r="AA314" s="0" t="s">
        <v>235</v>
      </c>
      <c r="AB314" s="32" t="n">
        <v>3200</v>
      </c>
      <c r="AC314" s="32" t="n">
        <v>3200</v>
      </c>
      <c r="AD314" s="26" t="n">
        <f aca="false">IFERROR(AB314/B314,"")</f>
        <v>3.59550561797753</v>
      </c>
      <c r="AE314" s="26" t="n">
        <f aca="false">IFERROR(AC314/B314,"")</f>
        <v>3.59550561797753</v>
      </c>
      <c r="AF314" s="0" t="s">
        <v>236</v>
      </c>
      <c r="AG314" s="0" t="s">
        <v>236</v>
      </c>
      <c r="AH314" s="0" t="s">
        <v>236</v>
      </c>
      <c r="AI314" s="0" t="s">
        <v>1671</v>
      </c>
      <c r="AJ314" s="0" t="s">
        <v>1672</v>
      </c>
      <c r="AK314" s="0" t="s">
        <v>1673</v>
      </c>
      <c r="AL314" s="0" t="s">
        <v>1674</v>
      </c>
      <c r="AM314" s="0" t="s">
        <v>94</v>
      </c>
      <c r="AN314" s="26" t="n">
        <f aca="false">IFERROR(E314*(1+IF(AM314="Apartment",Data_Summary!$C$3,0)),"")</f>
        <v>3.59550561797753</v>
      </c>
      <c r="AO314" s="4" t="n">
        <v>46195</v>
      </c>
    </row>
    <row r="315" customFormat="false" ht="15" hidden="false" customHeight="false" outlineLevel="0" collapsed="false">
      <c r="A315" s="0" t="n">
        <f aca="false">IF(AND(ISNUMBER(B315),B315&gt;0,ISNUMBER(AB315),AB315&gt;0,J315&gt;=Data_Summary!$C$1),1,0)</f>
        <v>1</v>
      </c>
      <c r="B315" s="33" t="n">
        <v>776</v>
      </c>
      <c r="C315" s="5" t="n">
        <f aca="false">IF(ISNUMBER(AB315),AB315,"")</f>
        <v>3550</v>
      </c>
      <c r="D315" s="0" t="n">
        <f aca="false">IF(ISNUMBER(C315),C315-U315*Data_Summary!$C$2,"")</f>
        <v>3400</v>
      </c>
      <c r="E315" s="34" t="n">
        <f aca="false">IFERROR(C315/B315,"")</f>
        <v>4.57474226804124</v>
      </c>
      <c r="F315" s="26" t="n">
        <f aca="false">IFERROR(D315/B315,"")</f>
        <v>4.38144329896907</v>
      </c>
      <c r="G315" s="0" t="str">
        <f aca="false">Q315</f>
        <v>2+1</v>
      </c>
      <c r="H315" s="0" t="str">
        <f aca="false">IFERROR(LEFT(G315,1),"")</f>
        <v>2</v>
      </c>
      <c r="I315" s="0" t="n">
        <f aca="false">IF(LEN(G315)&gt;1,1,0)</f>
        <v>1</v>
      </c>
      <c r="J315" s="4" t="n">
        <v>46132</v>
      </c>
      <c r="K315" s="0" t="s">
        <v>11</v>
      </c>
      <c r="L315" s="0" t="s">
        <v>95</v>
      </c>
      <c r="M315" s="0" t="s">
        <v>226</v>
      </c>
      <c r="N315" s="0" t="s">
        <v>97</v>
      </c>
      <c r="O315" s="0" t="s">
        <v>1675</v>
      </c>
      <c r="Q315" s="0" t="s">
        <v>451</v>
      </c>
      <c r="R315" s="0" t="n">
        <v>2</v>
      </c>
      <c r="S315" s="5" t="n">
        <v>776</v>
      </c>
      <c r="T315" s="0" t="s">
        <v>229</v>
      </c>
      <c r="U315" s="0" t="n">
        <v>1</v>
      </c>
      <c r="V315" s="0" t="s">
        <v>230</v>
      </c>
      <c r="W315" s="0" t="s">
        <v>244</v>
      </c>
      <c r="X315" s="0" t="s">
        <v>232</v>
      </c>
      <c r="Y315" s="0" t="s">
        <v>278</v>
      </c>
      <c r="Z315" s="0" t="s">
        <v>1550</v>
      </c>
      <c r="AA315" s="0" t="s">
        <v>235</v>
      </c>
      <c r="AB315" s="32" t="n">
        <v>3550</v>
      </c>
      <c r="AC315" s="32" t="n">
        <v>3550</v>
      </c>
      <c r="AD315" s="26" t="n">
        <f aca="false">IFERROR(AB315/B315,"")</f>
        <v>4.57474226804124</v>
      </c>
      <c r="AE315" s="26" t="n">
        <f aca="false">IFERROR(AC315/B315,"")</f>
        <v>4.57474226804124</v>
      </c>
      <c r="AF315" s="0" t="s">
        <v>236</v>
      </c>
      <c r="AG315" s="0" t="s">
        <v>236</v>
      </c>
      <c r="AH315" s="0" t="s">
        <v>236</v>
      </c>
      <c r="AI315" s="0" t="s">
        <v>1671</v>
      </c>
      <c r="AJ315" s="0" t="s">
        <v>1676</v>
      </c>
      <c r="AK315" s="0" t="s">
        <v>1677</v>
      </c>
      <c r="AL315" s="0" t="s">
        <v>1678</v>
      </c>
      <c r="AM315" s="0" t="s">
        <v>94</v>
      </c>
      <c r="AN315" s="26" t="n">
        <f aca="false">IFERROR(E315*(1+IF(AM315="Apartment",Data_Summary!$C$3,0)),"")</f>
        <v>4.57474226804124</v>
      </c>
      <c r="AO315" s="4" t="n">
        <v>46195</v>
      </c>
    </row>
    <row r="316" customFormat="false" ht="15" hidden="false" customHeight="false" outlineLevel="0" collapsed="false">
      <c r="A316" s="0" t="n">
        <f aca="false">IF(AND(ISNUMBER(B316),B316&gt;0,ISNUMBER(AB316),AB316&gt;0,J316&gt;=Data_Summary!$C$1),1,0)</f>
        <v>1</v>
      </c>
      <c r="B316" s="30" t="n">
        <v>417</v>
      </c>
      <c r="C316" s="5" t="n">
        <f aca="false">IF(ISNUMBER(AB316),AB316,"")</f>
        <v>2200</v>
      </c>
      <c r="D316" s="0" t="n">
        <f aca="false">IF(ISNUMBER(C316),C316-U316*Data_Summary!$C$2,"")</f>
        <v>2200</v>
      </c>
      <c r="E316" s="31" t="n">
        <f aca="false">IFERROR(C316/B316,"")</f>
        <v>5.2757793764988</v>
      </c>
      <c r="F316" s="26" t="n">
        <f aca="false">IFERROR(D316/B316,"")</f>
        <v>5.2757793764988</v>
      </c>
      <c r="G316" s="0" t="str">
        <f aca="false">Q316</f>
        <v>1</v>
      </c>
      <c r="H316" s="0" t="str">
        <f aca="false">IFERROR(LEFT(G316,1),"")</f>
        <v>1</v>
      </c>
      <c r="I316" s="0" t="n">
        <f aca="false">IF(LEN(G316)&gt;1,1,0)</f>
        <v>0</v>
      </c>
      <c r="J316" s="4" t="n">
        <v>46131</v>
      </c>
      <c r="K316" s="0" t="s">
        <v>11</v>
      </c>
      <c r="L316" s="0" t="s">
        <v>95</v>
      </c>
      <c r="M316" s="0" t="s">
        <v>226</v>
      </c>
      <c r="N316" s="0" t="s">
        <v>97</v>
      </c>
      <c r="O316" s="0" t="s">
        <v>1299</v>
      </c>
      <c r="Q316" s="0" t="s">
        <v>242</v>
      </c>
      <c r="R316" s="0" t="n">
        <v>1</v>
      </c>
      <c r="S316" s="5" t="n">
        <v>417</v>
      </c>
      <c r="T316" s="0" t="s">
        <v>303</v>
      </c>
      <c r="U316" s="0" t="n">
        <v>0</v>
      </c>
      <c r="V316" s="0" t="s">
        <v>230</v>
      </c>
      <c r="W316" s="0" t="s">
        <v>244</v>
      </c>
      <c r="Y316" s="0" t="s">
        <v>272</v>
      </c>
      <c r="Z316" s="0" t="s">
        <v>1550</v>
      </c>
      <c r="AA316" s="0" t="s">
        <v>235</v>
      </c>
      <c r="AB316" s="32" t="n">
        <v>2200</v>
      </c>
      <c r="AC316" s="32" t="n">
        <v>2200</v>
      </c>
      <c r="AD316" s="26" t="n">
        <f aca="false">IFERROR(AB316/B316,"")</f>
        <v>5.2757793764988</v>
      </c>
      <c r="AE316" s="26" t="n">
        <f aca="false">IFERROR(AC316/B316,"")</f>
        <v>5.2757793764988</v>
      </c>
      <c r="AF316" s="0" t="s">
        <v>236</v>
      </c>
      <c r="AG316" s="0" t="s">
        <v>236</v>
      </c>
      <c r="AH316" s="0" t="s">
        <v>236</v>
      </c>
      <c r="AI316" s="0" t="s">
        <v>442</v>
      </c>
      <c r="AJ316" s="0" t="s">
        <v>1679</v>
      </c>
      <c r="AK316" s="0" t="s">
        <v>1680</v>
      </c>
      <c r="AL316" s="0" t="s">
        <v>1681</v>
      </c>
      <c r="AM316" s="0" t="s">
        <v>94</v>
      </c>
      <c r="AN316" s="26" t="n">
        <f aca="false">IFERROR(E316*(1+IF(AM316="Apartment",Data_Summary!$C$3,0)),"")</f>
        <v>5.2757793764988</v>
      </c>
      <c r="AO316" s="4" t="n">
        <v>46195</v>
      </c>
    </row>
    <row r="317" customFormat="false" ht="15" hidden="false" customHeight="false" outlineLevel="0" collapsed="false">
      <c r="A317" s="0" t="n">
        <f aca="false">IF(AND(ISNUMBER(B317),B317&gt;0,ISNUMBER(AB317),AB317&gt;0,J317&gt;=Data_Summary!$C$1),1,0)</f>
        <v>1</v>
      </c>
      <c r="B317" s="30" t="n">
        <v>719</v>
      </c>
      <c r="C317" s="5" t="n">
        <f aca="false">IF(ISNUMBER(AB317),AB317,"")</f>
        <v>3200</v>
      </c>
      <c r="D317" s="0" t="n">
        <f aca="false">IF(ISNUMBER(C317),C317-U317*Data_Summary!$C$2,"")</f>
        <v>3200</v>
      </c>
      <c r="E317" s="31" t="n">
        <f aca="false">IFERROR(C317/B317,"")</f>
        <v>4.45062586926287</v>
      </c>
      <c r="F317" s="26" t="n">
        <f aca="false">IFERROR(D317/B317,"")</f>
        <v>4.45062586926287</v>
      </c>
      <c r="G317" s="0" t="str">
        <f aca="false">Q317</f>
        <v>2</v>
      </c>
      <c r="H317" s="0" t="str">
        <f aca="false">IFERROR(LEFT(G317,1),"")</f>
        <v>2</v>
      </c>
      <c r="I317" s="0" t="n">
        <f aca="false">IF(LEN(G317)&gt;1,1,0)</f>
        <v>0</v>
      </c>
      <c r="J317" s="4" t="n">
        <v>46129</v>
      </c>
      <c r="K317" s="0" t="s">
        <v>11</v>
      </c>
      <c r="L317" s="0" t="s">
        <v>95</v>
      </c>
      <c r="M317" s="0" t="s">
        <v>226</v>
      </c>
      <c r="N317" s="0" t="s">
        <v>97</v>
      </c>
      <c r="O317" s="0" t="s">
        <v>1682</v>
      </c>
      <c r="Q317" s="0" t="s">
        <v>251</v>
      </c>
      <c r="R317" s="0" t="n">
        <v>2</v>
      </c>
      <c r="S317" s="5" t="n">
        <v>719</v>
      </c>
      <c r="T317" s="0" t="s">
        <v>252</v>
      </c>
      <c r="U317" s="0" t="n">
        <v>0</v>
      </c>
      <c r="V317" s="0" t="s">
        <v>230</v>
      </c>
      <c r="W317" s="0" t="s">
        <v>244</v>
      </c>
      <c r="Y317" s="0" t="s">
        <v>253</v>
      </c>
      <c r="Z317" s="0" t="s">
        <v>1550</v>
      </c>
      <c r="AA317" s="0" t="s">
        <v>235</v>
      </c>
      <c r="AB317" s="32" t="n">
        <v>3200</v>
      </c>
      <c r="AC317" s="32" t="n">
        <v>3390</v>
      </c>
      <c r="AD317" s="26" t="n">
        <f aca="false">IFERROR(AB317/B317,"")</f>
        <v>4.45062586926287</v>
      </c>
      <c r="AE317" s="26" t="n">
        <f aca="false">IFERROR(AC317/B317,"")</f>
        <v>4.71488178025035</v>
      </c>
      <c r="AF317" s="0" t="s">
        <v>236</v>
      </c>
      <c r="AG317" s="0" t="s">
        <v>236</v>
      </c>
      <c r="AH317" s="0" t="s">
        <v>236</v>
      </c>
      <c r="AI317" s="0" t="s">
        <v>1683</v>
      </c>
      <c r="AJ317" s="0" t="s">
        <v>1684</v>
      </c>
      <c r="AK317" s="0" t="s">
        <v>1685</v>
      </c>
      <c r="AL317" s="0" t="s">
        <v>1686</v>
      </c>
      <c r="AM317" s="0" t="s">
        <v>94</v>
      </c>
      <c r="AN317" s="26" t="n">
        <f aca="false">IFERROR(E317*(1+IF(AM317="Apartment",Data_Summary!$C$3,0)),"")</f>
        <v>4.45062586926287</v>
      </c>
      <c r="AO317" s="4" t="n">
        <v>46195</v>
      </c>
    </row>
    <row r="318" customFormat="false" ht="15" hidden="false" customHeight="false" outlineLevel="0" collapsed="false">
      <c r="A318" s="0" t="n">
        <f aca="false">IF(AND(ISNUMBER(B318),B318&gt;0,ISNUMBER(AB318),AB318&gt;0,J318&gt;=Data_Summary!$C$1),1,0)</f>
        <v>1</v>
      </c>
      <c r="B318" s="30" t="n">
        <v>417</v>
      </c>
      <c r="C318" s="5" t="n">
        <f aca="false">IF(ISNUMBER(AB318),AB318,"")</f>
        <v>2250</v>
      </c>
      <c r="D318" s="0" t="n">
        <f aca="false">IF(ISNUMBER(C318),C318-U318*Data_Summary!$C$2,"")</f>
        <v>2250</v>
      </c>
      <c r="E318" s="31" t="n">
        <f aca="false">IFERROR(C318/B318,"")</f>
        <v>5.39568345323741</v>
      </c>
      <c r="F318" s="26" t="n">
        <f aca="false">IFERROR(D318/B318,"")</f>
        <v>5.39568345323741</v>
      </c>
      <c r="G318" s="0" t="str">
        <f aca="false">Q318</f>
        <v>1</v>
      </c>
      <c r="H318" s="0" t="str">
        <f aca="false">IFERROR(LEFT(G318,1),"")</f>
        <v>1</v>
      </c>
      <c r="I318" s="0" t="n">
        <f aca="false">IF(LEN(G318)&gt;1,1,0)</f>
        <v>0</v>
      </c>
      <c r="J318" s="4" t="n">
        <v>46127</v>
      </c>
      <c r="K318" s="0" t="s">
        <v>11</v>
      </c>
      <c r="L318" s="0" t="s">
        <v>95</v>
      </c>
      <c r="M318" s="0" t="s">
        <v>226</v>
      </c>
      <c r="N318" s="0" t="s">
        <v>97</v>
      </c>
      <c r="O318" s="0" t="s">
        <v>1687</v>
      </c>
      <c r="Q318" s="0" t="s">
        <v>242</v>
      </c>
      <c r="R318" s="0" t="n">
        <v>1</v>
      </c>
      <c r="S318" s="5" t="n">
        <v>417</v>
      </c>
      <c r="T318" s="0" t="s">
        <v>303</v>
      </c>
      <c r="U318" s="0" t="n">
        <v>0</v>
      </c>
      <c r="V318" s="0" t="s">
        <v>230</v>
      </c>
      <c r="W318" s="0" t="s">
        <v>244</v>
      </c>
      <c r="Y318" s="0" t="s">
        <v>272</v>
      </c>
      <c r="Z318" s="0" t="s">
        <v>1550</v>
      </c>
      <c r="AA318" s="0" t="s">
        <v>235</v>
      </c>
      <c r="AB318" s="32" t="n">
        <v>2250</v>
      </c>
      <c r="AC318" s="32" t="n">
        <v>2200</v>
      </c>
      <c r="AD318" s="26" t="n">
        <f aca="false">IFERROR(AB318/B318,"")</f>
        <v>5.39568345323741</v>
      </c>
      <c r="AE318" s="26" t="n">
        <f aca="false">IFERROR(AC318/B318,"")</f>
        <v>5.2757793764988</v>
      </c>
      <c r="AF318" s="0" t="s">
        <v>236</v>
      </c>
      <c r="AG318" s="0" t="s">
        <v>236</v>
      </c>
      <c r="AH318" s="0" t="s">
        <v>236</v>
      </c>
      <c r="AI318" s="0" t="s">
        <v>457</v>
      </c>
      <c r="AJ318" s="0" t="s">
        <v>1688</v>
      </c>
      <c r="AK318" s="0" t="s">
        <v>1689</v>
      </c>
      <c r="AL318" s="0" t="s">
        <v>1690</v>
      </c>
      <c r="AM318" s="0" t="s">
        <v>94</v>
      </c>
      <c r="AN318" s="26" t="n">
        <f aca="false">IFERROR(E318*(1+IF(AM318="Apartment",Data_Summary!$C$3,0)),"")</f>
        <v>5.39568345323741</v>
      </c>
      <c r="AO318" s="4" t="n">
        <v>46195</v>
      </c>
    </row>
    <row r="319" customFormat="false" ht="15" hidden="false" customHeight="false" outlineLevel="0" collapsed="false">
      <c r="A319" s="0" t="n">
        <f aca="false">IF(AND(ISNUMBER(B319),B319&gt;0,ISNUMBER(AB319),AB319&gt;0,J319&gt;=Data_Summary!$C$1),1,0)</f>
        <v>1</v>
      </c>
      <c r="B319" s="30" t="n">
        <v>652</v>
      </c>
      <c r="C319" s="5" t="n">
        <f aca="false">IF(ISNUMBER(AB319),AB319,"")</f>
        <v>2800</v>
      </c>
      <c r="D319" s="0" t="n">
        <f aca="false">IF(ISNUMBER(C319),C319-U319*Data_Summary!$C$2,"")</f>
        <v>2800</v>
      </c>
      <c r="E319" s="31" t="n">
        <f aca="false">IFERROR(C319/B319,"")</f>
        <v>4.29447852760736</v>
      </c>
      <c r="F319" s="26" t="n">
        <f aca="false">IFERROR(D319/B319,"")</f>
        <v>4.29447852760736</v>
      </c>
      <c r="G319" s="0" t="str">
        <f aca="false">Q319</f>
        <v>2</v>
      </c>
      <c r="H319" s="0" t="str">
        <f aca="false">IFERROR(LEFT(G319,1),"")</f>
        <v>2</v>
      </c>
      <c r="I319" s="0" t="n">
        <f aca="false">IF(LEN(G319)&gt;1,1,0)</f>
        <v>0</v>
      </c>
      <c r="J319" s="4" t="n">
        <v>46126</v>
      </c>
      <c r="K319" s="0" t="s">
        <v>11</v>
      </c>
      <c r="L319" s="0" t="s">
        <v>95</v>
      </c>
      <c r="M319" s="0" t="s">
        <v>226</v>
      </c>
      <c r="N319" s="0" t="s">
        <v>97</v>
      </c>
      <c r="O319" s="0" t="s">
        <v>1691</v>
      </c>
      <c r="Q319" s="0" t="s">
        <v>251</v>
      </c>
      <c r="R319" s="0" t="n">
        <v>2</v>
      </c>
      <c r="S319" s="5" t="n">
        <v>652</v>
      </c>
      <c r="T319" s="0" t="s">
        <v>271</v>
      </c>
      <c r="U319" s="0" t="n">
        <v>0</v>
      </c>
      <c r="V319" s="0" t="s">
        <v>230</v>
      </c>
      <c r="W319" s="0" t="s">
        <v>244</v>
      </c>
      <c r="Y319" s="0" t="s">
        <v>272</v>
      </c>
      <c r="Z319" s="0" t="s">
        <v>1550</v>
      </c>
      <c r="AA319" s="0" t="s">
        <v>235</v>
      </c>
      <c r="AB319" s="32" t="n">
        <v>2800</v>
      </c>
      <c r="AC319" s="32" t="n">
        <v>2800</v>
      </c>
      <c r="AD319" s="26" t="n">
        <f aca="false">IFERROR(AB319/B319,"")</f>
        <v>4.29447852760736</v>
      </c>
      <c r="AE319" s="26" t="n">
        <f aca="false">IFERROR(AC319/B319,"")</f>
        <v>4.29447852760736</v>
      </c>
      <c r="AF319" s="0" t="s">
        <v>236</v>
      </c>
      <c r="AG319" s="0" t="s">
        <v>236</v>
      </c>
      <c r="AH319" s="0" t="s">
        <v>236</v>
      </c>
      <c r="AI319" s="0" t="s">
        <v>1692</v>
      </c>
      <c r="AJ319" s="0" t="s">
        <v>1693</v>
      </c>
      <c r="AK319" s="0" t="s">
        <v>1694</v>
      </c>
      <c r="AL319" s="0" t="s">
        <v>1695</v>
      </c>
      <c r="AM319" s="0" t="s">
        <v>94</v>
      </c>
      <c r="AN319" s="26" t="n">
        <f aca="false">IFERROR(E319*(1+IF(AM319="Apartment",Data_Summary!$C$3,0)),"")</f>
        <v>4.29447852760736</v>
      </c>
      <c r="AO319" s="4" t="n">
        <v>46195</v>
      </c>
    </row>
    <row r="320" customFormat="false" ht="15" hidden="false" customHeight="false" outlineLevel="0" collapsed="false">
      <c r="A320" s="0" t="n">
        <f aca="false">IF(AND(ISNUMBER(B320),B320&gt;0,ISNUMBER(AB320),AB320&gt;0,J320&gt;=Data_Summary!$C$1),1,0)</f>
        <v>1</v>
      </c>
      <c r="B320" s="30" t="n">
        <v>905</v>
      </c>
      <c r="C320" s="5" t="n">
        <f aca="false">IF(ISNUMBER(AB320),AB320,"")</f>
        <v>3500</v>
      </c>
      <c r="D320" s="0" t="n">
        <f aca="false">IF(ISNUMBER(C320),C320-U320*Data_Summary!$C$2,"")</f>
        <v>3500</v>
      </c>
      <c r="E320" s="31" t="n">
        <f aca="false">IFERROR(C320/B320,"")</f>
        <v>3.86740331491713</v>
      </c>
      <c r="F320" s="26" t="n">
        <f aca="false">IFERROR(D320/B320,"")</f>
        <v>3.86740331491713</v>
      </c>
      <c r="G320" s="0" t="str">
        <f aca="false">Q320</f>
        <v>2+1</v>
      </c>
      <c r="H320" s="0" t="str">
        <f aca="false">IFERROR(LEFT(G320,1),"")</f>
        <v>2</v>
      </c>
      <c r="I320" s="0" t="n">
        <f aca="false">IF(LEN(G320)&gt;1,1,0)</f>
        <v>1</v>
      </c>
      <c r="J320" s="4" t="n">
        <v>46125</v>
      </c>
      <c r="K320" s="0" t="s">
        <v>11</v>
      </c>
      <c r="L320" s="0" t="s">
        <v>95</v>
      </c>
      <c r="M320" s="0" t="s">
        <v>226</v>
      </c>
      <c r="N320" s="0" t="s">
        <v>97</v>
      </c>
      <c r="O320" s="0" t="s">
        <v>1696</v>
      </c>
      <c r="Q320" s="0" t="s">
        <v>451</v>
      </c>
      <c r="R320" s="0" t="n">
        <v>2</v>
      </c>
      <c r="S320" s="5" t="n">
        <v>905</v>
      </c>
      <c r="T320" s="0" t="s">
        <v>259</v>
      </c>
      <c r="U320" s="0" t="n">
        <v>0</v>
      </c>
      <c r="V320" s="0" t="s">
        <v>230</v>
      </c>
      <c r="W320" s="0" t="s">
        <v>244</v>
      </c>
      <c r="Y320" s="0" t="s">
        <v>308</v>
      </c>
      <c r="Z320" s="0" t="s">
        <v>1550</v>
      </c>
      <c r="AA320" s="0" t="s">
        <v>235</v>
      </c>
      <c r="AB320" s="32" t="n">
        <v>3500</v>
      </c>
      <c r="AC320" s="32" t="n">
        <v>3500</v>
      </c>
      <c r="AD320" s="26" t="n">
        <f aca="false">IFERROR(AB320/B320,"")</f>
        <v>3.86740331491713</v>
      </c>
      <c r="AE320" s="26" t="n">
        <f aca="false">IFERROR(AC320/B320,"")</f>
        <v>3.86740331491713</v>
      </c>
      <c r="AF320" s="0" t="s">
        <v>236</v>
      </c>
      <c r="AG320" s="0" t="s">
        <v>236</v>
      </c>
      <c r="AH320" s="0" t="s">
        <v>236</v>
      </c>
      <c r="AI320" s="0" t="s">
        <v>462</v>
      </c>
      <c r="AJ320" s="0" t="s">
        <v>1697</v>
      </c>
      <c r="AK320" s="0" t="s">
        <v>1698</v>
      </c>
      <c r="AL320" s="0" t="s">
        <v>1699</v>
      </c>
      <c r="AM320" s="0" t="s">
        <v>94</v>
      </c>
      <c r="AN320" s="26" t="n">
        <f aca="false">IFERROR(E320*(1+IF(AM320="Apartment",Data_Summary!$C$3,0)),"")</f>
        <v>3.86740331491713</v>
      </c>
      <c r="AO320" s="4" t="n">
        <v>46195</v>
      </c>
    </row>
    <row r="321" customFormat="false" ht="15" hidden="false" customHeight="false" outlineLevel="0" collapsed="false">
      <c r="A321" s="0" t="n">
        <f aca="false">IF(AND(ISNUMBER(B321),B321&gt;0,ISNUMBER(AB321),AB321&gt;0,J321&gt;=Data_Summary!$C$1),1,0)</f>
        <v>1</v>
      </c>
      <c r="B321" s="33" t="n">
        <v>667</v>
      </c>
      <c r="C321" s="5" t="n">
        <f aca="false">IF(ISNUMBER(AB321),AB321,"")</f>
        <v>3800</v>
      </c>
      <c r="D321" s="0" t="n">
        <f aca="false">IF(ISNUMBER(C321),C321-U321*Data_Summary!$C$2,"")</f>
        <v>3650</v>
      </c>
      <c r="E321" s="34" t="n">
        <f aca="false">IFERROR(C321/B321,"")</f>
        <v>5.69715142428786</v>
      </c>
      <c r="F321" s="26" t="n">
        <f aca="false">IFERROR(D321/B321,"")</f>
        <v>5.47226386806597</v>
      </c>
      <c r="G321" s="0" t="str">
        <f aca="false">Q321</f>
        <v>2</v>
      </c>
      <c r="H321" s="0" t="str">
        <f aca="false">IFERROR(LEFT(G321,1),"")</f>
        <v>2</v>
      </c>
      <c r="I321" s="0" t="n">
        <f aca="false">IF(LEN(G321)&gt;1,1,0)</f>
        <v>0</v>
      </c>
      <c r="J321" s="4" t="n">
        <v>46122</v>
      </c>
      <c r="K321" s="0" t="s">
        <v>11</v>
      </c>
      <c r="L321" s="0" t="s">
        <v>95</v>
      </c>
      <c r="M321" s="0" t="s">
        <v>226</v>
      </c>
      <c r="N321" s="0" t="s">
        <v>97</v>
      </c>
      <c r="O321" s="0" t="s">
        <v>1700</v>
      </c>
      <c r="Q321" s="0" t="s">
        <v>251</v>
      </c>
      <c r="R321" s="0" t="n">
        <v>2</v>
      </c>
      <c r="S321" s="5" t="n">
        <v>667</v>
      </c>
      <c r="T321" s="0" t="s">
        <v>271</v>
      </c>
      <c r="U321" s="0" t="n">
        <v>1</v>
      </c>
      <c r="V321" s="0" t="s">
        <v>230</v>
      </c>
      <c r="W321" s="0" t="s">
        <v>244</v>
      </c>
      <c r="Y321" s="0" t="s">
        <v>260</v>
      </c>
      <c r="Z321" s="0" t="s">
        <v>1550</v>
      </c>
      <c r="AA321" s="0" t="s">
        <v>235</v>
      </c>
      <c r="AB321" s="32" t="n">
        <v>3800</v>
      </c>
      <c r="AC321" s="32" t="n">
        <v>3800</v>
      </c>
      <c r="AD321" s="26" t="n">
        <f aca="false">IFERROR(AB321/B321,"")</f>
        <v>5.69715142428786</v>
      </c>
      <c r="AE321" s="26" t="n">
        <f aca="false">IFERROR(AC321/B321,"")</f>
        <v>5.69715142428786</v>
      </c>
      <c r="AF321" s="0" t="s">
        <v>230</v>
      </c>
      <c r="AG321" s="0" t="s">
        <v>236</v>
      </c>
      <c r="AH321" s="0" t="s">
        <v>236</v>
      </c>
      <c r="AI321" s="0" t="s">
        <v>1701</v>
      </c>
      <c r="AJ321" s="0" t="s">
        <v>1702</v>
      </c>
      <c r="AK321" s="0" t="s">
        <v>1703</v>
      </c>
      <c r="AL321" s="0" t="s">
        <v>1704</v>
      </c>
      <c r="AM321" s="0" t="s">
        <v>94</v>
      </c>
      <c r="AN321" s="26" t="n">
        <f aca="false">IFERROR(E321*(1+IF(AM321="Apartment",Data_Summary!$C$3,0)),"")</f>
        <v>5.69715142428786</v>
      </c>
      <c r="AO321" s="4" t="n">
        <v>46195</v>
      </c>
    </row>
    <row r="322" customFormat="false" ht="15" hidden="false" customHeight="false" outlineLevel="0" collapsed="false">
      <c r="A322" s="0" t="n">
        <f aca="false">IF(AND(ISNUMBER(B322),B322&gt;0,ISNUMBER(AB322),AB322&gt;0,J322&gt;=Data_Summary!$C$1),1,0)</f>
        <v>1</v>
      </c>
      <c r="B322" s="33" t="n">
        <v>799</v>
      </c>
      <c r="C322" s="5" t="n">
        <f aca="false">IF(ISNUMBER(AB322),AB322,"")</f>
        <v>3300</v>
      </c>
      <c r="D322" s="0" t="n">
        <f aca="false">IF(ISNUMBER(C322),C322-U322*Data_Summary!$C$2,"")</f>
        <v>3300</v>
      </c>
      <c r="E322" s="34" t="n">
        <f aca="false">IFERROR(C322/B322,"")</f>
        <v>4.13016270337922</v>
      </c>
      <c r="F322" s="26" t="n">
        <f aca="false">IFERROR(D322/B322,"")</f>
        <v>4.13016270337922</v>
      </c>
      <c r="G322" s="0" t="str">
        <f aca="false">Q322</f>
        <v>2+1</v>
      </c>
      <c r="H322" s="0" t="str">
        <f aca="false">IFERROR(LEFT(G322,1),"")</f>
        <v>2</v>
      </c>
      <c r="I322" s="0" t="n">
        <f aca="false">IF(LEN(G322)&gt;1,1,0)</f>
        <v>1</v>
      </c>
      <c r="J322" s="4" t="n">
        <v>46121</v>
      </c>
      <c r="K322" s="0" t="s">
        <v>11</v>
      </c>
      <c r="L322" s="0" t="s">
        <v>95</v>
      </c>
      <c r="M322" s="0" t="s">
        <v>226</v>
      </c>
      <c r="N322" s="0" t="s">
        <v>97</v>
      </c>
      <c r="O322" s="0" t="s">
        <v>312</v>
      </c>
      <c r="Q322" s="0" t="s">
        <v>451</v>
      </c>
      <c r="R322" s="0" t="n">
        <v>2</v>
      </c>
      <c r="S322" s="5" t="n">
        <v>799</v>
      </c>
      <c r="T322" s="0" t="s">
        <v>229</v>
      </c>
      <c r="U322" s="0" t="n">
        <v>0</v>
      </c>
      <c r="V322" s="0" t="s">
        <v>230</v>
      </c>
      <c r="W322" s="0" t="s">
        <v>244</v>
      </c>
      <c r="X322" s="0" t="s">
        <v>232</v>
      </c>
      <c r="Y322" s="0" t="s">
        <v>233</v>
      </c>
      <c r="Z322" s="0" t="s">
        <v>1550</v>
      </c>
      <c r="AA322" s="0" t="s">
        <v>235</v>
      </c>
      <c r="AB322" s="32" t="n">
        <v>3300</v>
      </c>
      <c r="AC322" s="32" t="n">
        <v>3300</v>
      </c>
      <c r="AD322" s="26" t="n">
        <f aca="false">IFERROR(AB322/B322,"")</f>
        <v>4.13016270337922</v>
      </c>
      <c r="AE322" s="26" t="n">
        <f aca="false">IFERROR(AC322/B322,"")</f>
        <v>4.13016270337922</v>
      </c>
      <c r="AF322" s="0" t="s">
        <v>236</v>
      </c>
      <c r="AG322" s="0" t="s">
        <v>236</v>
      </c>
      <c r="AH322" s="0" t="s">
        <v>236</v>
      </c>
      <c r="AI322" s="0" t="s">
        <v>1705</v>
      </c>
      <c r="AJ322" s="0" t="s">
        <v>1706</v>
      </c>
      <c r="AK322" s="0" t="s">
        <v>1707</v>
      </c>
      <c r="AL322" s="0" t="s">
        <v>1708</v>
      </c>
      <c r="AM322" s="0" t="s">
        <v>94</v>
      </c>
      <c r="AN322" s="26" t="n">
        <f aca="false">IFERROR(E322*(1+IF(AM322="Apartment",Data_Summary!$C$3,0)),"")</f>
        <v>4.13016270337922</v>
      </c>
      <c r="AO322" s="4" t="n">
        <v>46195</v>
      </c>
    </row>
    <row r="323" customFormat="false" ht="15" hidden="false" customHeight="false" outlineLevel="0" collapsed="false">
      <c r="A323" s="0" t="n">
        <f aca="false">IF(AND(ISNUMBER(B323),B323&gt;0,ISNUMBER(AB323),AB323&gt;0,J323&gt;=Data_Summary!$C$1),1,0)</f>
        <v>1</v>
      </c>
      <c r="B323" s="33" t="n">
        <v>776</v>
      </c>
      <c r="C323" s="5" t="n">
        <f aca="false">IF(ISNUMBER(AB323),AB323,"")</f>
        <v>3400</v>
      </c>
      <c r="D323" s="0" t="n">
        <f aca="false">IF(ISNUMBER(C323),C323-U323*Data_Summary!$C$2,"")</f>
        <v>3400</v>
      </c>
      <c r="E323" s="34" t="n">
        <f aca="false">IFERROR(C323/B323,"")</f>
        <v>4.38144329896907</v>
      </c>
      <c r="F323" s="26" t="n">
        <f aca="false">IFERROR(D323/B323,"")</f>
        <v>4.38144329896907</v>
      </c>
      <c r="G323" s="0" t="str">
        <f aca="false">Q323</f>
        <v>2</v>
      </c>
      <c r="H323" s="0" t="str">
        <f aca="false">IFERROR(LEFT(G323,1),"")</f>
        <v>2</v>
      </c>
      <c r="I323" s="0" t="n">
        <f aca="false">IF(LEN(G323)&gt;1,1,0)</f>
        <v>0</v>
      </c>
      <c r="J323" s="4" t="n">
        <v>46118</v>
      </c>
      <c r="K323" s="0" t="s">
        <v>11</v>
      </c>
      <c r="L323" s="0" t="s">
        <v>95</v>
      </c>
      <c r="M323" s="0" t="s">
        <v>226</v>
      </c>
      <c r="N323" s="0" t="s">
        <v>97</v>
      </c>
      <c r="O323" s="0" t="s">
        <v>1709</v>
      </c>
      <c r="Q323" s="0" t="s">
        <v>251</v>
      </c>
      <c r="R323" s="0" t="n">
        <v>2</v>
      </c>
      <c r="S323" s="5" t="n">
        <v>776</v>
      </c>
      <c r="T323" s="0" t="s">
        <v>229</v>
      </c>
      <c r="U323" s="0" t="n">
        <v>0</v>
      </c>
      <c r="V323" s="0" t="s">
        <v>230</v>
      </c>
      <c r="W323" s="0" t="s">
        <v>244</v>
      </c>
      <c r="X323" s="0" t="s">
        <v>232</v>
      </c>
      <c r="Y323" s="0" t="s">
        <v>260</v>
      </c>
      <c r="Z323" s="0" t="s">
        <v>1550</v>
      </c>
      <c r="AA323" s="0" t="s">
        <v>235</v>
      </c>
      <c r="AB323" s="32" t="n">
        <v>3400</v>
      </c>
      <c r="AC323" s="32" t="n">
        <v>3400</v>
      </c>
      <c r="AD323" s="26" t="n">
        <f aca="false">IFERROR(AB323/B323,"")</f>
        <v>4.38144329896907</v>
      </c>
      <c r="AE323" s="26" t="n">
        <f aca="false">IFERROR(AC323/B323,"")</f>
        <v>4.38144329896907</v>
      </c>
      <c r="AF323" s="0" t="s">
        <v>236</v>
      </c>
      <c r="AG323" s="0" t="s">
        <v>236</v>
      </c>
      <c r="AH323" s="0" t="s">
        <v>236</v>
      </c>
      <c r="AI323" s="0" t="s">
        <v>1710</v>
      </c>
      <c r="AJ323" s="0" t="s">
        <v>1711</v>
      </c>
      <c r="AK323" s="0" t="s">
        <v>1712</v>
      </c>
      <c r="AL323" s="0" t="s">
        <v>1713</v>
      </c>
      <c r="AM323" s="0" t="s">
        <v>94</v>
      </c>
      <c r="AN323" s="26" t="n">
        <f aca="false">IFERROR(E323*(1+IF(AM323="Apartment",Data_Summary!$C$3,0)),"")</f>
        <v>4.38144329896907</v>
      </c>
      <c r="AO323" s="4" t="n">
        <v>46195</v>
      </c>
    </row>
    <row r="324" customFormat="false" ht="15" hidden="false" customHeight="false" outlineLevel="0" collapsed="false">
      <c r="A324" s="0" t="n">
        <f aca="false">IF(AND(ISNUMBER(B324),B324&gt;0,ISNUMBER(AB324),AB324&gt;0,J324&gt;=Data_Summary!$C$1),1,0)</f>
        <v>1</v>
      </c>
      <c r="B324" s="33" t="n">
        <v>652</v>
      </c>
      <c r="C324" s="5" t="n">
        <f aca="false">IF(ISNUMBER(AB324),AB324,"")</f>
        <v>3000</v>
      </c>
      <c r="D324" s="0" t="n">
        <f aca="false">IF(ISNUMBER(C324),C324-U324*Data_Summary!$C$2,"")</f>
        <v>3000</v>
      </c>
      <c r="E324" s="34" t="n">
        <f aca="false">IFERROR(C324/B324,"")</f>
        <v>4.60122699386503</v>
      </c>
      <c r="F324" s="26" t="n">
        <f aca="false">IFERROR(D324/B324,"")</f>
        <v>4.60122699386503</v>
      </c>
      <c r="G324" s="0" t="str">
        <f aca="false">Q324</f>
        <v>2</v>
      </c>
      <c r="H324" s="0" t="str">
        <f aca="false">IFERROR(LEFT(G324,1),"")</f>
        <v>2</v>
      </c>
      <c r="I324" s="0" t="n">
        <f aca="false">IF(LEN(G324)&gt;1,1,0)</f>
        <v>0</v>
      </c>
      <c r="J324" s="4" t="n">
        <v>46115</v>
      </c>
      <c r="K324" s="0" t="s">
        <v>11</v>
      </c>
      <c r="L324" s="0" t="s">
        <v>95</v>
      </c>
      <c r="M324" s="0" t="s">
        <v>226</v>
      </c>
      <c r="N324" s="0" t="s">
        <v>97</v>
      </c>
      <c r="O324" s="0" t="s">
        <v>1714</v>
      </c>
      <c r="Q324" s="0" t="s">
        <v>251</v>
      </c>
      <c r="R324" s="0" t="n">
        <v>2</v>
      </c>
      <c r="S324" s="5" t="n">
        <v>652</v>
      </c>
      <c r="T324" s="0" t="s">
        <v>1715</v>
      </c>
      <c r="U324" s="0" t="n">
        <v>0</v>
      </c>
      <c r="V324" s="0" t="s">
        <v>236</v>
      </c>
      <c r="Z324" s="0" t="s">
        <v>1550</v>
      </c>
      <c r="AA324" s="0" t="s">
        <v>235</v>
      </c>
      <c r="AB324" s="32" t="n">
        <v>3000</v>
      </c>
      <c r="AC324" s="32" t="n">
        <v>3100</v>
      </c>
      <c r="AD324" s="26" t="n">
        <f aca="false">IFERROR(AB324/B324,"")</f>
        <v>4.60122699386503</v>
      </c>
      <c r="AE324" s="26" t="n">
        <f aca="false">IFERROR(AC324/B324,"")</f>
        <v>4.75460122699387</v>
      </c>
      <c r="AF324" s="0" t="s">
        <v>236</v>
      </c>
      <c r="AG324" s="0" t="s">
        <v>236</v>
      </c>
      <c r="AH324" s="0" t="s">
        <v>236</v>
      </c>
      <c r="AI324" s="0" t="s">
        <v>1716</v>
      </c>
      <c r="AJ324" s="0" t="s">
        <v>1717</v>
      </c>
      <c r="AK324" s="0" t="s">
        <v>1718</v>
      </c>
      <c r="AL324" s="0" t="s">
        <v>1719</v>
      </c>
      <c r="AM324" s="0" t="s">
        <v>94</v>
      </c>
      <c r="AN324" s="26" t="n">
        <f aca="false">IFERROR(E324*(1+IF(AM324="Apartment",Data_Summary!$C$3,0)),"")</f>
        <v>4.60122699386503</v>
      </c>
      <c r="AO324" s="4" t="n">
        <v>46195</v>
      </c>
    </row>
    <row r="325" customFormat="false" ht="15" hidden="false" customHeight="false" outlineLevel="0" collapsed="false">
      <c r="A325" s="0" t="n">
        <f aca="false">IF(AND(ISNUMBER(B325),B325&gt;0,ISNUMBER(AB325),AB325&gt;0,J325&gt;=Data_Summary!$C$1),1,0)</f>
        <v>1</v>
      </c>
      <c r="B325" s="33" t="n">
        <v>595</v>
      </c>
      <c r="C325" s="5" t="n">
        <f aca="false">IF(ISNUMBER(AB325),AB325,"")</f>
        <v>2345</v>
      </c>
      <c r="D325" s="0" t="n">
        <f aca="false">IF(ISNUMBER(C325),C325-U325*Data_Summary!$C$2,"")</f>
        <v>2345</v>
      </c>
      <c r="E325" s="34" t="n">
        <f aca="false">IFERROR(C325/B325,"")</f>
        <v>3.94117647058824</v>
      </c>
      <c r="F325" s="26" t="n">
        <f aca="false">IFERROR(D325/B325,"")</f>
        <v>3.94117647058824</v>
      </c>
      <c r="G325" s="0" t="str">
        <f aca="false">Q325</f>
        <v>1+1</v>
      </c>
      <c r="H325" s="0" t="str">
        <f aca="false">IFERROR(LEFT(G325,1),"")</f>
        <v>1</v>
      </c>
      <c r="I325" s="0" t="n">
        <f aca="false">IF(LEN(G325)&gt;1,1,0)</f>
        <v>1</v>
      </c>
      <c r="J325" s="4" t="n">
        <v>46111</v>
      </c>
      <c r="K325" s="0" t="s">
        <v>11</v>
      </c>
      <c r="L325" s="0" t="s">
        <v>95</v>
      </c>
      <c r="M325" s="0" t="s">
        <v>226</v>
      </c>
      <c r="N325" s="0" t="s">
        <v>97</v>
      </c>
      <c r="O325" s="0" t="s">
        <v>502</v>
      </c>
      <c r="Q325" s="0" t="s">
        <v>270</v>
      </c>
      <c r="R325" s="0" t="n">
        <v>2</v>
      </c>
      <c r="S325" s="5" t="n">
        <v>595</v>
      </c>
      <c r="T325" s="0" t="s">
        <v>271</v>
      </c>
      <c r="U325" s="0" t="n">
        <v>0</v>
      </c>
      <c r="V325" s="0" t="s">
        <v>230</v>
      </c>
      <c r="W325" s="0" t="s">
        <v>244</v>
      </c>
      <c r="Y325" s="0" t="s">
        <v>253</v>
      </c>
      <c r="Z325" s="0" t="s">
        <v>1550</v>
      </c>
      <c r="AA325" s="0" t="s">
        <v>235</v>
      </c>
      <c r="AB325" s="32" t="n">
        <v>2345</v>
      </c>
      <c r="AC325" s="32" t="n">
        <v>2300</v>
      </c>
      <c r="AD325" s="26" t="n">
        <f aca="false">IFERROR(AB325/B325,"")</f>
        <v>3.94117647058824</v>
      </c>
      <c r="AE325" s="26" t="n">
        <f aca="false">IFERROR(AC325/B325,"")</f>
        <v>3.8655462184874</v>
      </c>
      <c r="AF325" s="0" t="s">
        <v>236</v>
      </c>
      <c r="AG325" s="0" t="s">
        <v>236</v>
      </c>
      <c r="AH325" s="0" t="s">
        <v>236</v>
      </c>
      <c r="AI325" s="0" t="s">
        <v>478</v>
      </c>
      <c r="AJ325" s="0" t="s">
        <v>1720</v>
      </c>
      <c r="AK325" s="0" t="s">
        <v>1721</v>
      </c>
      <c r="AL325" s="0" t="s">
        <v>1722</v>
      </c>
      <c r="AM325" s="0" t="s">
        <v>94</v>
      </c>
      <c r="AN325" s="26" t="n">
        <f aca="false">IFERROR(E325*(1+IF(AM325="Apartment",Data_Summary!$C$3,0)),"")</f>
        <v>3.94117647058824</v>
      </c>
      <c r="AO325" s="4" t="n">
        <v>46195</v>
      </c>
    </row>
    <row r="326" customFormat="false" ht="15" hidden="false" customHeight="false" outlineLevel="0" collapsed="false">
      <c r="A326" s="0" t="n">
        <f aca="false">IF(AND(ISNUMBER(B326),B326&gt;0,ISNUMBER(AB326),AB326&gt;0,J326&gt;=Data_Summary!$C$1),1,0)</f>
        <v>1</v>
      </c>
      <c r="B326" s="30" t="n">
        <v>594</v>
      </c>
      <c r="C326" s="5" t="n">
        <f aca="false">IF(ISNUMBER(AB326),AB326,"")</f>
        <v>2350</v>
      </c>
      <c r="D326" s="0" t="n">
        <f aca="false">IF(ISNUMBER(C326),C326-U326*Data_Summary!$C$2,"")</f>
        <v>2350</v>
      </c>
      <c r="E326" s="31" t="n">
        <f aca="false">IFERROR(C326/B326,"")</f>
        <v>3.95622895622896</v>
      </c>
      <c r="F326" s="26" t="n">
        <f aca="false">IFERROR(D326/B326,"")</f>
        <v>3.95622895622896</v>
      </c>
      <c r="G326" s="0" t="str">
        <f aca="false">Q326</f>
        <v>1+1</v>
      </c>
      <c r="H326" s="0" t="str">
        <f aca="false">IFERROR(LEFT(G326,1),"")</f>
        <v>1</v>
      </c>
      <c r="I326" s="0" t="n">
        <f aca="false">IF(LEN(G326)&gt;1,1,0)</f>
        <v>1</v>
      </c>
      <c r="J326" s="4" t="n">
        <v>46109</v>
      </c>
      <c r="K326" s="0" t="s">
        <v>11</v>
      </c>
      <c r="L326" s="0" t="s">
        <v>95</v>
      </c>
      <c r="M326" s="0" t="s">
        <v>226</v>
      </c>
      <c r="N326" s="0" t="s">
        <v>97</v>
      </c>
      <c r="O326" s="0" t="s">
        <v>1723</v>
      </c>
      <c r="Q326" s="0" t="s">
        <v>270</v>
      </c>
      <c r="R326" s="0" t="n">
        <v>2</v>
      </c>
      <c r="S326" s="5" t="n">
        <v>594</v>
      </c>
      <c r="T326" s="0" t="s">
        <v>243</v>
      </c>
      <c r="U326" s="0" t="n">
        <v>0</v>
      </c>
      <c r="V326" s="0" t="s">
        <v>230</v>
      </c>
      <c r="W326" s="0" t="s">
        <v>244</v>
      </c>
      <c r="Y326" s="0" t="s">
        <v>253</v>
      </c>
      <c r="Z326" s="0" t="s">
        <v>1550</v>
      </c>
      <c r="AA326" s="0" t="s">
        <v>235</v>
      </c>
      <c r="AB326" s="32" t="n">
        <v>2350</v>
      </c>
      <c r="AC326" s="32" t="n">
        <v>2450</v>
      </c>
      <c r="AD326" s="26" t="n">
        <f aca="false">IFERROR(AB326/B326,"")</f>
        <v>3.95622895622896</v>
      </c>
      <c r="AE326" s="26" t="n">
        <f aca="false">IFERROR(AC326/B326,"")</f>
        <v>4.12457912457913</v>
      </c>
      <c r="AF326" s="0" t="s">
        <v>236</v>
      </c>
      <c r="AG326" s="0" t="s">
        <v>236</v>
      </c>
      <c r="AH326" s="0" t="s">
        <v>236</v>
      </c>
      <c r="AI326" s="0" t="s">
        <v>488</v>
      </c>
      <c r="AJ326" s="0" t="s">
        <v>1724</v>
      </c>
      <c r="AK326" s="0" t="s">
        <v>1725</v>
      </c>
      <c r="AL326" s="0" t="s">
        <v>1726</v>
      </c>
      <c r="AM326" s="0" t="s">
        <v>94</v>
      </c>
      <c r="AN326" s="26" t="n">
        <f aca="false">IFERROR(E326*(1+IF(AM326="Apartment",Data_Summary!$C$3,0)),"")</f>
        <v>3.95622895622896</v>
      </c>
      <c r="AO326" s="4" t="n">
        <v>46195</v>
      </c>
    </row>
    <row r="327" customFormat="false" ht="15" hidden="false" customHeight="false" outlineLevel="0" collapsed="false">
      <c r="A327" s="0" t="n">
        <f aca="false">IF(AND(ISNUMBER(B327),B327&gt;0,ISNUMBER(AB327),AB327&gt;0,J327&gt;=Data_Summary!$C$1),1,0)</f>
        <v>1</v>
      </c>
      <c r="B327" s="30" t="n">
        <v>862</v>
      </c>
      <c r="C327" s="5" t="n">
        <f aca="false">IF(ISNUMBER(AB327),AB327,"")</f>
        <v>3600</v>
      </c>
      <c r="D327" s="0" t="n">
        <f aca="false">IF(ISNUMBER(C327),C327-U327*Data_Summary!$C$2,"")</f>
        <v>3450</v>
      </c>
      <c r="E327" s="31" t="n">
        <f aca="false">IFERROR(C327/B327,"")</f>
        <v>4.17633410672854</v>
      </c>
      <c r="F327" s="26" t="n">
        <f aca="false">IFERROR(D327/B327,"")</f>
        <v>4.00232018561485</v>
      </c>
      <c r="G327" s="0" t="str">
        <f aca="false">Q327</f>
        <v>2+1</v>
      </c>
      <c r="H327" s="0" t="str">
        <f aca="false">IFERROR(LEFT(G327,1),"")</f>
        <v>2</v>
      </c>
      <c r="I327" s="0" t="n">
        <f aca="false">IF(LEN(G327)&gt;1,1,0)</f>
        <v>1</v>
      </c>
      <c r="J327" s="4" t="n">
        <v>46108</v>
      </c>
      <c r="K327" s="0" t="s">
        <v>11</v>
      </c>
      <c r="L327" s="0" t="s">
        <v>95</v>
      </c>
      <c r="M327" s="0" t="s">
        <v>226</v>
      </c>
      <c r="N327" s="0" t="s">
        <v>97</v>
      </c>
      <c r="O327" s="0" t="s">
        <v>1727</v>
      </c>
      <c r="Q327" s="0" t="s">
        <v>451</v>
      </c>
      <c r="R327" s="0" t="n">
        <v>2</v>
      </c>
      <c r="S327" s="5" t="n">
        <v>862</v>
      </c>
      <c r="T327" s="0" t="s">
        <v>229</v>
      </c>
      <c r="U327" s="0" t="n">
        <v>1</v>
      </c>
      <c r="V327" s="0" t="s">
        <v>230</v>
      </c>
      <c r="W327" s="0" t="s">
        <v>244</v>
      </c>
      <c r="X327" s="0" t="s">
        <v>232</v>
      </c>
      <c r="Y327" s="0" t="s">
        <v>297</v>
      </c>
      <c r="Z327" s="0" t="s">
        <v>1550</v>
      </c>
      <c r="AA327" s="0" t="s">
        <v>235</v>
      </c>
      <c r="AB327" s="32" t="n">
        <v>3600</v>
      </c>
      <c r="AC327" s="32" t="n">
        <v>3600</v>
      </c>
      <c r="AD327" s="26" t="n">
        <f aca="false">IFERROR(AB327/B327,"")</f>
        <v>4.17633410672854</v>
      </c>
      <c r="AE327" s="26" t="n">
        <f aca="false">IFERROR(AC327/B327,"")</f>
        <v>4.17633410672854</v>
      </c>
      <c r="AF327" s="0" t="s">
        <v>236</v>
      </c>
      <c r="AG327" s="0" t="s">
        <v>236</v>
      </c>
      <c r="AH327" s="0" t="s">
        <v>236</v>
      </c>
      <c r="AI327" s="0" t="s">
        <v>493</v>
      </c>
      <c r="AJ327" s="0" t="s">
        <v>1728</v>
      </c>
      <c r="AK327" s="0" t="s">
        <v>1729</v>
      </c>
      <c r="AL327" s="0" t="s">
        <v>1730</v>
      </c>
      <c r="AM327" s="0" t="s">
        <v>94</v>
      </c>
      <c r="AN327" s="26" t="n">
        <f aca="false">IFERROR(E327*(1+IF(AM327="Apartment",Data_Summary!$C$3,0)),"")</f>
        <v>4.17633410672854</v>
      </c>
      <c r="AO327" s="4" t="n">
        <v>46195</v>
      </c>
    </row>
    <row r="328" customFormat="false" ht="15" hidden="false" customHeight="false" outlineLevel="0" collapsed="false">
      <c r="A328" s="0" t="n">
        <f aca="false">IF(AND(ISNUMBER(B328),B328&gt;0,ISNUMBER(AB328),AB328&gt;0,J328&gt;=Data_Summary!$C$1),1,0)</f>
        <v>1</v>
      </c>
      <c r="B328" s="30" t="n">
        <v>701</v>
      </c>
      <c r="C328" s="5" t="n">
        <f aca="false">IF(ISNUMBER(AB328),AB328,"")</f>
        <v>3100</v>
      </c>
      <c r="D328" s="0" t="n">
        <f aca="false">IF(ISNUMBER(C328),C328-U328*Data_Summary!$C$2,"")</f>
        <v>3100</v>
      </c>
      <c r="E328" s="31" t="n">
        <f aca="false">IFERROR(C328/B328,"")</f>
        <v>4.42225392296719</v>
      </c>
      <c r="F328" s="26" t="n">
        <f aca="false">IFERROR(D328/B328,"")</f>
        <v>4.42225392296719</v>
      </c>
      <c r="G328" s="0" t="str">
        <f aca="false">Q328</f>
        <v>2</v>
      </c>
      <c r="H328" s="0" t="str">
        <f aca="false">IFERROR(LEFT(G328,1),"")</f>
        <v>2</v>
      </c>
      <c r="I328" s="0" t="n">
        <f aca="false">IF(LEN(G328)&gt;1,1,0)</f>
        <v>0</v>
      </c>
      <c r="J328" s="4" t="n">
        <v>46107</v>
      </c>
      <c r="K328" s="0" t="s">
        <v>11</v>
      </c>
      <c r="L328" s="0" t="s">
        <v>95</v>
      </c>
      <c r="M328" s="0" t="s">
        <v>226</v>
      </c>
      <c r="N328" s="0" t="s">
        <v>97</v>
      </c>
      <c r="O328" s="0" t="s">
        <v>564</v>
      </c>
      <c r="Q328" s="0" t="s">
        <v>251</v>
      </c>
      <c r="R328" s="0" t="n">
        <v>2</v>
      </c>
      <c r="S328" s="5" t="n">
        <v>701</v>
      </c>
      <c r="T328" s="0" t="s">
        <v>252</v>
      </c>
      <c r="U328" s="0" t="n">
        <v>0</v>
      </c>
      <c r="V328" s="0" t="s">
        <v>230</v>
      </c>
      <c r="W328" s="0" t="s">
        <v>244</v>
      </c>
      <c r="X328" s="0" t="s">
        <v>232</v>
      </c>
      <c r="Y328" s="0" t="s">
        <v>308</v>
      </c>
      <c r="Z328" s="0" t="s">
        <v>1550</v>
      </c>
      <c r="AA328" s="0" t="s">
        <v>235</v>
      </c>
      <c r="AB328" s="32" t="n">
        <v>3100</v>
      </c>
      <c r="AC328" s="32" t="n">
        <v>3000</v>
      </c>
      <c r="AD328" s="26" t="n">
        <f aca="false">IFERROR(AB328/B328,"")</f>
        <v>4.42225392296719</v>
      </c>
      <c r="AE328" s="26" t="n">
        <f aca="false">IFERROR(AC328/B328,"")</f>
        <v>4.27960057061341</v>
      </c>
      <c r="AF328" s="0" t="s">
        <v>236</v>
      </c>
      <c r="AG328" s="0" t="s">
        <v>236</v>
      </c>
      <c r="AH328" s="0" t="s">
        <v>236</v>
      </c>
      <c r="AI328" s="0" t="s">
        <v>1731</v>
      </c>
      <c r="AJ328" s="0" t="s">
        <v>1732</v>
      </c>
      <c r="AK328" s="0" t="s">
        <v>1733</v>
      </c>
      <c r="AL328" s="0" t="s">
        <v>1734</v>
      </c>
      <c r="AM328" s="0" t="s">
        <v>94</v>
      </c>
      <c r="AN328" s="26" t="n">
        <f aca="false">IFERROR(E328*(1+IF(AM328="Apartment",Data_Summary!$C$3,0)),"")</f>
        <v>4.42225392296719</v>
      </c>
      <c r="AO328" s="4" t="n">
        <v>46195</v>
      </c>
    </row>
    <row r="329" customFormat="false" ht="15" hidden="false" customHeight="false" outlineLevel="0" collapsed="false">
      <c r="A329" s="0" t="n">
        <f aca="false">IF(AND(ISNUMBER(B329),B329&gt;0,ISNUMBER(AB329),AB329&gt;0,J329&gt;=Data_Summary!$C$1),1,0)</f>
        <v>1</v>
      </c>
      <c r="B329" s="33" t="n">
        <v>814</v>
      </c>
      <c r="C329" s="5" t="n">
        <f aca="false">IF(ISNUMBER(AB329),AB329,"")</f>
        <v>3300</v>
      </c>
      <c r="D329" s="0" t="n">
        <f aca="false">IF(ISNUMBER(C329),C329-U329*Data_Summary!$C$2,"")</f>
        <v>3300</v>
      </c>
      <c r="E329" s="34" t="n">
        <f aca="false">IFERROR(C329/B329,"")</f>
        <v>4.05405405405405</v>
      </c>
      <c r="F329" s="26" t="n">
        <f aca="false">IFERROR(D329/B329,"")</f>
        <v>4.05405405405405</v>
      </c>
      <c r="G329" s="0" t="str">
        <f aca="false">Q329</f>
        <v>2</v>
      </c>
      <c r="H329" s="0" t="str">
        <f aca="false">IFERROR(LEFT(G329,1),"")</f>
        <v>2</v>
      </c>
      <c r="I329" s="0" t="n">
        <f aca="false">IF(LEN(G329)&gt;1,1,0)</f>
        <v>0</v>
      </c>
      <c r="J329" s="4" t="n">
        <v>46105</v>
      </c>
      <c r="K329" s="0" t="s">
        <v>11</v>
      </c>
      <c r="L329" s="0" t="s">
        <v>95</v>
      </c>
      <c r="M329" s="0" t="s">
        <v>226</v>
      </c>
      <c r="N329" s="0" t="s">
        <v>97</v>
      </c>
      <c r="O329" s="0" t="s">
        <v>1735</v>
      </c>
      <c r="Q329" s="0" t="s">
        <v>251</v>
      </c>
      <c r="R329" s="0" t="n">
        <v>2</v>
      </c>
      <c r="S329" s="5" t="n">
        <v>814</v>
      </c>
      <c r="T329" s="0" t="s">
        <v>252</v>
      </c>
      <c r="U329" s="0" t="n">
        <v>0</v>
      </c>
      <c r="V329" s="0" t="s">
        <v>230</v>
      </c>
      <c r="W329" s="0" t="s">
        <v>244</v>
      </c>
      <c r="Y329" s="0" t="s">
        <v>278</v>
      </c>
      <c r="Z329" s="0" t="s">
        <v>1550</v>
      </c>
      <c r="AA329" s="0" t="s">
        <v>235</v>
      </c>
      <c r="AB329" s="32" t="n">
        <v>3300</v>
      </c>
      <c r="AC329" s="32" t="n">
        <v>3300</v>
      </c>
      <c r="AD329" s="26" t="n">
        <f aca="false">IFERROR(AB329/B329,"")</f>
        <v>4.05405405405405</v>
      </c>
      <c r="AE329" s="26" t="n">
        <f aca="false">IFERROR(AC329/B329,"")</f>
        <v>4.05405405405405</v>
      </c>
      <c r="AF329" s="0" t="s">
        <v>236</v>
      </c>
      <c r="AG329" s="0" t="s">
        <v>236</v>
      </c>
      <c r="AH329" s="0" t="s">
        <v>236</v>
      </c>
      <c r="AI329" s="0" t="s">
        <v>1736</v>
      </c>
      <c r="AJ329" s="0" t="s">
        <v>1737</v>
      </c>
      <c r="AK329" s="0" t="s">
        <v>1738</v>
      </c>
      <c r="AL329" s="0" t="s">
        <v>1739</v>
      </c>
      <c r="AM329" s="0" t="s">
        <v>94</v>
      </c>
      <c r="AN329" s="26" t="n">
        <f aca="false">IFERROR(E329*(1+IF(AM329="Apartment",Data_Summary!$C$3,0)),"")</f>
        <v>4.05405405405405</v>
      </c>
      <c r="AO329" s="4" t="n">
        <v>46195</v>
      </c>
    </row>
    <row r="330" customFormat="false" ht="15" hidden="false" customHeight="false" outlineLevel="0" collapsed="false">
      <c r="A330" s="0" t="n">
        <f aca="false">IF(AND(ISNUMBER(B330),B330&gt;0,ISNUMBER(AB330),AB330&gt;0,J330&gt;=Data_Summary!$C$1),1,0)</f>
        <v>1</v>
      </c>
      <c r="B330" s="33" t="n">
        <v>929</v>
      </c>
      <c r="C330" s="5" t="n">
        <f aca="false">IF(ISNUMBER(AB330),AB330,"")</f>
        <v>3980</v>
      </c>
      <c r="D330" s="0" t="n">
        <f aca="false">IF(ISNUMBER(C330),C330-U330*Data_Summary!$C$2,"")</f>
        <v>3830</v>
      </c>
      <c r="E330" s="34" t="n">
        <f aca="false">IFERROR(C330/B330,"")</f>
        <v>4.28417653390743</v>
      </c>
      <c r="F330" s="26" t="n">
        <f aca="false">IFERROR(D330/B330,"")</f>
        <v>4.1227125941873</v>
      </c>
      <c r="G330" s="0" t="str">
        <f aca="false">Q330</f>
        <v>3+1</v>
      </c>
      <c r="H330" s="0" t="str">
        <f aca="false">IFERROR(LEFT(G330,1),"")</f>
        <v>3</v>
      </c>
      <c r="I330" s="0" t="n">
        <f aca="false">IF(LEN(G330)&gt;1,1,0)</f>
        <v>1</v>
      </c>
      <c r="J330" s="4" t="n">
        <v>46105</v>
      </c>
      <c r="K330" s="0" t="s">
        <v>11</v>
      </c>
      <c r="L330" s="0" t="s">
        <v>95</v>
      </c>
      <c r="M330" s="0" t="s">
        <v>226</v>
      </c>
      <c r="N330" s="0" t="s">
        <v>97</v>
      </c>
      <c r="O330" s="0" t="s">
        <v>1740</v>
      </c>
      <c r="Q330" s="0" t="s">
        <v>559</v>
      </c>
      <c r="R330" s="0" t="n">
        <v>2</v>
      </c>
      <c r="S330" s="5" t="n">
        <v>929</v>
      </c>
      <c r="T330" s="0" t="s">
        <v>259</v>
      </c>
      <c r="U330" s="0" t="n">
        <v>1</v>
      </c>
      <c r="V330" s="0" t="s">
        <v>230</v>
      </c>
      <c r="W330" s="0" t="s">
        <v>244</v>
      </c>
      <c r="X330" s="0" t="s">
        <v>232</v>
      </c>
      <c r="Y330" s="0" t="s">
        <v>233</v>
      </c>
      <c r="Z330" s="0" t="s">
        <v>1550</v>
      </c>
      <c r="AA330" s="0" t="s">
        <v>235</v>
      </c>
      <c r="AB330" s="32" t="n">
        <v>3980</v>
      </c>
      <c r="AC330" s="32" t="n">
        <v>3980</v>
      </c>
      <c r="AD330" s="26" t="n">
        <f aca="false">IFERROR(AB330/B330,"")</f>
        <v>4.28417653390743</v>
      </c>
      <c r="AE330" s="26" t="n">
        <f aca="false">IFERROR(AC330/B330,"")</f>
        <v>4.28417653390743</v>
      </c>
      <c r="AF330" s="0" t="s">
        <v>421</v>
      </c>
      <c r="AG330" s="0" t="s">
        <v>236</v>
      </c>
      <c r="AH330" s="0" t="s">
        <v>236</v>
      </c>
      <c r="AI330" s="0" t="s">
        <v>1736</v>
      </c>
      <c r="AJ330" s="0" t="s">
        <v>1741</v>
      </c>
      <c r="AK330" s="0" t="s">
        <v>1742</v>
      </c>
      <c r="AL330" s="0" t="s">
        <v>1743</v>
      </c>
      <c r="AM330" s="0" t="s">
        <v>94</v>
      </c>
      <c r="AN330" s="26" t="n">
        <f aca="false">IFERROR(E330*(1+IF(AM330="Apartment",Data_Summary!$C$3,0)),"")</f>
        <v>4.28417653390743</v>
      </c>
      <c r="AO330" s="4" t="n">
        <v>46195</v>
      </c>
    </row>
    <row r="331" customFormat="false" ht="15" hidden="false" customHeight="false" outlineLevel="0" collapsed="false">
      <c r="A331" s="0" t="n">
        <f aca="false">IF(AND(ISNUMBER(B331),B331&gt;0,ISNUMBER(AB331),AB331&gt;0,J331&gt;=Data_Summary!$C$1),1,0)</f>
        <v>1</v>
      </c>
      <c r="B331" s="30" t="n">
        <v>719</v>
      </c>
      <c r="C331" s="5" t="n">
        <f aca="false">IF(ISNUMBER(AB331),AB331,"")</f>
        <v>3350</v>
      </c>
      <c r="D331" s="0" t="n">
        <f aca="false">IF(ISNUMBER(C331),C331-U331*Data_Summary!$C$2,"")</f>
        <v>3350</v>
      </c>
      <c r="E331" s="31" t="n">
        <f aca="false">IFERROR(C331/B331,"")</f>
        <v>4.65924895688456</v>
      </c>
      <c r="F331" s="26" t="n">
        <f aca="false">IFERROR(D331/B331,"")</f>
        <v>4.65924895688456</v>
      </c>
      <c r="G331" s="0" t="str">
        <f aca="false">Q331</f>
        <v>2</v>
      </c>
      <c r="H331" s="0" t="str">
        <f aca="false">IFERROR(LEFT(G331,1),"")</f>
        <v>2</v>
      </c>
      <c r="I331" s="0" t="n">
        <f aca="false">IF(LEN(G331)&gt;1,1,0)</f>
        <v>0</v>
      </c>
      <c r="J331" s="4" t="n">
        <v>46105</v>
      </c>
      <c r="K331" s="0" t="s">
        <v>11</v>
      </c>
      <c r="L331" s="0" t="s">
        <v>95</v>
      </c>
      <c r="M331" s="0" t="s">
        <v>226</v>
      </c>
      <c r="N331" s="0" t="s">
        <v>97</v>
      </c>
      <c r="O331" s="0" t="s">
        <v>307</v>
      </c>
      <c r="Q331" s="0" t="s">
        <v>251</v>
      </c>
      <c r="R331" s="0" t="n">
        <v>2</v>
      </c>
      <c r="S331" s="5" t="n">
        <v>719</v>
      </c>
      <c r="T331" s="0" t="s">
        <v>252</v>
      </c>
      <c r="U331" s="0" t="n">
        <v>0</v>
      </c>
      <c r="V331" s="0" t="s">
        <v>230</v>
      </c>
      <c r="W331" s="0" t="s">
        <v>244</v>
      </c>
      <c r="Y331" s="0" t="s">
        <v>253</v>
      </c>
      <c r="Z331" s="0" t="s">
        <v>1550</v>
      </c>
      <c r="AA331" s="0" t="s">
        <v>235</v>
      </c>
      <c r="AB331" s="32" t="n">
        <v>3350</v>
      </c>
      <c r="AC331" s="32" t="n">
        <v>3400</v>
      </c>
      <c r="AD331" s="26" t="n">
        <f aca="false">IFERROR(AB331/B331,"")</f>
        <v>4.65924895688456</v>
      </c>
      <c r="AE331" s="26" t="n">
        <f aca="false">IFERROR(AC331/B331,"")</f>
        <v>4.72878998609179</v>
      </c>
      <c r="AF331" s="0" t="s">
        <v>236</v>
      </c>
      <c r="AG331" s="0" t="s">
        <v>236</v>
      </c>
      <c r="AH331" s="0" t="s">
        <v>236</v>
      </c>
      <c r="AI331" s="0" t="s">
        <v>1736</v>
      </c>
      <c r="AJ331" s="0" t="s">
        <v>1744</v>
      </c>
      <c r="AK331" s="0" t="s">
        <v>1745</v>
      </c>
      <c r="AL331" s="0" t="s">
        <v>1746</v>
      </c>
      <c r="AM331" s="0" t="s">
        <v>94</v>
      </c>
      <c r="AN331" s="26" t="n">
        <f aca="false">IFERROR(E331*(1+IF(AM331="Apartment",Data_Summary!$C$3,0)),"")</f>
        <v>4.65924895688456</v>
      </c>
      <c r="AO331" s="4" t="n">
        <v>46195</v>
      </c>
    </row>
    <row r="332" customFormat="false" ht="15" hidden="false" customHeight="false" outlineLevel="0" collapsed="false">
      <c r="A332" s="0" t="n">
        <f aca="false">IF(AND(ISNUMBER(B332),B332&gt;0,ISNUMBER(AB332),AB332&gt;0,J332&gt;=Data_Summary!$C$1),1,0)</f>
        <v>1</v>
      </c>
      <c r="B332" s="30" t="n">
        <v>799</v>
      </c>
      <c r="C332" s="5" t="n">
        <f aca="false">IF(ISNUMBER(AB332),AB332,"")</f>
        <v>3500</v>
      </c>
      <c r="D332" s="0" t="n">
        <f aca="false">IF(ISNUMBER(C332),C332-U332*Data_Summary!$C$2,"")</f>
        <v>3500</v>
      </c>
      <c r="E332" s="31" t="n">
        <f aca="false">IFERROR(C332/B332,"")</f>
        <v>4.38047559449312</v>
      </c>
      <c r="F332" s="26" t="n">
        <f aca="false">IFERROR(D332/B332,"")</f>
        <v>4.38047559449312</v>
      </c>
      <c r="G332" s="0" t="str">
        <f aca="false">Q332</f>
        <v>2</v>
      </c>
      <c r="H332" s="0" t="str">
        <f aca="false">IFERROR(LEFT(G332,1),"")</f>
        <v>2</v>
      </c>
      <c r="I332" s="0" t="n">
        <f aca="false">IF(LEN(G332)&gt;1,1,0)</f>
        <v>0</v>
      </c>
      <c r="J332" s="4" t="n">
        <v>46101</v>
      </c>
      <c r="K332" s="0" t="s">
        <v>11</v>
      </c>
      <c r="L332" s="0" t="s">
        <v>95</v>
      </c>
      <c r="M332" s="0" t="s">
        <v>226</v>
      </c>
      <c r="N332" s="0" t="s">
        <v>97</v>
      </c>
      <c r="O332" s="0" t="s">
        <v>1747</v>
      </c>
      <c r="Q332" s="0" t="s">
        <v>251</v>
      </c>
      <c r="R332" s="0" t="n">
        <v>2</v>
      </c>
      <c r="S332" s="5" t="n">
        <v>799</v>
      </c>
      <c r="T332" s="0" t="s">
        <v>252</v>
      </c>
      <c r="U332" s="0" t="n">
        <v>0</v>
      </c>
      <c r="V332" s="0" t="s">
        <v>230</v>
      </c>
      <c r="W332" s="0" t="s">
        <v>231</v>
      </c>
      <c r="X332" s="0" t="s">
        <v>232</v>
      </c>
      <c r="Y332" s="0" t="s">
        <v>308</v>
      </c>
      <c r="Z332" s="0" t="s">
        <v>1550</v>
      </c>
      <c r="AA332" s="0" t="s">
        <v>235</v>
      </c>
      <c r="AB332" s="32" t="n">
        <v>3500</v>
      </c>
      <c r="AC332" s="32" t="n">
        <v>3500</v>
      </c>
      <c r="AD332" s="26" t="n">
        <f aca="false">IFERROR(AB332/B332,"")</f>
        <v>4.38047559449312</v>
      </c>
      <c r="AE332" s="26" t="n">
        <f aca="false">IFERROR(AC332/B332,"")</f>
        <v>4.38047559449312</v>
      </c>
      <c r="AF332" s="0" t="s">
        <v>236</v>
      </c>
      <c r="AG332" s="0" t="s">
        <v>236</v>
      </c>
      <c r="AH332" s="0" t="s">
        <v>236</v>
      </c>
      <c r="AI332" s="0" t="s">
        <v>516</v>
      </c>
      <c r="AJ332" s="0" t="s">
        <v>1748</v>
      </c>
      <c r="AK332" s="0" t="s">
        <v>1749</v>
      </c>
      <c r="AL332" s="0" t="s">
        <v>1750</v>
      </c>
      <c r="AM332" s="0" t="s">
        <v>94</v>
      </c>
      <c r="AN332" s="26" t="n">
        <f aca="false">IFERROR(E332*(1+IF(AM332="Apartment",Data_Summary!$C$3,0)),"")</f>
        <v>4.38047559449312</v>
      </c>
      <c r="AO332" s="4" t="n">
        <v>46195</v>
      </c>
    </row>
    <row r="333" customFormat="false" ht="15" hidden="false" customHeight="false" outlineLevel="0" collapsed="false">
      <c r="A333" s="0" t="n">
        <f aca="false">IF(AND(ISNUMBER(B333),B333&gt;0,ISNUMBER(AB333),AB333&gt;0,J333&gt;=Data_Summary!$C$1),1,0)</f>
        <v>1</v>
      </c>
      <c r="B333" s="30" t="n">
        <v>827</v>
      </c>
      <c r="C333" s="5" t="n">
        <f aca="false">IF(ISNUMBER(AB333),AB333,"")</f>
        <v>3000</v>
      </c>
      <c r="D333" s="0" t="n">
        <f aca="false">IF(ISNUMBER(C333),C333-U333*Data_Summary!$C$2,"")</f>
        <v>3000</v>
      </c>
      <c r="E333" s="31" t="n">
        <f aca="false">IFERROR(C333/B333,"")</f>
        <v>3.62756952841596</v>
      </c>
      <c r="F333" s="26" t="n">
        <f aca="false">IFERROR(D333/B333,"")</f>
        <v>3.62756952841596</v>
      </c>
      <c r="G333" s="0" t="str">
        <f aca="false">Q333</f>
        <v>2</v>
      </c>
      <c r="H333" s="0" t="str">
        <f aca="false">IFERROR(LEFT(G333,1),"")</f>
        <v>2</v>
      </c>
      <c r="I333" s="0" t="n">
        <f aca="false">IF(LEN(G333)&gt;1,1,0)</f>
        <v>0</v>
      </c>
      <c r="J333" s="4" t="n">
        <v>46100</v>
      </c>
      <c r="K333" s="0" t="s">
        <v>11</v>
      </c>
      <c r="L333" s="0" t="s">
        <v>95</v>
      </c>
      <c r="M333" s="0" t="s">
        <v>226</v>
      </c>
      <c r="N333" s="0" t="s">
        <v>97</v>
      </c>
      <c r="O333" s="0" t="s">
        <v>1751</v>
      </c>
      <c r="Q333" s="0" t="s">
        <v>251</v>
      </c>
      <c r="R333" s="0" t="n">
        <v>2</v>
      </c>
      <c r="S333" s="5" t="n">
        <v>827</v>
      </c>
      <c r="T333" s="0" t="s">
        <v>229</v>
      </c>
      <c r="U333" s="0" t="n">
        <v>0</v>
      </c>
      <c r="V333" s="0" t="s">
        <v>230</v>
      </c>
      <c r="W333" s="0" t="s">
        <v>244</v>
      </c>
      <c r="Y333" s="0" t="s">
        <v>253</v>
      </c>
      <c r="Z333" s="0" t="s">
        <v>1550</v>
      </c>
      <c r="AA333" s="0" t="s">
        <v>235</v>
      </c>
      <c r="AB333" s="32" t="n">
        <v>3000</v>
      </c>
      <c r="AC333" s="32" t="n">
        <v>3000</v>
      </c>
      <c r="AD333" s="26" t="n">
        <f aca="false">IFERROR(AB333/B333,"")</f>
        <v>3.62756952841596</v>
      </c>
      <c r="AE333" s="26" t="n">
        <f aca="false">IFERROR(AC333/B333,"")</f>
        <v>3.62756952841596</v>
      </c>
      <c r="AF333" s="0" t="s">
        <v>236</v>
      </c>
      <c r="AG333" s="0" t="s">
        <v>236</v>
      </c>
      <c r="AH333" s="0" t="s">
        <v>236</v>
      </c>
      <c r="AI333" s="0" t="s">
        <v>1752</v>
      </c>
      <c r="AJ333" s="0" t="s">
        <v>1753</v>
      </c>
      <c r="AK333" s="0" t="s">
        <v>1754</v>
      </c>
      <c r="AL333" s="0" t="s">
        <v>1755</v>
      </c>
      <c r="AM333" s="0" t="s">
        <v>94</v>
      </c>
      <c r="AN333" s="26" t="n">
        <f aca="false">IFERROR(E333*(1+IF(AM333="Apartment",Data_Summary!$C$3,0)),"")</f>
        <v>3.62756952841596</v>
      </c>
      <c r="AO333" s="4" t="n">
        <v>46195</v>
      </c>
    </row>
    <row r="334" customFormat="false" ht="15" hidden="false" customHeight="false" outlineLevel="0" collapsed="false">
      <c r="A334" s="0" t="n">
        <f aca="false">IF(AND(ISNUMBER(B334),B334&gt;0,ISNUMBER(AB334),AB334&gt;0,J334&gt;=Data_Summary!$C$1),1,0)</f>
        <v>1</v>
      </c>
      <c r="B334" s="30" t="n">
        <v>719</v>
      </c>
      <c r="C334" s="5" t="n">
        <f aca="false">IF(ISNUMBER(AB334),AB334,"")</f>
        <v>3200</v>
      </c>
      <c r="D334" s="0" t="n">
        <f aca="false">IF(ISNUMBER(C334),C334-U334*Data_Summary!$C$2,"")</f>
        <v>3200</v>
      </c>
      <c r="E334" s="31" t="n">
        <f aca="false">IFERROR(C334/B334,"")</f>
        <v>4.45062586926287</v>
      </c>
      <c r="F334" s="26" t="n">
        <f aca="false">IFERROR(D334/B334,"")</f>
        <v>4.45062586926287</v>
      </c>
      <c r="G334" s="0" t="str">
        <f aca="false">Q334</f>
        <v>2</v>
      </c>
      <c r="H334" s="0" t="str">
        <f aca="false">IFERROR(LEFT(G334,1),"")</f>
        <v>2</v>
      </c>
      <c r="I334" s="0" t="n">
        <f aca="false">IF(LEN(G334)&gt;1,1,0)</f>
        <v>0</v>
      </c>
      <c r="J334" s="4" t="n">
        <v>46096</v>
      </c>
      <c r="K334" s="0" t="s">
        <v>11</v>
      </c>
      <c r="L334" s="0" t="s">
        <v>95</v>
      </c>
      <c r="M334" s="0" t="s">
        <v>226</v>
      </c>
      <c r="N334" s="0" t="s">
        <v>97</v>
      </c>
      <c r="O334" s="0" t="s">
        <v>1756</v>
      </c>
      <c r="Q334" s="0" t="s">
        <v>251</v>
      </c>
      <c r="R334" s="0" t="n">
        <v>2</v>
      </c>
      <c r="S334" s="5" t="n">
        <v>719</v>
      </c>
      <c r="T334" s="0" t="s">
        <v>252</v>
      </c>
      <c r="U334" s="0" t="n">
        <v>0</v>
      </c>
      <c r="V334" s="0" t="s">
        <v>230</v>
      </c>
      <c r="W334" s="0" t="s">
        <v>244</v>
      </c>
      <c r="Y334" s="0" t="s">
        <v>253</v>
      </c>
      <c r="Z334" s="0" t="s">
        <v>1550</v>
      </c>
      <c r="AA334" s="0" t="s">
        <v>235</v>
      </c>
      <c r="AB334" s="32" t="n">
        <v>3200</v>
      </c>
      <c r="AC334" s="32" t="n">
        <v>3200</v>
      </c>
      <c r="AD334" s="26" t="n">
        <f aca="false">IFERROR(AB334/B334,"")</f>
        <v>4.45062586926287</v>
      </c>
      <c r="AE334" s="26" t="n">
        <f aca="false">IFERROR(AC334/B334,"")</f>
        <v>4.45062586926287</v>
      </c>
      <c r="AF334" s="0" t="s">
        <v>236</v>
      </c>
      <c r="AG334" s="0" t="s">
        <v>236</v>
      </c>
      <c r="AH334" s="0" t="s">
        <v>236</v>
      </c>
      <c r="AI334" s="0" t="s">
        <v>1757</v>
      </c>
      <c r="AJ334" s="0" t="s">
        <v>1758</v>
      </c>
      <c r="AK334" s="0" t="s">
        <v>1759</v>
      </c>
      <c r="AL334" s="0" t="s">
        <v>1760</v>
      </c>
      <c r="AM334" s="0" t="s">
        <v>94</v>
      </c>
      <c r="AN334" s="26" t="n">
        <f aca="false">IFERROR(E334*(1+IF(AM334="Apartment",Data_Summary!$C$3,0)),"")</f>
        <v>4.45062586926287</v>
      </c>
      <c r="AO334" s="4" t="n">
        <v>46195</v>
      </c>
    </row>
    <row r="335" customFormat="false" ht="15" hidden="false" customHeight="false" outlineLevel="0" collapsed="false">
      <c r="A335" s="0" t="n">
        <f aca="false">IF(AND(ISNUMBER(B335),B335&gt;0,ISNUMBER(AB335),AB335&gt;0,J335&gt;=Data_Summary!$C$1),1,0)</f>
        <v>1</v>
      </c>
      <c r="B335" s="30" t="n">
        <v>719</v>
      </c>
      <c r="C335" s="5" t="n">
        <f aca="false">IF(ISNUMBER(AB335),AB335,"")</f>
        <v>2980</v>
      </c>
      <c r="D335" s="0" t="n">
        <f aca="false">IF(ISNUMBER(C335),C335-U335*Data_Summary!$C$2,"")</f>
        <v>2980</v>
      </c>
      <c r="E335" s="31" t="n">
        <f aca="false">IFERROR(C335/B335,"")</f>
        <v>4.14464534075104</v>
      </c>
      <c r="F335" s="26" t="n">
        <f aca="false">IFERROR(D335/B335,"")</f>
        <v>4.14464534075104</v>
      </c>
      <c r="G335" s="0" t="str">
        <f aca="false">Q335</f>
        <v>2</v>
      </c>
      <c r="H335" s="0" t="str">
        <f aca="false">IFERROR(LEFT(G335,1),"")</f>
        <v>2</v>
      </c>
      <c r="I335" s="0" t="n">
        <f aca="false">IF(LEN(G335)&gt;1,1,0)</f>
        <v>0</v>
      </c>
      <c r="J335" s="4" t="n">
        <v>46095</v>
      </c>
      <c r="K335" s="0" t="s">
        <v>11</v>
      </c>
      <c r="L335" s="0" t="s">
        <v>95</v>
      </c>
      <c r="M335" s="0" t="s">
        <v>226</v>
      </c>
      <c r="N335" s="0" t="s">
        <v>97</v>
      </c>
      <c r="O335" s="0" t="s">
        <v>1761</v>
      </c>
      <c r="Q335" s="0" t="s">
        <v>251</v>
      </c>
      <c r="R335" s="0" t="n">
        <v>2</v>
      </c>
      <c r="S335" s="5" t="n">
        <v>719</v>
      </c>
      <c r="T335" s="0" t="s">
        <v>252</v>
      </c>
      <c r="U335" s="0" t="n">
        <v>0</v>
      </c>
      <c r="V335" s="0" t="s">
        <v>230</v>
      </c>
      <c r="W335" s="0" t="s">
        <v>244</v>
      </c>
      <c r="Y335" s="0" t="s">
        <v>253</v>
      </c>
      <c r="Z335" s="0" t="s">
        <v>1550</v>
      </c>
      <c r="AA335" s="0" t="s">
        <v>235</v>
      </c>
      <c r="AB335" s="32" t="n">
        <v>2980</v>
      </c>
      <c r="AC335" s="32" t="n">
        <v>2980</v>
      </c>
      <c r="AD335" s="26" t="n">
        <f aca="false">IFERROR(AB335/B335,"")</f>
        <v>4.14464534075104</v>
      </c>
      <c r="AE335" s="26" t="n">
        <f aca="false">IFERROR(AC335/B335,"")</f>
        <v>4.14464534075104</v>
      </c>
      <c r="AF335" s="0" t="s">
        <v>236</v>
      </c>
      <c r="AG335" s="0" t="s">
        <v>236</v>
      </c>
      <c r="AH335" s="0" t="s">
        <v>236</v>
      </c>
      <c r="AI335" s="0" t="s">
        <v>535</v>
      </c>
      <c r="AJ335" s="0" t="s">
        <v>1762</v>
      </c>
      <c r="AK335" s="0" t="s">
        <v>1763</v>
      </c>
      <c r="AL335" s="0" t="s">
        <v>1764</v>
      </c>
      <c r="AM335" s="0" t="s">
        <v>94</v>
      </c>
      <c r="AN335" s="26" t="n">
        <f aca="false">IFERROR(E335*(1+IF(AM335="Apartment",Data_Summary!$C$3,0)),"")</f>
        <v>4.14464534075104</v>
      </c>
      <c r="AO335" s="4" t="n">
        <v>46195</v>
      </c>
    </row>
    <row r="336" customFormat="false" ht="15" hidden="false" customHeight="false" outlineLevel="0" collapsed="false">
      <c r="A336" s="0" t="n">
        <f aca="false">IF(AND(ISNUMBER(B336),B336&gt;0,ISNUMBER(AB336),AB336&gt;0,J336&gt;=Data_Summary!$C$1),1,0)</f>
        <v>1</v>
      </c>
      <c r="B336" s="30" t="n">
        <v>692</v>
      </c>
      <c r="C336" s="5" t="n">
        <f aca="false">IF(ISNUMBER(AB336),AB336,"")</f>
        <v>3000</v>
      </c>
      <c r="D336" s="0" t="n">
        <f aca="false">IF(ISNUMBER(C336),C336-U336*Data_Summary!$C$2,"")</f>
        <v>3000</v>
      </c>
      <c r="E336" s="31" t="n">
        <f aca="false">IFERROR(C336/B336,"")</f>
        <v>4.33526011560694</v>
      </c>
      <c r="F336" s="26" t="n">
        <f aca="false">IFERROR(D336/B336,"")</f>
        <v>4.33526011560694</v>
      </c>
      <c r="G336" s="0" t="str">
        <f aca="false">Q336</f>
        <v>2</v>
      </c>
      <c r="H336" s="0" t="str">
        <f aca="false">IFERROR(LEFT(G336,1),"")</f>
        <v>2</v>
      </c>
      <c r="I336" s="0" t="n">
        <f aca="false">IF(LEN(G336)&gt;1,1,0)</f>
        <v>0</v>
      </c>
      <c r="J336" s="4" t="n">
        <v>46093</v>
      </c>
      <c r="K336" s="0" t="s">
        <v>11</v>
      </c>
      <c r="L336" s="0" t="s">
        <v>95</v>
      </c>
      <c r="M336" s="0" t="s">
        <v>226</v>
      </c>
      <c r="N336" s="0" t="s">
        <v>97</v>
      </c>
      <c r="O336" s="0" t="s">
        <v>1765</v>
      </c>
      <c r="Q336" s="0" t="s">
        <v>251</v>
      </c>
      <c r="R336" s="0" t="n">
        <v>2</v>
      </c>
      <c r="S336" s="5" t="n">
        <v>692</v>
      </c>
      <c r="T336" s="0" t="s">
        <v>271</v>
      </c>
      <c r="U336" s="0" t="n">
        <v>0</v>
      </c>
      <c r="V336" s="0" t="s">
        <v>230</v>
      </c>
      <c r="W336" s="0" t="s">
        <v>244</v>
      </c>
      <c r="Y336" s="0" t="s">
        <v>253</v>
      </c>
      <c r="Z336" s="0" t="s">
        <v>1550</v>
      </c>
      <c r="AA336" s="0" t="s">
        <v>235</v>
      </c>
      <c r="AB336" s="32" t="n">
        <v>3000</v>
      </c>
      <c r="AC336" s="32" t="n">
        <v>3000</v>
      </c>
      <c r="AD336" s="26" t="n">
        <f aca="false">IFERROR(AB336/B336,"")</f>
        <v>4.33526011560694</v>
      </c>
      <c r="AE336" s="26" t="n">
        <f aca="false">IFERROR(AC336/B336,"")</f>
        <v>4.33526011560694</v>
      </c>
      <c r="AF336" s="0" t="s">
        <v>236</v>
      </c>
      <c r="AG336" s="0" t="s">
        <v>236</v>
      </c>
      <c r="AH336" s="0" t="s">
        <v>236</v>
      </c>
      <c r="AI336" s="0" t="s">
        <v>1766</v>
      </c>
      <c r="AJ336" s="0" t="s">
        <v>1767</v>
      </c>
      <c r="AK336" s="0" t="s">
        <v>1768</v>
      </c>
      <c r="AL336" s="0" t="s">
        <v>1769</v>
      </c>
      <c r="AM336" s="0" t="s">
        <v>94</v>
      </c>
      <c r="AN336" s="26" t="n">
        <f aca="false">IFERROR(E336*(1+IF(AM336="Apartment",Data_Summary!$C$3,0)),"")</f>
        <v>4.33526011560694</v>
      </c>
      <c r="AO336" s="4" t="n">
        <v>46195</v>
      </c>
    </row>
    <row r="337" customFormat="false" ht="15" hidden="false" customHeight="false" outlineLevel="0" collapsed="false">
      <c r="A337" s="0" t="n">
        <f aca="false">IF(AND(ISNUMBER(B337),B337&gt;0,ISNUMBER(AB337),AB337&gt;0,J337&gt;=Data_Summary!$C$1),1,0)</f>
        <v>1</v>
      </c>
      <c r="B337" s="33" t="n">
        <v>799</v>
      </c>
      <c r="C337" s="5" t="n">
        <f aca="false">IF(ISNUMBER(AB337),AB337,"")</f>
        <v>3400</v>
      </c>
      <c r="D337" s="0" t="n">
        <f aca="false">IF(ISNUMBER(C337),C337-U337*Data_Summary!$C$2,"")</f>
        <v>3400</v>
      </c>
      <c r="E337" s="34" t="n">
        <f aca="false">IFERROR(C337/B337,"")</f>
        <v>4.25531914893617</v>
      </c>
      <c r="F337" s="26" t="n">
        <f aca="false">IFERROR(D337/B337,"")</f>
        <v>4.25531914893617</v>
      </c>
      <c r="G337" s="0" t="str">
        <f aca="false">Q337</f>
        <v>2+1</v>
      </c>
      <c r="H337" s="0" t="str">
        <f aca="false">IFERROR(LEFT(G337,1),"")</f>
        <v>2</v>
      </c>
      <c r="I337" s="0" t="n">
        <f aca="false">IF(LEN(G337)&gt;1,1,0)</f>
        <v>1</v>
      </c>
      <c r="J337" s="4" t="n">
        <v>46090</v>
      </c>
      <c r="K337" s="0" t="s">
        <v>11</v>
      </c>
      <c r="L337" s="0" t="s">
        <v>95</v>
      </c>
      <c r="M337" s="0" t="s">
        <v>226</v>
      </c>
      <c r="N337" s="0" t="s">
        <v>97</v>
      </c>
      <c r="O337" s="0" t="s">
        <v>1770</v>
      </c>
      <c r="Q337" s="0" t="s">
        <v>451</v>
      </c>
      <c r="R337" s="0" t="n">
        <v>2</v>
      </c>
      <c r="S337" s="5" t="n">
        <v>799</v>
      </c>
      <c r="T337" s="0" t="s">
        <v>229</v>
      </c>
      <c r="U337" s="0" t="n">
        <v>0</v>
      </c>
      <c r="V337" s="0" t="s">
        <v>230</v>
      </c>
      <c r="W337" s="0" t="s">
        <v>244</v>
      </c>
      <c r="X337" s="0" t="s">
        <v>232</v>
      </c>
      <c r="Y337" s="0" t="s">
        <v>297</v>
      </c>
      <c r="Z337" s="0" t="s">
        <v>1550</v>
      </c>
      <c r="AA337" s="0" t="s">
        <v>235</v>
      </c>
      <c r="AB337" s="32" t="n">
        <v>3400</v>
      </c>
      <c r="AC337" s="32" t="n">
        <v>3400</v>
      </c>
      <c r="AD337" s="26" t="n">
        <f aca="false">IFERROR(AB337/B337,"")</f>
        <v>4.25531914893617</v>
      </c>
      <c r="AE337" s="26" t="n">
        <f aca="false">IFERROR(AC337/B337,"")</f>
        <v>4.25531914893617</v>
      </c>
      <c r="AF337" s="0" t="s">
        <v>236</v>
      </c>
      <c r="AG337" s="0" t="s">
        <v>236</v>
      </c>
      <c r="AH337" s="0" t="s">
        <v>236</v>
      </c>
      <c r="AI337" s="0" t="s">
        <v>554</v>
      </c>
      <c r="AJ337" s="0" t="s">
        <v>1771</v>
      </c>
      <c r="AK337" s="0" t="s">
        <v>1772</v>
      </c>
      <c r="AL337" s="0" t="s">
        <v>1773</v>
      </c>
      <c r="AM337" s="0" t="s">
        <v>94</v>
      </c>
      <c r="AN337" s="26" t="n">
        <f aca="false">IFERROR(E337*(1+IF(AM337="Apartment",Data_Summary!$C$3,0)),"")</f>
        <v>4.25531914893617</v>
      </c>
      <c r="AO337" s="4" t="n">
        <v>46195</v>
      </c>
    </row>
    <row r="338" customFormat="false" ht="15" hidden="false" customHeight="false" outlineLevel="0" collapsed="false">
      <c r="A338" s="0" t="n">
        <f aca="false">IF(AND(ISNUMBER(B338),B338&gt;0,ISNUMBER(AB338),AB338&gt;0,J338&gt;=Data_Summary!$C$1),1,0)</f>
        <v>1</v>
      </c>
      <c r="B338" s="30" t="n">
        <v>748</v>
      </c>
      <c r="C338" s="5" t="n">
        <f aca="false">IF(ISNUMBER(AB338),AB338,"")</f>
        <v>3400</v>
      </c>
      <c r="D338" s="0" t="n">
        <f aca="false">IF(ISNUMBER(C338),C338-U338*Data_Summary!$C$2,"")</f>
        <v>3400</v>
      </c>
      <c r="E338" s="31" t="n">
        <f aca="false">IFERROR(C338/B338,"")</f>
        <v>4.54545454545455</v>
      </c>
      <c r="F338" s="26" t="n">
        <f aca="false">IFERROR(D338/B338,"")</f>
        <v>4.54545454545455</v>
      </c>
      <c r="G338" s="0" t="str">
        <f aca="false">Q338</f>
        <v>2</v>
      </c>
      <c r="H338" s="0" t="str">
        <f aca="false">IFERROR(LEFT(G338,1),"")</f>
        <v>2</v>
      </c>
      <c r="I338" s="0" t="n">
        <f aca="false">IF(LEN(G338)&gt;1,1,0)</f>
        <v>0</v>
      </c>
      <c r="J338" s="4" t="n">
        <v>46086</v>
      </c>
      <c r="K338" s="0" t="s">
        <v>11</v>
      </c>
      <c r="L338" s="0" t="s">
        <v>95</v>
      </c>
      <c r="M338" s="0" t="s">
        <v>226</v>
      </c>
      <c r="N338" s="0" t="s">
        <v>97</v>
      </c>
      <c r="O338" s="0" t="s">
        <v>1057</v>
      </c>
      <c r="Q338" s="0" t="s">
        <v>251</v>
      </c>
      <c r="R338" s="0" t="n">
        <v>2</v>
      </c>
      <c r="S338" s="5" t="n">
        <v>748</v>
      </c>
      <c r="T338" s="0" t="s">
        <v>252</v>
      </c>
      <c r="U338" s="0" t="n">
        <v>0</v>
      </c>
      <c r="V338" s="0" t="s">
        <v>230</v>
      </c>
      <c r="W338" s="0" t="s">
        <v>244</v>
      </c>
      <c r="Y338" s="0" t="s">
        <v>278</v>
      </c>
      <c r="Z338" s="0" t="s">
        <v>1550</v>
      </c>
      <c r="AA338" s="0" t="s">
        <v>235</v>
      </c>
      <c r="AB338" s="32" t="n">
        <v>3400</v>
      </c>
      <c r="AC338" s="32" t="n">
        <v>3400</v>
      </c>
      <c r="AD338" s="26" t="n">
        <f aca="false">IFERROR(AB338/B338,"")</f>
        <v>4.54545454545455</v>
      </c>
      <c r="AE338" s="26" t="n">
        <f aca="false">IFERROR(AC338/B338,"")</f>
        <v>4.54545454545455</v>
      </c>
      <c r="AF338" s="0" t="s">
        <v>236</v>
      </c>
      <c r="AG338" s="0" t="s">
        <v>236</v>
      </c>
      <c r="AH338" s="0" t="s">
        <v>236</v>
      </c>
      <c r="AI338" s="0" t="s">
        <v>1774</v>
      </c>
      <c r="AJ338" s="0" t="s">
        <v>1775</v>
      </c>
      <c r="AK338" s="0" t="s">
        <v>1776</v>
      </c>
      <c r="AL338" s="0" t="s">
        <v>1777</v>
      </c>
      <c r="AM338" s="0" t="s">
        <v>94</v>
      </c>
      <c r="AN338" s="26" t="n">
        <f aca="false">IFERROR(E338*(1+IF(AM338="Apartment",Data_Summary!$C$3,0)),"")</f>
        <v>4.54545454545455</v>
      </c>
      <c r="AO338" s="4" t="n">
        <v>46195</v>
      </c>
    </row>
    <row r="339" customFormat="false" ht="15" hidden="false" customHeight="false" outlineLevel="0" collapsed="false">
      <c r="A339" s="0" t="n">
        <f aca="false">IF(AND(ISNUMBER(B339),B339&gt;0,ISNUMBER(AB339),AB339&gt;0,J339&gt;=Data_Summary!$C$1),1,0)</f>
        <v>1</v>
      </c>
      <c r="B339" s="33" t="n">
        <v>864</v>
      </c>
      <c r="C339" s="5" t="n">
        <f aca="false">IF(ISNUMBER(AB339),AB339,"")</f>
        <v>4868</v>
      </c>
      <c r="D339" s="0" t="n">
        <f aca="false">IF(ISNUMBER(C339),C339-U339*Data_Summary!$C$2,"")</f>
        <v>4718</v>
      </c>
      <c r="E339" s="34" t="n">
        <f aca="false">IFERROR(C339/B339,"")</f>
        <v>5.63425925925926</v>
      </c>
      <c r="F339" s="26" t="n">
        <f aca="false">IFERROR(D339/B339,"")</f>
        <v>5.46064814814815</v>
      </c>
      <c r="G339" s="0" t="str">
        <f aca="false">Q339</f>
        <v>3</v>
      </c>
      <c r="H339" s="0" t="str">
        <f aca="false">IFERROR(LEFT(G339,1),"")</f>
        <v>3</v>
      </c>
      <c r="I339" s="0" t="n">
        <f aca="false">IF(LEN(G339)&gt;1,1,0)</f>
        <v>0</v>
      </c>
      <c r="J339" s="4" t="n">
        <v>46082</v>
      </c>
      <c r="K339" s="0" t="s">
        <v>11</v>
      </c>
      <c r="L339" s="0" t="s">
        <v>95</v>
      </c>
      <c r="M339" s="0" t="s">
        <v>226</v>
      </c>
      <c r="N339" s="0" t="s">
        <v>97</v>
      </c>
      <c r="O339" s="0" t="s">
        <v>963</v>
      </c>
      <c r="Q339" s="0" t="s">
        <v>228</v>
      </c>
      <c r="R339" s="0" t="n">
        <v>2</v>
      </c>
      <c r="S339" s="5" t="n">
        <v>864</v>
      </c>
      <c r="T339" s="0" t="s">
        <v>229</v>
      </c>
      <c r="U339" s="0" t="n">
        <v>1</v>
      </c>
      <c r="V339" s="0" t="s">
        <v>230</v>
      </c>
      <c r="W339" s="0" t="s">
        <v>244</v>
      </c>
      <c r="Y339" s="0" t="s">
        <v>278</v>
      </c>
      <c r="Z339" s="0" t="s">
        <v>1550</v>
      </c>
      <c r="AA339" s="0" t="s">
        <v>235</v>
      </c>
      <c r="AB339" s="32" t="n">
        <v>4868</v>
      </c>
      <c r="AC339" s="32" t="n">
        <v>4950</v>
      </c>
      <c r="AD339" s="26" t="n">
        <f aca="false">IFERROR(AB339/B339,"")</f>
        <v>5.63425925925926</v>
      </c>
      <c r="AE339" s="26" t="n">
        <f aca="false">IFERROR(AC339/B339,"")</f>
        <v>5.72916666666667</v>
      </c>
      <c r="AF339" s="0" t="s">
        <v>230</v>
      </c>
      <c r="AG339" s="0" t="s">
        <v>236</v>
      </c>
      <c r="AH339" s="0" t="s">
        <v>230</v>
      </c>
      <c r="AI339" s="0" t="s">
        <v>580</v>
      </c>
      <c r="AJ339" s="0" t="s">
        <v>1778</v>
      </c>
      <c r="AK339" s="0" t="s">
        <v>1779</v>
      </c>
      <c r="AL339" s="0" t="s">
        <v>1780</v>
      </c>
      <c r="AM339" s="0" t="s">
        <v>94</v>
      </c>
      <c r="AN339" s="26" t="n">
        <f aca="false">IFERROR(E339*(1+IF(AM339="Apartment",Data_Summary!$C$3,0)),"")</f>
        <v>5.63425925925926</v>
      </c>
      <c r="AO339" s="4" t="n">
        <v>46195</v>
      </c>
    </row>
    <row r="340" customFormat="false" ht="15" hidden="false" customHeight="false" outlineLevel="0" collapsed="false">
      <c r="A340" s="0" t="n">
        <f aca="false">IF(AND(ISNUMBER(B340),B340&gt;0,ISNUMBER(AB340),AB340&gt;0,J340&gt;=Data_Summary!$C$1),1,0)</f>
        <v>1</v>
      </c>
      <c r="B340" s="30" t="n">
        <v>890</v>
      </c>
      <c r="C340" s="5" t="n">
        <f aca="false">IF(ISNUMBER(AB340),AB340,"")</f>
        <v>3300</v>
      </c>
      <c r="D340" s="0" t="n">
        <f aca="false">IF(ISNUMBER(C340),C340-U340*Data_Summary!$C$2,"")</f>
        <v>3300</v>
      </c>
      <c r="E340" s="31" t="n">
        <f aca="false">IFERROR(C340/B340,"")</f>
        <v>3.70786516853933</v>
      </c>
      <c r="F340" s="26" t="n">
        <f aca="false">IFERROR(D340/B340,"")</f>
        <v>3.70786516853933</v>
      </c>
      <c r="G340" s="0" t="str">
        <f aca="false">Q340</f>
        <v>2+1</v>
      </c>
      <c r="H340" s="0" t="str">
        <f aca="false">IFERROR(LEFT(G340,1),"")</f>
        <v>2</v>
      </c>
      <c r="I340" s="0" t="n">
        <f aca="false">IF(LEN(G340)&gt;1,1,0)</f>
        <v>1</v>
      </c>
      <c r="J340" s="4" t="n">
        <v>46081</v>
      </c>
      <c r="K340" s="0" t="s">
        <v>11</v>
      </c>
      <c r="L340" s="0" t="s">
        <v>95</v>
      </c>
      <c r="M340" s="0" t="s">
        <v>226</v>
      </c>
      <c r="N340" s="0" t="s">
        <v>97</v>
      </c>
      <c r="O340" s="0" t="s">
        <v>1781</v>
      </c>
      <c r="Q340" s="0" t="s">
        <v>451</v>
      </c>
      <c r="R340" s="0" t="n">
        <v>2</v>
      </c>
      <c r="S340" s="5" t="n">
        <v>890</v>
      </c>
      <c r="T340" s="0" t="s">
        <v>229</v>
      </c>
      <c r="U340" s="0" t="n">
        <v>0</v>
      </c>
      <c r="V340" s="0" t="s">
        <v>230</v>
      </c>
      <c r="W340" s="0" t="s">
        <v>244</v>
      </c>
      <c r="X340" s="0" t="s">
        <v>232</v>
      </c>
      <c r="Y340" s="0" t="s">
        <v>233</v>
      </c>
      <c r="Z340" s="0" t="s">
        <v>1550</v>
      </c>
      <c r="AA340" s="0" t="s">
        <v>235</v>
      </c>
      <c r="AB340" s="32" t="n">
        <v>3300</v>
      </c>
      <c r="AC340" s="32" t="n">
        <v>3300</v>
      </c>
      <c r="AD340" s="26" t="n">
        <f aca="false">IFERROR(AB340/B340,"")</f>
        <v>3.70786516853933</v>
      </c>
      <c r="AE340" s="26" t="n">
        <f aca="false">IFERROR(AC340/B340,"")</f>
        <v>3.70786516853933</v>
      </c>
      <c r="AF340" s="0" t="s">
        <v>236</v>
      </c>
      <c r="AG340" s="0" t="s">
        <v>236</v>
      </c>
      <c r="AH340" s="0" t="s">
        <v>236</v>
      </c>
      <c r="AI340" s="0" t="s">
        <v>585</v>
      </c>
      <c r="AJ340" s="0" t="s">
        <v>1782</v>
      </c>
      <c r="AK340" s="0" t="s">
        <v>1783</v>
      </c>
      <c r="AL340" s="0" t="s">
        <v>1784</v>
      </c>
      <c r="AM340" s="0" t="s">
        <v>94</v>
      </c>
      <c r="AN340" s="26" t="n">
        <f aca="false">IFERROR(E340*(1+IF(AM340="Apartment",Data_Summary!$C$3,0)),"")</f>
        <v>3.70786516853933</v>
      </c>
      <c r="AO340" s="4" t="n">
        <v>46195</v>
      </c>
    </row>
    <row r="341" customFormat="false" ht="15" hidden="false" customHeight="false" outlineLevel="0" collapsed="false">
      <c r="A341" s="0" t="n">
        <f aca="false">IF(AND(ISNUMBER(B341),B341&gt;0,ISNUMBER(AB341),AB341&gt;0,J341&gt;=Data_Summary!$C$1),1,0)</f>
        <v>1</v>
      </c>
      <c r="B341" s="33" t="n">
        <v>719</v>
      </c>
      <c r="C341" s="5" t="n">
        <f aca="false">IF(ISNUMBER(AB341),AB341,"")</f>
        <v>3000</v>
      </c>
      <c r="D341" s="0" t="n">
        <f aca="false">IF(ISNUMBER(C341),C341-U341*Data_Summary!$C$2,"")</f>
        <v>3000</v>
      </c>
      <c r="E341" s="34" t="n">
        <f aca="false">IFERROR(C341/B341,"")</f>
        <v>4.17246175243394</v>
      </c>
      <c r="F341" s="26" t="n">
        <f aca="false">IFERROR(D341/B341,"")</f>
        <v>4.17246175243394</v>
      </c>
      <c r="G341" s="0" t="str">
        <f aca="false">Q341</f>
        <v>2</v>
      </c>
      <c r="H341" s="0" t="str">
        <f aca="false">IFERROR(LEFT(G341,1),"")</f>
        <v>2</v>
      </c>
      <c r="I341" s="0" t="n">
        <f aca="false">IF(LEN(G341)&gt;1,1,0)</f>
        <v>0</v>
      </c>
      <c r="J341" s="4" t="n">
        <v>46078</v>
      </c>
      <c r="K341" s="0" t="s">
        <v>11</v>
      </c>
      <c r="L341" s="0" t="s">
        <v>95</v>
      </c>
      <c r="M341" s="0" t="s">
        <v>226</v>
      </c>
      <c r="N341" s="0" t="s">
        <v>97</v>
      </c>
      <c r="O341" s="0" t="s">
        <v>258</v>
      </c>
      <c r="Q341" s="0" t="s">
        <v>251</v>
      </c>
      <c r="R341" s="0" t="n">
        <v>2</v>
      </c>
      <c r="S341" s="5" t="n">
        <v>719</v>
      </c>
      <c r="T341" s="0" t="s">
        <v>271</v>
      </c>
      <c r="U341" s="0" t="n">
        <v>0</v>
      </c>
      <c r="V341" s="0" t="s">
        <v>230</v>
      </c>
      <c r="W341" s="0" t="s">
        <v>244</v>
      </c>
      <c r="Y341" s="0" t="s">
        <v>253</v>
      </c>
      <c r="Z341" s="0" t="s">
        <v>1550</v>
      </c>
      <c r="AA341" s="0" t="s">
        <v>235</v>
      </c>
      <c r="AB341" s="32" t="n">
        <v>3000</v>
      </c>
      <c r="AC341" s="32" t="n">
        <v>3000</v>
      </c>
      <c r="AD341" s="26" t="n">
        <f aca="false">IFERROR(AB341/B341,"")</f>
        <v>4.17246175243394</v>
      </c>
      <c r="AE341" s="26" t="n">
        <f aca="false">IFERROR(AC341/B341,"")</f>
        <v>4.17246175243394</v>
      </c>
      <c r="AF341" s="0" t="s">
        <v>236</v>
      </c>
      <c r="AG341" s="0" t="s">
        <v>236</v>
      </c>
      <c r="AH341" s="0" t="s">
        <v>236</v>
      </c>
      <c r="AI341" s="0" t="s">
        <v>1785</v>
      </c>
      <c r="AJ341" s="0" t="s">
        <v>1786</v>
      </c>
      <c r="AK341" s="0" t="s">
        <v>1787</v>
      </c>
      <c r="AL341" s="0" t="s">
        <v>1788</v>
      </c>
      <c r="AM341" s="0" t="s">
        <v>94</v>
      </c>
      <c r="AN341" s="26" t="n">
        <f aca="false">IFERROR(E341*(1+IF(AM341="Apartment",Data_Summary!$C$3,0)),"")</f>
        <v>4.17246175243394</v>
      </c>
      <c r="AO341" s="4" t="n">
        <v>46195</v>
      </c>
    </row>
    <row r="342" customFormat="false" ht="15" hidden="false" customHeight="false" outlineLevel="0" collapsed="false">
      <c r="A342" s="0" t="n">
        <f aca="false">IF(AND(ISNUMBER(B342),B342&gt;0,ISNUMBER(AB342),AB342&gt;0,J342&gt;=Data_Summary!$C$1),1,0)</f>
        <v>1</v>
      </c>
      <c r="B342" s="30" t="n">
        <v>799</v>
      </c>
      <c r="C342" s="5" t="n">
        <f aca="false">IF(ISNUMBER(AB342),AB342,"")</f>
        <v>3200</v>
      </c>
      <c r="D342" s="0" t="n">
        <f aca="false">IF(ISNUMBER(C342),C342-U342*Data_Summary!$C$2,"")</f>
        <v>3200</v>
      </c>
      <c r="E342" s="31" t="n">
        <f aca="false">IFERROR(C342/B342,"")</f>
        <v>4.00500625782228</v>
      </c>
      <c r="F342" s="26" t="n">
        <f aca="false">IFERROR(D342/B342,"")</f>
        <v>4.00500625782228</v>
      </c>
      <c r="G342" s="0" t="str">
        <f aca="false">Q342</f>
        <v>2+1</v>
      </c>
      <c r="H342" s="0" t="str">
        <f aca="false">IFERROR(LEFT(G342,1),"")</f>
        <v>2</v>
      </c>
      <c r="I342" s="0" t="n">
        <f aca="false">IF(LEN(G342)&gt;1,1,0)</f>
        <v>1</v>
      </c>
      <c r="J342" s="4" t="n">
        <v>46073</v>
      </c>
      <c r="K342" s="0" t="s">
        <v>11</v>
      </c>
      <c r="L342" s="0" t="s">
        <v>95</v>
      </c>
      <c r="M342" s="0" t="s">
        <v>226</v>
      </c>
      <c r="N342" s="0" t="s">
        <v>97</v>
      </c>
      <c r="O342" s="0" t="s">
        <v>1461</v>
      </c>
      <c r="Q342" s="0" t="s">
        <v>451</v>
      </c>
      <c r="R342" s="0" t="n">
        <v>2</v>
      </c>
      <c r="S342" s="5" t="n">
        <v>799</v>
      </c>
      <c r="T342" s="0" t="s">
        <v>252</v>
      </c>
      <c r="U342" s="0" t="n">
        <v>0</v>
      </c>
      <c r="V342" s="0" t="s">
        <v>230</v>
      </c>
      <c r="W342" s="0" t="s">
        <v>244</v>
      </c>
      <c r="X342" s="0" t="s">
        <v>232</v>
      </c>
      <c r="Y342" s="0" t="s">
        <v>233</v>
      </c>
      <c r="Z342" s="0" t="s">
        <v>1550</v>
      </c>
      <c r="AA342" s="0" t="s">
        <v>235</v>
      </c>
      <c r="AB342" s="32" t="n">
        <v>3200</v>
      </c>
      <c r="AC342" s="32" t="n">
        <v>3200</v>
      </c>
      <c r="AD342" s="26" t="n">
        <f aca="false">IFERROR(AB342/B342,"")</f>
        <v>4.00500625782228</v>
      </c>
      <c r="AE342" s="26" t="n">
        <f aca="false">IFERROR(AC342/B342,"")</f>
        <v>4.00500625782228</v>
      </c>
      <c r="AF342" s="0" t="s">
        <v>236</v>
      </c>
      <c r="AG342" s="0" t="s">
        <v>236</v>
      </c>
      <c r="AH342" s="0" t="s">
        <v>236</v>
      </c>
      <c r="AI342" s="0" t="s">
        <v>1789</v>
      </c>
      <c r="AJ342" s="0" t="s">
        <v>1790</v>
      </c>
      <c r="AK342" s="0" t="s">
        <v>1791</v>
      </c>
      <c r="AL342" s="0" t="s">
        <v>1792</v>
      </c>
      <c r="AM342" s="0" t="s">
        <v>94</v>
      </c>
      <c r="AN342" s="26" t="n">
        <f aca="false">IFERROR(E342*(1+IF(AM342="Apartment",Data_Summary!$C$3,0)),"")</f>
        <v>4.00500625782228</v>
      </c>
      <c r="AO342" s="4" t="n">
        <v>46195</v>
      </c>
    </row>
    <row r="343" customFormat="false" ht="15" hidden="false" customHeight="false" outlineLevel="0" collapsed="false">
      <c r="A343" s="0" t="n">
        <f aca="false">IF(AND(ISNUMBER(B343),B343&gt;0,ISNUMBER(AB343),AB343&gt;0,J343&gt;=Data_Summary!$C$1),1,0)</f>
        <v>1</v>
      </c>
      <c r="B343" s="30" t="n">
        <v>719</v>
      </c>
      <c r="C343" s="5" t="n">
        <f aca="false">IF(ISNUMBER(AB343),AB343,"")</f>
        <v>3300</v>
      </c>
      <c r="D343" s="0" t="n">
        <f aca="false">IF(ISNUMBER(C343),C343-U343*Data_Summary!$C$2,"")</f>
        <v>3300</v>
      </c>
      <c r="E343" s="31" t="n">
        <f aca="false">IFERROR(C343/B343,"")</f>
        <v>4.58970792767733</v>
      </c>
      <c r="F343" s="26" t="n">
        <f aca="false">IFERROR(D343/B343,"")</f>
        <v>4.58970792767733</v>
      </c>
      <c r="G343" s="0" t="str">
        <f aca="false">Q343</f>
        <v>2</v>
      </c>
      <c r="H343" s="0" t="str">
        <f aca="false">IFERROR(LEFT(G343,1),"")</f>
        <v>2</v>
      </c>
      <c r="I343" s="0" t="n">
        <f aca="false">IF(LEN(G343)&gt;1,1,0)</f>
        <v>0</v>
      </c>
      <c r="J343" s="4" t="n">
        <v>46073</v>
      </c>
      <c r="K343" s="0" t="s">
        <v>11</v>
      </c>
      <c r="L343" s="0" t="s">
        <v>95</v>
      </c>
      <c r="M343" s="0" t="s">
        <v>226</v>
      </c>
      <c r="N343" s="0" t="s">
        <v>97</v>
      </c>
      <c r="O343" s="0" t="s">
        <v>1793</v>
      </c>
      <c r="Q343" s="0" t="s">
        <v>251</v>
      </c>
      <c r="R343" s="0" t="n">
        <v>2</v>
      </c>
      <c r="S343" s="5" t="n">
        <v>719</v>
      </c>
      <c r="T343" s="0" t="s">
        <v>252</v>
      </c>
      <c r="U343" s="0" t="n">
        <v>0</v>
      </c>
      <c r="V343" s="0" t="s">
        <v>230</v>
      </c>
      <c r="W343" s="0" t="s">
        <v>244</v>
      </c>
      <c r="Y343" s="0" t="s">
        <v>253</v>
      </c>
      <c r="Z343" s="0" t="s">
        <v>1550</v>
      </c>
      <c r="AA343" s="0" t="s">
        <v>235</v>
      </c>
      <c r="AB343" s="32" t="n">
        <v>3300</v>
      </c>
      <c r="AC343" s="32" t="n">
        <v>3400</v>
      </c>
      <c r="AD343" s="26" t="n">
        <f aca="false">IFERROR(AB343/B343,"")</f>
        <v>4.58970792767733</v>
      </c>
      <c r="AE343" s="26" t="n">
        <f aca="false">IFERROR(AC343/B343,"")</f>
        <v>4.72878998609179</v>
      </c>
      <c r="AF343" s="0" t="s">
        <v>236</v>
      </c>
      <c r="AG343" s="0" t="s">
        <v>236</v>
      </c>
      <c r="AH343" s="0" t="s">
        <v>236</v>
      </c>
      <c r="AI343" s="0" t="s">
        <v>1789</v>
      </c>
      <c r="AJ343" s="0" t="s">
        <v>1794</v>
      </c>
      <c r="AK343" s="0" t="s">
        <v>1795</v>
      </c>
      <c r="AL343" s="0" t="s">
        <v>1796</v>
      </c>
      <c r="AM343" s="0" t="s">
        <v>94</v>
      </c>
      <c r="AN343" s="26" t="n">
        <f aca="false">IFERROR(E343*(1+IF(AM343="Apartment",Data_Summary!$C$3,0)),"")</f>
        <v>4.58970792767733</v>
      </c>
      <c r="AO343" s="4" t="n">
        <v>46195</v>
      </c>
    </row>
    <row r="344" customFormat="false" ht="15" hidden="false" customHeight="false" outlineLevel="0" collapsed="false">
      <c r="A344" s="0" t="n">
        <f aca="false">IF(AND(ISNUMBER(B344),B344&gt;0,ISNUMBER(AB344),AB344&gt;0,J344&gt;=Data_Summary!$C$1),1,0)</f>
        <v>1</v>
      </c>
      <c r="B344" s="30" t="n">
        <v>756</v>
      </c>
      <c r="C344" s="5" t="n">
        <f aca="false">IF(ISNUMBER(AB344),AB344,"")</f>
        <v>3150</v>
      </c>
      <c r="D344" s="0" t="n">
        <f aca="false">IF(ISNUMBER(C344),C344-U344*Data_Summary!$C$2,"")</f>
        <v>3150</v>
      </c>
      <c r="E344" s="31" t="n">
        <f aca="false">IFERROR(C344/B344,"")</f>
        <v>4.16666666666667</v>
      </c>
      <c r="F344" s="26" t="n">
        <f aca="false">IFERROR(D344/B344,"")</f>
        <v>4.16666666666667</v>
      </c>
      <c r="G344" s="0" t="str">
        <f aca="false">Q344</f>
        <v>2+1</v>
      </c>
      <c r="H344" s="0" t="str">
        <f aca="false">IFERROR(LEFT(G344,1),"")</f>
        <v>2</v>
      </c>
      <c r="I344" s="0" t="n">
        <f aca="false">IF(LEN(G344)&gt;1,1,0)</f>
        <v>1</v>
      </c>
      <c r="J344" s="4" t="n">
        <v>46071</v>
      </c>
      <c r="K344" s="0" t="s">
        <v>11</v>
      </c>
      <c r="L344" s="0" t="s">
        <v>95</v>
      </c>
      <c r="M344" s="0" t="s">
        <v>226</v>
      </c>
      <c r="N344" s="0" t="s">
        <v>97</v>
      </c>
      <c r="O344" s="0" t="s">
        <v>1797</v>
      </c>
      <c r="Q344" s="0" t="s">
        <v>451</v>
      </c>
      <c r="R344" s="0" t="n">
        <v>2</v>
      </c>
      <c r="S344" s="5" t="n">
        <v>756</v>
      </c>
      <c r="T344" s="0" t="s">
        <v>252</v>
      </c>
      <c r="U344" s="0" t="n">
        <v>0</v>
      </c>
      <c r="V344" s="0" t="s">
        <v>230</v>
      </c>
      <c r="W344" s="0" t="s">
        <v>244</v>
      </c>
      <c r="X344" s="0" t="s">
        <v>232</v>
      </c>
      <c r="Y344" s="0" t="s">
        <v>253</v>
      </c>
      <c r="Z344" s="0" t="s">
        <v>1550</v>
      </c>
      <c r="AA344" s="0" t="s">
        <v>235</v>
      </c>
      <c r="AB344" s="32" t="n">
        <v>3150</v>
      </c>
      <c r="AC344" s="32" t="n">
        <v>3290</v>
      </c>
      <c r="AD344" s="26" t="n">
        <f aca="false">IFERROR(AB344/B344,"")</f>
        <v>4.16666666666667</v>
      </c>
      <c r="AE344" s="26" t="n">
        <f aca="false">IFERROR(AC344/B344,"")</f>
        <v>4.35185185185185</v>
      </c>
      <c r="AF344" s="0" t="s">
        <v>236</v>
      </c>
      <c r="AG344" s="0" t="s">
        <v>236</v>
      </c>
      <c r="AH344" s="0" t="s">
        <v>236</v>
      </c>
      <c r="AI344" s="0" t="s">
        <v>623</v>
      </c>
      <c r="AJ344" s="0" t="s">
        <v>1798</v>
      </c>
      <c r="AK344" s="0" t="s">
        <v>1799</v>
      </c>
      <c r="AL344" s="0" t="s">
        <v>1800</v>
      </c>
      <c r="AM344" s="0" t="s">
        <v>94</v>
      </c>
      <c r="AN344" s="26" t="n">
        <f aca="false">IFERROR(E344*(1+IF(AM344="Apartment",Data_Summary!$C$3,0)),"")</f>
        <v>4.16666666666667</v>
      </c>
      <c r="AO344" s="4" t="n">
        <v>46195</v>
      </c>
    </row>
    <row r="345" customFormat="false" ht="15" hidden="false" customHeight="false" outlineLevel="0" collapsed="false">
      <c r="A345" s="0" t="n">
        <f aca="false">IF(AND(ISNUMBER(B345),B345&gt;0,ISNUMBER(AB345),AB345&gt;0,J345&gt;=Data_Summary!$C$1),1,0)</f>
        <v>1</v>
      </c>
      <c r="B345" s="30" t="n">
        <v>862</v>
      </c>
      <c r="C345" s="5" t="n">
        <f aca="false">IF(ISNUMBER(AB345),AB345,"")</f>
        <v>3800</v>
      </c>
      <c r="D345" s="0" t="n">
        <f aca="false">IF(ISNUMBER(C345),C345-U345*Data_Summary!$C$2,"")</f>
        <v>3650</v>
      </c>
      <c r="E345" s="31" t="n">
        <f aca="false">IFERROR(C345/B345,"")</f>
        <v>4.40835266821346</v>
      </c>
      <c r="F345" s="26" t="n">
        <f aca="false">IFERROR(D345/B345,"")</f>
        <v>4.23433874709977</v>
      </c>
      <c r="G345" s="0" t="str">
        <f aca="false">Q345</f>
        <v>2+1</v>
      </c>
      <c r="H345" s="0" t="str">
        <f aca="false">IFERROR(LEFT(G345,1),"")</f>
        <v>2</v>
      </c>
      <c r="I345" s="0" t="n">
        <f aca="false">IF(LEN(G345)&gt;1,1,0)</f>
        <v>1</v>
      </c>
      <c r="J345" s="4" t="n">
        <v>46067</v>
      </c>
      <c r="K345" s="0" t="s">
        <v>11</v>
      </c>
      <c r="L345" s="0" t="s">
        <v>95</v>
      </c>
      <c r="M345" s="0" t="s">
        <v>226</v>
      </c>
      <c r="N345" s="0" t="s">
        <v>97</v>
      </c>
      <c r="O345" s="0" t="s">
        <v>1801</v>
      </c>
      <c r="Q345" s="0" t="s">
        <v>451</v>
      </c>
      <c r="R345" s="0" t="n">
        <v>2</v>
      </c>
      <c r="S345" s="5" t="n">
        <v>862</v>
      </c>
      <c r="T345" s="0" t="s">
        <v>229</v>
      </c>
      <c r="U345" s="0" t="n">
        <v>1</v>
      </c>
      <c r="V345" s="0" t="s">
        <v>230</v>
      </c>
      <c r="W345" s="0" t="s">
        <v>244</v>
      </c>
      <c r="X345" s="0" t="s">
        <v>232</v>
      </c>
      <c r="Y345" s="0" t="s">
        <v>260</v>
      </c>
      <c r="Z345" s="0" t="s">
        <v>1550</v>
      </c>
      <c r="AA345" s="0" t="s">
        <v>235</v>
      </c>
      <c r="AB345" s="32" t="n">
        <v>3800</v>
      </c>
      <c r="AC345" s="32" t="n">
        <v>3800</v>
      </c>
      <c r="AD345" s="26" t="n">
        <f aca="false">IFERROR(AB345/B345,"")</f>
        <v>4.40835266821346</v>
      </c>
      <c r="AE345" s="26" t="n">
        <f aca="false">IFERROR(AC345/B345,"")</f>
        <v>4.40835266821346</v>
      </c>
      <c r="AF345" s="0" t="s">
        <v>236</v>
      </c>
      <c r="AG345" s="0" t="s">
        <v>236</v>
      </c>
      <c r="AH345" s="0" t="s">
        <v>236</v>
      </c>
      <c r="AI345" s="0" t="s">
        <v>1802</v>
      </c>
      <c r="AJ345" s="0" t="s">
        <v>1803</v>
      </c>
      <c r="AK345" s="0" t="s">
        <v>1804</v>
      </c>
      <c r="AL345" s="0" t="s">
        <v>1805</v>
      </c>
      <c r="AM345" s="0" t="s">
        <v>94</v>
      </c>
      <c r="AN345" s="26" t="n">
        <f aca="false">IFERROR(E345*(1+IF(AM345="Apartment",Data_Summary!$C$3,0)),"")</f>
        <v>4.40835266821346</v>
      </c>
      <c r="AO345" s="4" t="n">
        <v>46195</v>
      </c>
    </row>
    <row r="346" customFormat="false" ht="15" hidden="false" customHeight="false" outlineLevel="0" collapsed="false">
      <c r="A346" s="0" t="n">
        <f aca="false">IF(AND(ISNUMBER(B346),B346&gt;0,ISNUMBER(AB346),AB346&gt;0,J346&gt;=Data_Summary!$C$1),1,0)</f>
        <v>1</v>
      </c>
      <c r="B346" s="30" t="n">
        <v>520</v>
      </c>
      <c r="C346" s="5" t="n">
        <f aca="false">IF(ISNUMBER(AB346),AB346,"")</f>
        <v>2300</v>
      </c>
      <c r="D346" s="0" t="n">
        <f aca="false">IF(ISNUMBER(C346),C346-U346*Data_Summary!$C$2,"")</f>
        <v>2300</v>
      </c>
      <c r="E346" s="31" t="n">
        <f aca="false">IFERROR(C346/B346,"")</f>
        <v>4.42307692307692</v>
      </c>
      <c r="F346" s="26" t="n">
        <f aca="false">IFERROR(D346/B346,"")</f>
        <v>4.42307692307692</v>
      </c>
      <c r="G346" s="0" t="str">
        <f aca="false">Q346</f>
        <v>1+1</v>
      </c>
      <c r="H346" s="0" t="str">
        <f aca="false">IFERROR(LEFT(G346,1),"")</f>
        <v>1</v>
      </c>
      <c r="I346" s="0" t="n">
        <f aca="false">IF(LEN(G346)&gt;1,1,0)</f>
        <v>1</v>
      </c>
      <c r="J346" s="4" t="n">
        <v>46063</v>
      </c>
      <c r="K346" s="0" t="s">
        <v>11</v>
      </c>
      <c r="L346" s="0" t="s">
        <v>95</v>
      </c>
      <c r="M346" s="0" t="s">
        <v>226</v>
      </c>
      <c r="N346" s="0" t="s">
        <v>97</v>
      </c>
      <c r="O346" s="0" t="s">
        <v>1326</v>
      </c>
      <c r="Q346" s="0" t="s">
        <v>270</v>
      </c>
      <c r="R346" s="0" t="n">
        <v>1</v>
      </c>
      <c r="S346" s="5" t="n">
        <v>520</v>
      </c>
      <c r="T346" s="0" t="s">
        <v>243</v>
      </c>
      <c r="U346" s="0" t="n">
        <v>0</v>
      </c>
      <c r="V346" s="0" t="s">
        <v>230</v>
      </c>
      <c r="W346" s="0" t="s">
        <v>244</v>
      </c>
      <c r="Y346" s="0" t="s">
        <v>272</v>
      </c>
      <c r="Z346" s="0" t="s">
        <v>1550</v>
      </c>
      <c r="AA346" s="0" t="s">
        <v>235</v>
      </c>
      <c r="AB346" s="32" t="n">
        <v>2300</v>
      </c>
      <c r="AC346" s="32" t="n">
        <v>2300</v>
      </c>
      <c r="AD346" s="26" t="n">
        <f aca="false">IFERROR(AB346/B346,"")</f>
        <v>4.42307692307692</v>
      </c>
      <c r="AE346" s="26" t="n">
        <f aca="false">IFERROR(AC346/B346,"")</f>
        <v>4.42307692307692</v>
      </c>
      <c r="AF346" s="0" t="s">
        <v>236</v>
      </c>
      <c r="AG346" s="0" t="s">
        <v>236</v>
      </c>
      <c r="AH346" s="0" t="s">
        <v>236</v>
      </c>
      <c r="AI346" s="0" t="s">
        <v>1806</v>
      </c>
      <c r="AJ346" s="0" t="s">
        <v>1807</v>
      </c>
      <c r="AK346" s="0" t="s">
        <v>1808</v>
      </c>
      <c r="AL346" s="0" t="s">
        <v>1809</v>
      </c>
      <c r="AM346" s="0" t="s">
        <v>94</v>
      </c>
      <c r="AN346" s="26" t="n">
        <f aca="false">IFERROR(E346*(1+IF(AM346="Apartment",Data_Summary!$C$3,0)),"")</f>
        <v>4.42307692307692</v>
      </c>
      <c r="AO346" s="4" t="n">
        <v>46195</v>
      </c>
    </row>
    <row r="347" customFormat="false" ht="15" hidden="false" customHeight="false" outlineLevel="0" collapsed="false">
      <c r="A347" s="0" t="n">
        <f aca="false">IF(AND(ISNUMBER(B347),B347&gt;0,ISNUMBER(AB347),AB347&gt;0,J347&gt;=Data_Summary!$C$1),1,0)</f>
        <v>1</v>
      </c>
      <c r="B347" s="30" t="n">
        <v>652</v>
      </c>
      <c r="C347" s="5" t="n">
        <f aca="false">IF(ISNUMBER(AB347),AB347,"")</f>
        <v>2850</v>
      </c>
      <c r="D347" s="0" t="n">
        <f aca="false">IF(ISNUMBER(C347),C347-U347*Data_Summary!$C$2,"")</f>
        <v>2850</v>
      </c>
      <c r="E347" s="31" t="n">
        <f aca="false">IFERROR(C347/B347,"")</f>
        <v>4.37116564417178</v>
      </c>
      <c r="F347" s="26" t="n">
        <f aca="false">IFERROR(D347/B347,"")</f>
        <v>4.37116564417178</v>
      </c>
      <c r="G347" s="0" t="str">
        <f aca="false">Q347</f>
        <v>2</v>
      </c>
      <c r="H347" s="0" t="str">
        <f aca="false">IFERROR(LEFT(G347,1),"")</f>
        <v>2</v>
      </c>
      <c r="I347" s="0" t="n">
        <f aca="false">IF(LEN(G347)&gt;1,1,0)</f>
        <v>0</v>
      </c>
      <c r="J347" s="4" t="n">
        <v>46062</v>
      </c>
      <c r="K347" s="0" t="s">
        <v>11</v>
      </c>
      <c r="L347" s="0" t="s">
        <v>95</v>
      </c>
      <c r="M347" s="0" t="s">
        <v>226</v>
      </c>
      <c r="N347" s="0" t="s">
        <v>97</v>
      </c>
      <c r="O347" s="0" t="s">
        <v>1810</v>
      </c>
      <c r="Q347" s="0" t="s">
        <v>251</v>
      </c>
      <c r="R347" s="0" t="n">
        <v>2</v>
      </c>
      <c r="S347" s="5" t="n">
        <v>652</v>
      </c>
      <c r="T347" s="0" t="s">
        <v>271</v>
      </c>
      <c r="U347" s="0" t="n">
        <v>0</v>
      </c>
      <c r="V347" s="0" t="s">
        <v>230</v>
      </c>
      <c r="W347" s="0" t="s">
        <v>244</v>
      </c>
      <c r="Y347" s="0" t="s">
        <v>245</v>
      </c>
      <c r="Z347" s="0" t="s">
        <v>1550</v>
      </c>
      <c r="AA347" s="0" t="s">
        <v>235</v>
      </c>
      <c r="AB347" s="32" t="n">
        <v>2850</v>
      </c>
      <c r="AC347" s="32" t="n">
        <v>2850</v>
      </c>
      <c r="AD347" s="26" t="n">
        <f aca="false">IFERROR(AB347/B347,"")</f>
        <v>4.37116564417178</v>
      </c>
      <c r="AE347" s="26" t="n">
        <f aca="false">IFERROR(AC347/B347,"")</f>
        <v>4.37116564417178</v>
      </c>
      <c r="AF347" s="0" t="s">
        <v>236</v>
      </c>
      <c r="AG347" s="0" t="s">
        <v>236</v>
      </c>
      <c r="AH347" s="0" t="s">
        <v>236</v>
      </c>
      <c r="AI347" s="0" t="s">
        <v>1811</v>
      </c>
      <c r="AJ347" s="0" t="s">
        <v>1812</v>
      </c>
      <c r="AK347" s="0" t="s">
        <v>1813</v>
      </c>
      <c r="AL347" s="0" t="s">
        <v>1814</v>
      </c>
      <c r="AM347" s="0" t="s">
        <v>94</v>
      </c>
      <c r="AN347" s="26" t="n">
        <f aca="false">IFERROR(E347*(1+IF(AM347="Apartment",Data_Summary!$C$3,0)),"")</f>
        <v>4.37116564417178</v>
      </c>
      <c r="AO347" s="4" t="n">
        <v>46195</v>
      </c>
    </row>
    <row r="348" customFormat="false" ht="15" hidden="false" customHeight="false" outlineLevel="0" collapsed="false">
      <c r="A348" s="0" t="n">
        <f aca="false">IF(AND(ISNUMBER(B348),B348&gt;0,ISNUMBER(AB348),AB348&gt;0,J348&gt;=Data_Summary!$C$1),1,0)</f>
        <v>1</v>
      </c>
      <c r="B348" s="30" t="n">
        <v>417</v>
      </c>
      <c r="C348" s="5" t="n">
        <f aca="false">IF(ISNUMBER(AB348),AB348,"")</f>
        <v>2150</v>
      </c>
      <c r="D348" s="0" t="n">
        <f aca="false">IF(ISNUMBER(C348),C348-U348*Data_Summary!$C$2,"")</f>
        <v>2150</v>
      </c>
      <c r="E348" s="31" t="n">
        <f aca="false">IFERROR(C348/B348,"")</f>
        <v>5.15587529976019</v>
      </c>
      <c r="F348" s="26" t="n">
        <f aca="false">IFERROR(D348/B348,"")</f>
        <v>5.15587529976019</v>
      </c>
      <c r="G348" s="0" t="str">
        <f aca="false">Q348</f>
        <v>1</v>
      </c>
      <c r="H348" s="0" t="str">
        <f aca="false">IFERROR(LEFT(G348,1),"")</f>
        <v>1</v>
      </c>
      <c r="I348" s="0" t="n">
        <f aca="false">IF(LEN(G348)&gt;1,1,0)</f>
        <v>0</v>
      </c>
      <c r="J348" s="4" t="n">
        <v>46062</v>
      </c>
      <c r="K348" s="0" t="s">
        <v>11</v>
      </c>
      <c r="L348" s="0" t="s">
        <v>95</v>
      </c>
      <c r="M348" s="0" t="s">
        <v>226</v>
      </c>
      <c r="N348" s="0" t="s">
        <v>97</v>
      </c>
      <c r="O348" s="0" t="s">
        <v>1815</v>
      </c>
      <c r="Q348" s="0" t="s">
        <v>242</v>
      </c>
      <c r="R348" s="0" t="n">
        <v>1</v>
      </c>
      <c r="S348" s="5" t="n">
        <v>417</v>
      </c>
      <c r="T348" s="0" t="s">
        <v>303</v>
      </c>
      <c r="U348" s="0" t="n">
        <v>0</v>
      </c>
      <c r="V348" s="0" t="s">
        <v>230</v>
      </c>
      <c r="W348" s="0" t="s">
        <v>244</v>
      </c>
      <c r="Y348" s="0" t="s">
        <v>272</v>
      </c>
      <c r="Z348" s="0" t="s">
        <v>1550</v>
      </c>
      <c r="AA348" s="0" t="s">
        <v>235</v>
      </c>
      <c r="AB348" s="32" t="n">
        <v>2150</v>
      </c>
      <c r="AC348" s="32" t="n">
        <v>2200</v>
      </c>
      <c r="AD348" s="26" t="n">
        <f aca="false">IFERROR(AB348/B348,"")</f>
        <v>5.15587529976019</v>
      </c>
      <c r="AE348" s="26" t="n">
        <f aca="false">IFERROR(AC348/B348,"")</f>
        <v>5.2757793764988</v>
      </c>
      <c r="AF348" s="0" t="s">
        <v>236</v>
      </c>
      <c r="AG348" s="0" t="s">
        <v>236</v>
      </c>
      <c r="AH348" s="0" t="s">
        <v>236</v>
      </c>
      <c r="AI348" s="0" t="s">
        <v>1811</v>
      </c>
      <c r="AJ348" s="0" t="s">
        <v>1816</v>
      </c>
      <c r="AK348" s="0" t="s">
        <v>1817</v>
      </c>
      <c r="AL348" s="0" t="s">
        <v>1818</v>
      </c>
      <c r="AM348" s="0" t="s">
        <v>94</v>
      </c>
      <c r="AN348" s="26" t="n">
        <f aca="false">IFERROR(E348*(1+IF(AM348="Apartment",Data_Summary!$C$3,0)),"")</f>
        <v>5.15587529976019</v>
      </c>
      <c r="AO348" s="4" t="n">
        <v>46195</v>
      </c>
    </row>
    <row r="349" customFormat="false" ht="15" hidden="false" customHeight="false" outlineLevel="0" collapsed="false">
      <c r="A349" s="0" t="n">
        <f aca="false">IF(AND(ISNUMBER(B349),B349&gt;0,ISNUMBER(AB349),AB349&gt;0,J349&gt;=Data_Summary!$C$1),1,0)</f>
        <v>1</v>
      </c>
      <c r="B349" s="30" t="n">
        <v>706</v>
      </c>
      <c r="C349" s="5" t="n">
        <f aca="false">IF(ISNUMBER(AB349),AB349,"")</f>
        <v>2700</v>
      </c>
      <c r="D349" s="0" t="n">
        <f aca="false">IF(ISNUMBER(C349),C349-U349*Data_Summary!$C$2,"")</f>
        <v>2700</v>
      </c>
      <c r="E349" s="31" t="n">
        <f aca="false">IFERROR(C349/B349,"")</f>
        <v>3.82436260623229</v>
      </c>
      <c r="F349" s="26" t="n">
        <f aca="false">IFERROR(D349/B349,"")</f>
        <v>3.82436260623229</v>
      </c>
      <c r="G349" s="0" t="str">
        <f aca="false">Q349</f>
        <v>2</v>
      </c>
      <c r="H349" s="0" t="str">
        <f aca="false">IFERROR(LEFT(G349,1),"")</f>
        <v>2</v>
      </c>
      <c r="I349" s="0" t="n">
        <f aca="false">IF(LEN(G349)&gt;1,1,0)</f>
        <v>0</v>
      </c>
      <c r="J349" s="4" t="n">
        <v>46060</v>
      </c>
      <c r="K349" s="0" t="s">
        <v>11</v>
      </c>
      <c r="L349" s="0" t="s">
        <v>95</v>
      </c>
      <c r="M349" s="0" t="s">
        <v>226</v>
      </c>
      <c r="N349" s="0" t="s">
        <v>97</v>
      </c>
      <c r="O349" s="0" t="s">
        <v>525</v>
      </c>
      <c r="Q349" s="0" t="s">
        <v>251</v>
      </c>
      <c r="R349" s="0" t="n">
        <v>2</v>
      </c>
      <c r="S349" s="5" t="n">
        <v>706</v>
      </c>
      <c r="T349" s="0" t="s">
        <v>252</v>
      </c>
      <c r="U349" s="0" t="n">
        <v>0</v>
      </c>
      <c r="V349" s="0" t="s">
        <v>230</v>
      </c>
      <c r="W349" s="0" t="s">
        <v>244</v>
      </c>
      <c r="Y349" s="0" t="s">
        <v>272</v>
      </c>
      <c r="Z349" s="0" t="s">
        <v>1550</v>
      </c>
      <c r="AA349" s="0" t="s">
        <v>235</v>
      </c>
      <c r="AB349" s="32" t="n">
        <v>2700</v>
      </c>
      <c r="AC349" s="32" t="n">
        <v>2800</v>
      </c>
      <c r="AD349" s="26" t="n">
        <f aca="false">IFERROR(AB349/B349,"")</f>
        <v>3.82436260623229</v>
      </c>
      <c r="AE349" s="26" t="n">
        <f aca="false">IFERROR(AC349/B349,"")</f>
        <v>3.96600566572238</v>
      </c>
      <c r="AF349" s="0" t="s">
        <v>236</v>
      </c>
      <c r="AG349" s="0" t="s">
        <v>236</v>
      </c>
      <c r="AH349" s="0" t="s">
        <v>236</v>
      </c>
      <c r="AI349" s="0" t="s">
        <v>1819</v>
      </c>
      <c r="AJ349" s="0" t="s">
        <v>1820</v>
      </c>
      <c r="AK349" s="0" t="s">
        <v>1821</v>
      </c>
      <c r="AL349" s="0" t="s">
        <v>1822</v>
      </c>
      <c r="AM349" s="0" t="s">
        <v>94</v>
      </c>
      <c r="AN349" s="26" t="n">
        <f aca="false">IFERROR(E349*(1+IF(AM349="Apartment",Data_Summary!$C$3,0)),"")</f>
        <v>3.82436260623229</v>
      </c>
      <c r="AO349" s="4" t="n">
        <v>46195</v>
      </c>
    </row>
    <row r="350" customFormat="false" ht="15" hidden="false" customHeight="false" outlineLevel="0" collapsed="false">
      <c r="A350" s="0" t="n">
        <f aca="false">IF(AND(ISNUMBER(B350),B350&gt;0,ISNUMBER(AB350),AB350&gt;0,J350&gt;=Data_Summary!$C$1),1,0)</f>
        <v>1</v>
      </c>
      <c r="B350" s="30" t="n">
        <v>799</v>
      </c>
      <c r="C350" s="5" t="n">
        <f aca="false">IF(ISNUMBER(AB350),AB350,"")</f>
        <v>2950</v>
      </c>
      <c r="D350" s="0" t="n">
        <f aca="false">IF(ISNUMBER(C350),C350-U350*Data_Summary!$C$2,"")</f>
        <v>2950</v>
      </c>
      <c r="E350" s="31" t="n">
        <f aca="false">IFERROR(C350/B350,"")</f>
        <v>3.69211514392991</v>
      </c>
      <c r="F350" s="26" t="n">
        <f aca="false">IFERROR(D350/B350,"")</f>
        <v>3.69211514392991</v>
      </c>
      <c r="G350" s="0" t="str">
        <f aca="false">Q350</f>
        <v>2</v>
      </c>
      <c r="H350" s="0" t="str">
        <f aca="false">IFERROR(LEFT(G350,1),"")</f>
        <v>2</v>
      </c>
      <c r="I350" s="0" t="n">
        <f aca="false">IF(LEN(G350)&gt;1,1,0)</f>
        <v>0</v>
      </c>
      <c r="J350" s="4" t="n">
        <v>46059</v>
      </c>
      <c r="K350" s="0" t="s">
        <v>11</v>
      </c>
      <c r="L350" s="0" t="s">
        <v>95</v>
      </c>
      <c r="M350" s="0" t="s">
        <v>226</v>
      </c>
      <c r="N350" s="0" t="s">
        <v>97</v>
      </c>
      <c r="O350" s="0" t="s">
        <v>1823</v>
      </c>
      <c r="Q350" s="0" t="s">
        <v>251</v>
      </c>
      <c r="R350" s="0" t="n">
        <v>2</v>
      </c>
      <c r="S350" s="5" t="n">
        <v>799</v>
      </c>
      <c r="T350" s="0" t="s">
        <v>252</v>
      </c>
      <c r="U350" s="0" t="n">
        <v>0</v>
      </c>
      <c r="V350" s="0" t="s">
        <v>230</v>
      </c>
      <c r="W350" s="0" t="s">
        <v>244</v>
      </c>
      <c r="X350" s="0" t="s">
        <v>232</v>
      </c>
      <c r="Y350" s="0" t="s">
        <v>233</v>
      </c>
      <c r="Z350" s="0" t="s">
        <v>1550</v>
      </c>
      <c r="AA350" s="0" t="s">
        <v>235</v>
      </c>
      <c r="AB350" s="32" t="n">
        <v>2950</v>
      </c>
      <c r="AC350" s="32" t="n">
        <v>3050</v>
      </c>
      <c r="AD350" s="26" t="n">
        <f aca="false">IFERROR(AB350/B350,"")</f>
        <v>3.69211514392991</v>
      </c>
      <c r="AE350" s="26" t="n">
        <f aca="false">IFERROR(AC350/B350,"")</f>
        <v>3.81727158948686</v>
      </c>
      <c r="AF350" s="0" t="s">
        <v>236</v>
      </c>
      <c r="AG350" s="0" t="s">
        <v>236</v>
      </c>
      <c r="AH350" s="0" t="s">
        <v>236</v>
      </c>
      <c r="AI350" s="0" t="s">
        <v>1824</v>
      </c>
      <c r="AJ350" s="0" t="s">
        <v>1825</v>
      </c>
      <c r="AK350" s="0" t="s">
        <v>1826</v>
      </c>
      <c r="AL350" s="0" t="s">
        <v>1827</v>
      </c>
      <c r="AM350" s="0" t="s">
        <v>94</v>
      </c>
      <c r="AN350" s="26" t="n">
        <f aca="false">IFERROR(E350*(1+IF(AM350="Apartment",Data_Summary!$C$3,0)),"")</f>
        <v>3.69211514392991</v>
      </c>
      <c r="AO350" s="4" t="n">
        <v>46195</v>
      </c>
    </row>
    <row r="351" customFormat="false" ht="15" hidden="false" customHeight="false" outlineLevel="0" collapsed="false">
      <c r="A351" s="0" t="n">
        <f aca="false">IF(AND(ISNUMBER(B351),B351&gt;0,ISNUMBER(AB351),AB351&gt;0,J351&gt;=Data_Summary!$C$1),1,0)</f>
        <v>1</v>
      </c>
      <c r="B351" s="30" t="n">
        <v>652</v>
      </c>
      <c r="C351" s="5" t="n">
        <f aca="false">IF(ISNUMBER(AB351),AB351,"")</f>
        <v>2650</v>
      </c>
      <c r="D351" s="0" t="n">
        <f aca="false">IF(ISNUMBER(C351),C351-U351*Data_Summary!$C$2,"")</f>
        <v>2650</v>
      </c>
      <c r="E351" s="31" t="n">
        <f aca="false">IFERROR(C351/B351,"")</f>
        <v>4.06441717791411</v>
      </c>
      <c r="F351" s="26" t="n">
        <f aca="false">IFERROR(D351/B351,"")</f>
        <v>4.06441717791411</v>
      </c>
      <c r="G351" s="0" t="str">
        <f aca="false">Q351</f>
        <v>2</v>
      </c>
      <c r="H351" s="0" t="str">
        <f aca="false">IFERROR(LEFT(G351,1),"")</f>
        <v>2</v>
      </c>
      <c r="I351" s="0" t="n">
        <f aca="false">IF(LEN(G351)&gt;1,1,0)</f>
        <v>0</v>
      </c>
      <c r="J351" s="4" t="n">
        <v>46057</v>
      </c>
      <c r="K351" s="0" t="s">
        <v>11</v>
      </c>
      <c r="L351" s="0" t="s">
        <v>95</v>
      </c>
      <c r="M351" s="0" t="s">
        <v>226</v>
      </c>
      <c r="N351" s="0" t="s">
        <v>97</v>
      </c>
      <c r="O351" s="0" t="s">
        <v>1828</v>
      </c>
      <c r="Q351" s="0" t="s">
        <v>251</v>
      </c>
      <c r="R351" s="0" t="n">
        <v>2</v>
      </c>
      <c r="S351" s="5" t="n">
        <v>652</v>
      </c>
      <c r="T351" s="0" t="s">
        <v>271</v>
      </c>
      <c r="U351" s="0" t="n">
        <v>0</v>
      </c>
      <c r="V351" s="0" t="s">
        <v>230</v>
      </c>
      <c r="W351" s="0" t="s">
        <v>244</v>
      </c>
      <c r="Y351" s="0" t="s">
        <v>272</v>
      </c>
      <c r="Z351" s="0" t="s">
        <v>1550</v>
      </c>
      <c r="AA351" s="0" t="s">
        <v>235</v>
      </c>
      <c r="AB351" s="32" t="n">
        <v>2650</v>
      </c>
      <c r="AC351" s="32" t="n">
        <v>2650</v>
      </c>
      <c r="AD351" s="26" t="n">
        <f aca="false">IFERROR(AB351/B351,"")</f>
        <v>4.06441717791411</v>
      </c>
      <c r="AE351" s="26" t="n">
        <f aca="false">IFERROR(AC351/B351,"")</f>
        <v>4.06441717791411</v>
      </c>
      <c r="AF351" s="0" t="s">
        <v>236</v>
      </c>
      <c r="AG351" s="0" t="s">
        <v>236</v>
      </c>
      <c r="AH351" s="0" t="s">
        <v>236</v>
      </c>
      <c r="AI351" s="0" t="s">
        <v>1829</v>
      </c>
      <c r="AJ351" s="0" t="s">
        <v>1830</v>
      </c>
      <c r="AK351" s="0" t="s">
        <v>1831</v>
      </c>
      <c r="AL351" s="0" t="s">
        <v>1832</v>
      </c>
      <c r="AM351" s="0" t="s">
        <v>94</v>
      </c>
      <c r="AN351" s="26" t="n">
        <f aca="false">IFERROR(E351*(1+IF(AM351="Apartment",Data_Summary!$C$3,0)),"")</f>
        <v>4.06441717791411</v>
      </c>
      <c r="AO351" s="4" t="n">
        <v>46195</v>
      </c>
    </row>
    <row r="352" customFormat="false" ht="15" hidden="false" customHeight="false" outlineLevel="0" collapsed="false">
      <c r="A352" s="0" t="n">
        <f aca="false">IF(AND(ISNUMBER(B352),B352&gt;0,ISNUMBER(AB352),AB352&gt;0,J352&gt;=Data_Summary!$C$1),1,0)</f>
        <v>1</v>
      </c>
      <c r="B352" s="30" t="n">
        <v>520</v>
      </c>
      <c r="C352" s="5" t="n">
        <f aca="false">IF(ISNUMBER(AB352),AB352,"")</f>
        <v>2350</v>
      </c>
      <c r="D352" s="0" t="n">
        <f aca="false">IF(ISNUMBER(C352),C352-U352*Data_Summary!$C$2,"")</f>
        <v>2350</v>
      </c>
      <c r="E352" s="31" t="n">
        <f aca="false">IFERROR(C352/B352,"")</f>
        <v>4.51923076923077</v>
      </c>
      <c r="F352" s="26" t="n">
        <f aca="false">IFERROR(D352/B352,"")</f>
        <v>4.51923076923077</v>
      </c>
      <c r="G352" s="0" t="str">
        <f aca="false">Q352</f>
        <v>1+1</v>
      </c>
      <c r="H352" s="0" t="str">
        <f aca="false">IFERROR(LEFT(G352,1),"")</f>
        <v>1</v>
      </c>
      <c r="I352" s="0" t="n">
        <f aca="false">IF(LEN(G352)&gt;1,1,0)</f>
        <v>1</v>
      </c>
      <c r="J352" s="4" t="n">
        <v>46057</v>
      </c>
      <c r="K352" s="0" t="s">
        <v>11</v>
      </c>
      <c r="L352" s="0" t="s">
        <v>95</v>
      </c>
      <c r="M352" s="0" t="s">
        <v>226</v>
      </c>
      <c r="N352" s="0" t="s">
        <v>97</v>
      </c>
      <c r="O352" s="0" t="s">
        <v>1833</v>
      </c>
      <c r="Q352" s="0" t="s">
        <v>270</v>
      </c>
      <c r="R352" s="0" t="n">
        <v>1</v>
      </c>
      <c r="S352" s="5" t="n">
        <v>520</v>
      </c>
      <c r="T352" s="0" t="s">
        <v>243</v>
      </c>
      <c r="U352" s="0" t="n">
        <v>0</v>
      </c>
      <c r="V352" s="0" t="s">
        <v>230</v>
      </c>
      <c r="W352" s="0" t="s">
        <v>244</v>
      </c>
      <c r="Y352" s="0" t="s">
        <v>272</v>
      </c>
      <c r="Z352" s="0" t="s">
        <v>1550</v>
      </c>
      <c r="AA352" s="0" t="s">
        <v>235</v>
      </c>
      <c r="AB352" s="32" t="n">
        <v>2350</v>
      </c>
      <c r="AC352" s="32" t="n">
        <v>2300</v>
      </c>
      <c r="AD352" s="26" t="n">
        <f aca="false">IFERROR(AB352/B352,"")</f>
        <v>4.51923076923077</v>
      </c>
      <c r="AE352" s="26" t="n">
        <f aca="false">IFERROR(AC352/B352,"")</f>
        <v>4.42307692307692</v>
      </c>
      <c r="AF352" s="0" t="s">
        <v>236</v>
      </c>
      <c r="AG352" s="0" t="s">
        <v>236</v>
      </c>
      <c r="AH352" s="0" t="s">
        <v>236</v>
      </c>
      <c r="AI352" s="0" t="s">
        <v>1829</v>
      </c>
      <c r="AJ352" s="0" t="s">
        <v>1834</v>
      </c>
      <c r="AK352" s="0" t="s">
        <v>1835</v>
      </c>
      <c r="AL352" s="0" t="s">
        <v>1836</v>
      </c>
      <c r="AM352" s="0" t="s">
        <v>94</v>
      </c>
      <c r="AN352" s="26" t="n">
        <f aca="false">IFERROR(E352*(1+IF(AM352="Apartment",Data_Summary!$C$3,0)),"")</f>
        <v>4.51923076923077</v>
      </c>
      <c r="AO352" s="4" t="n">
        <v>46195</v>
      </c>
    </row>
    <row r="353" customFormat="false" ht="15" hidden="false" customHeight="false" outlineLevel="0" collapsed="false">
      <c r="A353" s="0" t="n">
        <f aca="false">IF(AND(ISNUMBER(B353),B353&gt;0,ISNUMBER(AB353),AB353&gt;0,J353&gt;=Data_Summary!$C$1),1,0)</f>
        <v>1</v>
      </c>
      <c r="B353" s="30" t="n">
        <v>862</v>
      </c>
      <c r="C353" s="5" t="n">
        <f aca="false">IF(ISNUMBER(AB353),AB353,"")</f>
        <v>3650</v>
      </c>
      <c r="D353" s="0" t="n">
        <f aca="false">IF(ISNUMBER(C353),C353-U353*Data_Summary!$C$2,"")</f>
        <v>3500</v>
      </c>
      <c r="E353" s="31" t="n">
        <f aca="false">IFERROR(C353/B353,"")</f>
        <v>4.23433874709977</v>
      </c>
      <c r="F353" s="26" t="n">
        <f aca="false">IFERROR(D353/B353,"")</f>
        <v>4.06032482598608</v>
      </c>
      <c r="G353" s="0" t="str">
        <f aca="false">Q353</f>
        <v>2+1</v>
      </c>
      <c r="H353" s="0" t="str">
        <f aca="false">IFERROR(LEFT(G353,1),"")</f>
        <v>2</v>
      </c>
      <c r="I353" s="0" t="n">
        <f aca="false">IF(LEN(G353)&gt;1,1,0)</f>
        <v>1</v>
      </c>
      <c r="J353" s="4" t="n">
        <v>46057</v>
      </c>
      <c r="K353" s="0" t="s">
        <v>11</v>
      </c>
      <c r="L353" s="0" t="s">
        <v>95</v>
      </c>
      <c r="M353" s="0" t="s">
        <v>226</v>
      </c>
      <c r="N353" s="0" t="s">
        <v>97</v>
      </c>
      <c r="O353" s="0" t="s">
        <v>1837</v>
      </c>
      <c r="Q353" s="0" t="s">
        <v>451</v>
      </c>
      <c r="R353" s="0" t="n">
        <v>2</v>
      </c>
      <c r="S353" s="5" t="n">
        <v>862</v>
      </c>
      <c r="T353" s="0" t="s">
        <v>229</v>
      </c>
      <c r="U353" s="0" t="n">
        <v>1</v>
      </c>
      <c r="V353" s="0" t="s">
        <v>230</v>
      </c>
      <c r="W353" s="0" t="s">
        <v>244</v>
      </c>
      <c r="X353" s="0" t="s">
        <v>232</v>
      </c>
      <c r="Y353" s="0" t="s">
        <v>297</v>
      </c>
      <c r="Z353" s="0" t="s">
        <v>1550</v>
      </c>
      <c r="AA353" s="0" t="s">
        <v>235</v>
      </c>
      <c r="AB353" s="32" t="n">
        <v>3650</v>
      </c>
      <c r="AC353" s="32" t="n">
        <v>3650</v>
      </c>
      <c r="AD353" s="26" t="n">
        <f aca="false">IFERROR(AB353/B353,"")</f>
        <v>4.23433874709977</v>
      </c>
      <c r="AE353" s="26" t="n">
        <f aca="false">IFERROR(AC353/B353,"")</f>
        <v>4.23433874709977</v>
      </c>
      <c r="AF353" s="0" t="s">
        <v>236</v>
      </c>
      <c r="AG353" s="0" t="s">
        <v>236</v>
      </c>
      <c r="AH353" s="0" t="s">
        <v>236</v>
      </c>
      <c r="AI353" s="0" t="s">
        <v>1829</v>
      </c>
      <c r="AJ353" s="0" t="s">
        <v>1838</v>
      </c>
      <c r="AK353" s="0" t="s">
        <v>1839</v>
      </c>
      <c r="AL353" s="0" t="s">
        <v>1840</v>
      </c>
      <c r="AM353" s="0" t="s">
        <v>94</v>
      </c>
      <c r="AN353" s="26" t="n">
        <f aca="false">IFERROR(E353*(1+IF(AM353="Apartment",Data_Summary!$C$3,0)),"")</f>
        <v>4.23433874709977</v>
      </c>
      <c r="AO353" s="4" t="n">
        <v>46195</v>
      </c>
    </row>
    <row r="354" customFormat="false" ht="15" hidden="false" customHeight="false" outlineLevel="0" collapsed="false">
      <c r="A354" s="0" t="n">
        <f aca="false">IF(AND(ISNUMBER(B354),B354&gt;0,ISNUMBER(AB354),AB354&gt;0,J354&gt;=Data_Summary!$C$1),1,0)</f>
        <v>1</v>
      </c>
      <c r="B354" s="30" t="n">
        <v>723</v>
      </c>
      <c r="C354" s="5" t="n">
        <f aca="false">IF(ISNUMBER(AB354),AB354,"")</f>
        <v>2700</v>
      </c>
      <c r="D354" s="0" t="n">
        <f aca="false">IF(ISNUMBER(C354),C354-U354*Data_Summary!$C$2,"")</f>
        <v>2700</v>
      </c>
      <c r="E354" s="31" t="n">
        <f aca="false">IFERROR(C354/B354,"")</f>
        <v>3.7344398340249</v>
      </c>
      <c r="F354" s="26" t="n">
        <f aca="false">IFERROR(D354/B354,"")</f>
        <v>3.7344398340249</v>
      </c>
      <c r="G354" s="0" t="str">
        <f aca="false">Q354</f>
        <v>2</v>
      </c>
      <c r="H354" s="0" t="str">
        <f aca="false">IFERROR(LEFT(G354,1),"")</f>
        <v>2</v>
      </c>
      <c r="I354" s="0" t="n">
        <f aca="false">IF(LEN(G354)&gt;1,1,0)</f>
        <v>0</v>
      </c>
      <c r="J354" s="4" t="n">
        <v>46055</v>
      </c>
      <c r="K354" s="0" t="s">
        <v>11</v>
      </c>
      <c r="L354" s="0" t="s">
        <v>95</v>
      </c>
      <c r="M354" s="0" t="s">
        <v>226</v>
      </c>
      <c r="N354" s="0" t="s">
        <v>97</v>
      </c>
      <c r="O354" s="0" t="s">
        <v>642</v>
      </c>
      <c r="Q354" s="0" t="s">
        <v>251</v>
      </c>
      <c r="R354" s="0" t="n">
        <v>2</v>
      </c>
      <c r="S354" s="5" t="n">
        <v>723</v>
      </c>
      <c r="T354" s="0" t="s">
        <v>252</v>
      </c>
      <c r="U354" s="0" t="n">
        <v>0</v>
      </c>
      <c r="V354" s="0" t="s">
        <v>230</v>
      </c>
      <c r="W354" s="0" t="s">
        <v>244</v>
      </c>
      <c r="Y354" s="0" t="s">
        <v>272</v>
      </c>
      <c r="Z354" s="0" t="s">
        <v>1550</v>
      </c>
      <c r="AA354" s="0" t="s">
        <v>235</v>
      </c>
      <c r="AB354" s="32" t="n">
        <v>2700</v>
      </c>
      <c r="AC354" s="32" t="n">
        <v>2800</v>
      </c>
      <c r="AD354" s="26" t="n">
        <f aca="false">IFERROR(AB354/B354,"")</f>
        <v>3.7344398340249</v>
      </c>
      <c r="AE354" s="26" t="n">
        <f aca="false">IFERROR(AC354/B354,"")</f>
        <v>3.87275242047026</v>
      </c>
      <c r="AF354" s="0" t="s">
        <v>236</v>
      </c>
      <c r="AG354" s="0" t="s">
        <v>236</v>
      </c>
      <c r="AH354" s="0" t="s">
        <v>236</v>
      </c>
      <c r="AI354" s="0" t="s">
        <v>643</v>
      </c>
      <c r="AJ354" s="0" t="s">
        <v>1841</v>
      </c>
      <c r="AK354" s="0" t="s">
        <v>1842</v>
      </c>
      <c r="AL354" s="0" t="s">
        <v>1843</v>
      </c>
      <c r="AM354" s="0" t="s">
        <v>94</v>
      </c>
      <c r="AN354" s="26" t="n">
        <f aca="false">IFERROR(E354*(1+IF(AM354="Apartment",Data_Summary!$C$3,0)),"")</f>
        <v>3.7344398340249</v>
      </c>
      <c r="AO354" s="4" t="n">
        <v>46195</v>
      </c>
    </row>
    <row r="355" customFormat="false" ht="15" hidden="false" customHeight="false" outlineLevel="0" collapsed="false">
      <c r="A355" s="0" t="n">
        <f aca="false">IF(AND(ISNUMBER(B355),B355&gt;0,ISNUMBER(AB355),AB355&gt;0,J355&gt;=Data_Summary!$C$1),1,0)</f>
        <v>1</v>
      </c>
      <c r="B355" s="30" t="n">
        <v>756</v>
      </c>
      <c r="C355" s="5" t="n">
        <f aca="false">IF(ISNUMBER(AB355),AB355,"")</f>
        <v>3250</v>
      </c>
      <c r="D355" s="0" t="n">
        <f aca="false">IF(ISNUMBER(C355),C355-U355*Data_Summary!$C$2,"")</f>
        <v>3250</v>
      </c>
      <c r="E355" s="31" t="n">
        <f aca="false">IFERROR(C355/B355,"")</f>
        <v>4.2989417989418</v>
      </c>
      <c r="F355" s="26" t="n">
        <f aca="false">IFERROR(D355/B355,"")</f>
        <v>4.2989417989418</v>
      </c>
      <c r="G355" s="0" t="str">
        <f aca="false">Q355</f>
        <v>2+1</v>
      </c>
      <c r="H355" s="0" t="str">
        <f aca="false">IFERROR(LEFT(G355,1),"")</f>
        <v>2</v>
      </c>
      <c r="I355" s="0" t="n">
        <f aca="false">IF(LEN(G355)&gt;1,1,0)</f>
        <v>1</v>
      </c>
      <c r="J355" s="4" t="n">
        <v>46054</v>
      </c>
      <c r="K355" s="0" t="s">
        <v>11</v>
      </c>
      <c r="L355" s="0" t="s">
        <v>95</v>
      </c>
      <c r="M355" s="0" t="s">
        <v>226</v>
      </c>
      <c r="N355" s="0" t="s">
        <v>97</v>
      </c>
      <c r="O355" s="0" t="s">
        <v>1844</v>
      </c>
      <c r="Q355" s="0" t="s">
        <v>451</v>
      </c>
      <c r="R355" s="0" t="n">
        <v>2</v>
      </c>
      <c r="S355" s="5" t="n">
        <v>756</v>
      </c>
      <c r="T355" s="0" t="s">
        <v>252</v>
      </c>
      <c r="U355" s="0" t="n">
        <v>0</v>
      </c>
      <c r="V355" s="0" t="s">
        <v>230</v>
      </c>
      <c r="W355" s="0" t="s">
        <v>244</v>
      </c>
      <c r="X355" s="0" t="s">
        <v>232</v>
      </c>
      <c r="Y355" s="0" t="s">
        <v>253</v>
      </c>
      <c r="Z355" s="0" t="s">
        <v>1550</v>
      </c>
      <c r="AA355" s="0" t="s">
        <v>235</v>
      </c>
      <c r="AB355" s="32" t="n">
        <v>3250</v>
      </c>
      <c r="AC355" s="32" t="n">
        <v>3400</v>
      </c>
      <c r="AD355" s="26" t="n">
        <f aca="false">IFERROR(AB355/B355,"")</f>
        <v>4.2989417989418</v>
      </c>
      <c r="AE355" s="26" t="n">
        <f aca="false">IFERROR(AC355/B355,"")</f>
        <v>4.4973544973545</v>
      </c>
      <c r="AF355" s="0" t="s">
        <v>236</v>
      </c>
      <c r="AG355" s="0" t="s">
        <v>236</v>
      </c>
      <c r="AH355" s="0" t="s">
        <v>236</v>
      </c>
      <c r="AI355" s="0" t="s">
        <v>1845</v>
      </c>
      <c r="AJ355" s="0" t="s">
        <v>1846</v>
      </c>
      <c r="AK355" s="0" t="s">
        <v>1847</v>
      </c>
      <c r="AL355" s="0" t="s">
        <v>1848</v>
      </c>
      <c r="AM355" s="0" t="s">
        <v>94</v>
      </c>
      <c r="AN355" s="26" t="n">
        <f aca="false">IFERROR(E355*(1+IF(AM355="Apartment",Data_Summary!$C$3,0)),"")</f>
        <v>4.2989417989418</v>
      </c>
      <c r="AO355" s="4" t="n">
        <v>46195</v>
      </c>
    </row>
    <row r="356" customFormat="false" ht="15" hidden="false" customHeight="false" outlineLevel="0" collapsed="false">
      <c r="A356" s="0" t="n">
        <f aca="false">IF(AND(ISNUMBER(B356),B356&gt;0,ISNUMBER(AB356),AB356&gt;0,J356&gt;=Data_Summary!$C$1),1,0)</f>
        <v>1</v>
      </c>
      <c r="B356" s="33" t="n">
        <v>799</v>
      </c>
      <c r="C356" s="5" t="n">
        <f aca="false">IF(ISNUMBER(AB356),AB356,"")</f>
        <v>4000</v>
      </c>
      <c r="D356" s="0" t="n">
        <f aca="false">IF(ISNUMBER(C356),C356-U356*Data_Summary!$C$2,"")</f>
        <v>4000</v>
      </c>
      <c r="E356" s="34" t="n">
        <f aca="false">IFERROR(C356/B356,"")</f>
        <v>5.00625782227785</v>
      </c>
      <c r="F356" s="26" t="n">
        <f aca="false">IFERROR(D356/B356,"")</f>
        <v>5.00625782227785</v>
      </c>
      <c r="G356" s="0" t="str">
        <f aca="false">Q356</f>
        <v>2</v>
      </c>
      <c r="H356" s="0" t="str">
        <f aca="false">IFERROR(LEFT(G356,1),"")</f>
        <v>2</v>
      </c>
      <c r="I356" s="0" t="n">
        <f aca="false">IF(LEN(G356)&gt;1,1,0)</f>
        <v>0</v>
      </c>
      <c r="J356" s="4" t="n">
        <v>46052</v>
      </c>
      <c r="K356" s="0" t="s">
        <v>11</v>
      </c>
      <c r="L356" s="0" t="s">
        <v>95</v>
      </c>
      <c r="M356" s="0" t="s">
        <v>226</v>
      </c>
      <c r="N356" s="0" t="s">
        <v>97</v>
      </c>
      <c r="O356" s="0" t="s">
        <v>1849</v>
      </c>
      <c r="Q356" s="0" t="s">
        <v>251</v>
      </c>
      <c r="R356" s="0" t="n">
        <v>2</v>
      </c>
      <c r="S356" s="5" t="n">
        <v>799</v>
      </c>
      <c r="T356" s="0" t="s">
        <v>252</v>
      </c>
      <c r="U356" s="0" t="n">
        <v>0</v>
      </c>
      <c r="V356" s="0" t="s">
        <v>230</v>
      </c>
      <c r="W356" s="0" t="s">
        <v>244</v>
      </c>
      <c r="X356" s="0" t="s">
        <v>232</v>
      </c>
      <c r="Y356" s="0" t="s">
        <v>253</v>
      </c>
      <c r="Z356" s="0" t="s">
        <v>1550</v>
      </c>
      <c r="AA356" s="0" t="s">
        <v>235</v>
      </c>
      <c r="AB356" s="32" t="n">
        <v>4000</v>
      </c>
      <c r="AC356" s="32" t="n">
        <v>3800</v>
      </c>
      <c r="AD356" s="26" t="n">
        <f aca="false">IFERROR(AB356/B356,"")</f>
        <v>5.00625782227785</v>
      </c>
      <c r="AE356" s="26" t="n">
        <f aca="false">IFERROR(AC356/B356,"")</f>
        <v>4.75594493116396</v>
      </c>
      <c r="AF356" s="0" t="s">
        <v>230</v>
      </c>
      <c r="AG356" s="0" t="s">
        <v>236</v>
      </c>
      <c r="AH356" s="0" t="s">
        <v>236</v>
      </c>
      <c r="AI356" s="0" t="s">
        <v>1850</v>
      </c>
      <c r="AJ356" s="0" t="s">
        <v>1851</v>
      </c>
      <c r="AK356" s="0" t="s">
        <v>1852</v>
      </c>
      <c r="AL356" s="0" t="s">
        <v>1853</v>
      </c>
      <c r="AM356" s="0" t="s">
        <v>94</v>
      </c>
      <c r="AN356" s="26" t="n">
        <f aca="false">IFERROR(E356*(1+IF(AM356="Apartment",Data_Summary!$C$3,0)),"")</f>
        <v>5.00625782227785</v>
      </c>
      <c r="AO356" s="4" t="n">
        <v>46195</v>
      </c>
    </row>
    <row r="357" customFormat="false" ht="15" hidden="false" customHeight="false" outlineLevel="0" collapsed="false">
      <c r="A357" s="0" t="n">
        <f aca="false">IF(AND(ISNUMBER(B357),B357&gt;0,ISNUMBER(AB357),AB357&gt;0,J357&gt;=Data_Summary!$C$1),1,0)</f>
        <v>1</v>
      </c>
      <c r="B357" s="30" t="n">
        <v>692</v>
      </c>
      <c r="C357" s="5" t="n">
        <f aca="false">IF(ISNUMBER(AB357),AB357,"")</f>
        <v>2800</v>
      </c>
      <c r="D357" s="0" t="n">
        <f aca="false">IF(ISNUMBER(C357),C357-U357*Data_Summary!$C$2,"")</f>
        <v>2800</v>
      </c>
      <c r="E357" s="31" t="n">
        <f aca="false">IFERROR(C357/B357,"")</f>
        <v>4.04624277456647</v>
      </c>
      <c r="F357" s="26" t="n">
        <f aca="false">IFERROR(D357/B357,"")</f>
        <v>4.04624277456647</v>
      </c>
      <c r="G357" s="0" t="str">
        <f aca="false">Q357</f>
        <v>2</v>
      </c>
      <c r="H357" s="0" t="str">
        <f aca="false">IFERROR(LEFT(G357,1),"")</f>
        <v>2</v>
      </c>
      <c r="I357" s="0" t="n">
        <f aca="false">IF(LEN(G357)&gt;1,1,0)</f>
        <v>0</v>
      </c>
      <c r="J357" s="4" t="n">
        <v>46051</v>
      </c>
      <c r="K357" s="0" t="s">
        <v>11</v>
      </c>
      <c r="L357" s="0" t="s">
        <v>95</v>
      </c>
      <c r="M357" s="0" t="s">
        <v>226</v>
      </c>
      <c r="N357" s="0" t="s">
        <v>97</v>
      </c>
      <c r="O357" s="0" t="s">
        <v>1854</v>
      </c>
      <c r="Q357" s="0" t="s">
        <v>251</v>
      </c>
      <c r="R357" s="0" t="n">
        <v>2</v>
      </c>
      <c r="S357" s="5" t="n">
        <v>692</v>
      </c>
      <c r="T357" s="0" t="s">
        <v>271</v>
      </c>
      <c r="U357" s="0" t="n">
        <v>0</v>
      </c>
      <c r="V357" s="0" t="s">
        <v>230</v>
      </c>
      <c r="W357" s="0" t="s">
        <v>244</v>
      </c>
      <c r="Y357" s="0" t="s">
        <v>233</v>
      </c>
      <c r="Z357" s="0" t="s">
        <v>1550</v>
      </c>
      <c r="AA357" s="0" t="s">
        <v>235</v>
      </c>
      <c r="AB357" s="32" t="n">
        <v>2800</v>
      </c>
      <c r="AC357" s="32" t="n">
        <v>2800</v>
      </c>
      <c r="AD357" s="26" t="n">
        <f aca="false">IFERROR(AB357/B357,"")</f>
        <v>4.04624277456647</v>
      </c>
      <c r="AE357" s="26" t="n">
        <f aca="false">IFERROR(AC357/B357,"")</f>
        <v>4.04624277456647</v>
      </c>
      <c r="AF357" s="0" t="s">
        <v>236</v>
      </c>
      <c r="AG357" s="0" t="s">
        <v>236</v>
      </c>
      <c r="AH357" s="0" t="s">
        <v>236</v>
      </c>
      <c r="AI357" s="0" t="s">
        <v>648</v>
      </c>
      <c r="AJ357" s="0" t="s">
        <v>1855</v>
      </c>
      <c r="AK357" s="0" t="s">
        <v>1856</v>
      </c>
      <c r="AL357" s="0" t="s">
        <v>1857</v>
      </c>
      <c r="AM357" s="0" t="s">
        <v>94</v>
      </c>
      <c r="AN357" s="26" t="n">
        <f aca="false">IFERROR(E357*(1+IF(AM357="Apartment",Data_Summary!$C$3,0)),"")</f>
        <v>4.04624277456647</v>
      </c>
      <c r="AO357" s="4" t="n">
        <v>46195</v>
      </c>
    </row>
    <row r="358" customFormat="false" ht="15" hidden="false" customHeight="false" outlineLevel="0" collapsed="false">
      <c r="A358" s="0" t="n">
        <f aca="false">IF(AND(ISNUMBER(B358),B358&gt;0,ISNUMBER(AB358),AB358&gt;0,J358&gt;=Data_Summary!$C$1),1,0)</f>
        <v>1</v>
      </c>
      <c r="B358" s="30" t="n">
        <v>1367</v>
      </c>
      <c r="C358" s="5" t="n">
        <f aca="false">IF(ISNUMBER(AB358),AB358,"")</f>
        <v>5500</v>
      </c>
      <c r="D358" s="0" t="n">
        <f aca="false">IF(ISNUMBER(C358),C358-U358*Data_Summary!$C$2,"")</f>
        <v>5200</v>
      </c>
      <c r="E358" s="31" t="n">
        <f aca="false">IFERROR(C358/B358,"")</f>
        <v>4.02340892465252</v>
      </c>
      <c r="F358" s="26" t="n">
        <f aca="false">IFERROR(D358/B358,"")</f>
        <v>3.80395025603511</v>
      </c>
      <c r="G358" s="0" t="str">
        <f aca="false">Q358</f>
        <v>3</v>
      </c>
      <c r="H358" s="0" t="str">
        <f aca="false">IFERROR(LEFT(G358,1),"")</f>
        <v>3</v>
      </c>
      <c r="I358" s="0" t="n">
        <f aca="false">IF(LEN(G358)&gt;1,1,0)</f>
        <v>0</v>
      </c>
      <c r="J358" s="4" t="n">
        <v>46049</v>
      </c>
      <c r="K358" s="0" t="s">
        <v>11</v>
      </c>
      <c r="L358" s="0" t="s">
        <v>95</v>
      </c>
      <c r="M358" s="0" t="s">
        <v>226</v>
      </c>
      <c r="N358" s="0" t="s">
        <v>97</v>
      </c>
      <c r="O358" s="0" t="s">
        <v>1858</v>
      </c>
      <c r="Q358" s="0" t="s">
        <v>228</v>
      </c>
      <c r="R358" s="0" t="n">
        <v>3</v>
      </c>
      <c r="S358" s="5" t="n">
        <v>1367</v>
      </c>
      <c r="T358" s="0" t="s">
        <v>467</v>
      </c>
      <c r="U358" s="0" t="n">
        <v>2</v>
      </c>
      <c r="V358" s="0" t="s">
        <v>230</v>
      </c>
      <c r="W358" s="0" t="s">
        <v>244</v>
      </c>
      <c r="X358" s="0" t="s">
        <v>232</v>
      </c>
      <c r="Y358" s="0" t="s">
        <v>260</v>
      </c>
      <c r="Z358" s="0" t="s">
        <v>1550</v>
      </c>
      <c r="AA358" s="0" t="s">
        <v>235</v>
      </c>
      <c r="AB358" s="32" t="n">
        <v>5500</v>
      </c>
      <c r="AC358" s="32" t="n">
        <v>5500</v>
      </c>
      <c r="AD358" s="26" t="n">
        <f aca="false">IFERROR(AB358/B358,"")</f>
        <v>4.02340892465252</v>
      </c>
      <c r="AE358" s="26" t="n">
        <f aca="false">IFERROR(AC358/B358,"")</f>
        <v>4.02340892465252</v>
      </c>
      <c r="AF358" s="0" t="s">
        <v>236</v>
      </c>
      <c r="AG358" s="0" t="s">
        <v>236</v>
      </c>
      <c r="AH358" s="0" t="s">
        <v>236</v>
      </c>
      <c r="AI358" s="0" t="s">
        <v>1859</v>
      </c>
      <c r="AJ358" s="0" t="s">
        <v>1860</v>
      </c>
      <c r="AK358" s="0" t="s">
        <v>1861</v>
      </c>
      <c r="AL358" s="0" t="s">
        <v>1862</v>
      </c>
      <c r="AM358" s="0" t="s">
        <v>94</v>
      </c>
      <c r="AN358" s="26" t="n">
        <f aca="false">IFERROR(E358*(1+IF(AM358="Apartment",Data_Summary!$C$3,0)),"")</f>
        <v>4.02340892465252</v>
      </c>
      <c r="AO358" s="4" t="n">
        <v>46195</v>
      </c>
    </row>
    <row r="359" customFormat="false" ht="15" hidden="false" customHeight="false" outlineLevel="0" collapsed="false">
      <c r="A359" s="0" t="n">
        <f aca="false">IF(AND(ISNUMBER(B359),B359&gt;0,ISNUMBER(AB359),AB359&gt;0,J359&gt;=Data_Summary!$C$1),1,0)</f>
        <v>1</v>
      </c>
      <c r="B359" s="33" t="n">
        <v>652</v>
      </c>
      <c r="C359" s="5" t="n">
        <f aca="false">IF(ISNUMBER(AB359),AB359,"")</f>
        <v>2750</v>
      </c>
      <c r="D359" s="0" t="n">
        <f aca="false">IF(ISNUMBER(C359),C359-U359*Data_Summary!$C$2,"")</f>
        <v>2750</v>
      </c>
      <c r="E359" s="34" t="n">
        <f aca="false">IFERROR(C359/B359,"")</f>
        <v>4.21779141104295</v>
      </c>
      <c r="F359" s="26" t="n">
        <f aca="false">IFERROR(D359/B359,"")</f>
        <v>4.21779141104295</v>
      </c>
      <c r="G359" s="0" t="str">
        <f aca="false">Q359</f>
        <v>2</v>
      </c>
      <c r="H359" s="0" t="str">
        <f aca="false">IFERROR(LEFT(G359,1),"")</f>
        <v>2</v>
      </c>
      <c r="I359" s="0" t="n">
        <f aca="false">IF(LEN(G359)&gt;1,1,0)</f>
        <v>0</v>
      </c>
      <c r="J359" s="4" t="n">
        <v>46048</v>
      </c>
      <c r="K359" s="0" t="s">
        <v>11</v>
      </c>
      <c r="L359" s="0" t="s">
        <v>95</v>
      </c>
      <c r="M359" s="0" t="s">
        <v>226</v>
      </c>
      <c r="N359" s="0" t="s">
        <v>97</v>
      </c>
      <c r="O359" s="0" t="s">
        <v>1863</v>
      </c>
      <c r="Q359" s="0" t="s">
        <v>251</v>
      </c>
      <c r="R359" s="0" t="n">
        <v>2</v>
      </c>
      <c r="S359" s="5" t="n">
        <v>652</v>
      </c>
      <c r="T359" s="0" t="s">
        <v>271</v>
      </c>
      <c r="U359" s="0" t="n">
        <v>0</v>
      </c>
      <c r="V359" s="0" t="s">
        <v>230</v>
      </c>
      <c r="W359" s="0" t="s">
        <v>244</v>
      </c>
      <c r="Y359" s="0" t="s">
        <v>245</v>
      </c>
      <c r="Z359" s="0" t="s">
        <v>1550</v>
      </c>
      <c r="AA359" s="0" t="s">
        <v>235</v>
      </c>
      <c r="AB359" s="32" t="n">
        <v>2750</v>
      </c>
      <c r="AC359" s="32" t="n">
        <v>2800</v>
      </c>
      <c r="AD359" s="26" t="n">
        <f aca="false">IFERROR(AB359/B359,"")</f>
        <v>4.21779141104295</v>
      </c>
      <c r="AE359" s="26" t="n">
        <f aca="false">IFERROR(AC359/B359,"")</f>
        <v>4.29447852760736</v>
      </c>
      <c r="AF359" s="0" t="s">
        <v>230</v>
      </c>
      <c r="AG359" s="0" t="s">
        <v>236</v>
      </c>
      <c r="AH359" s="0" t="s">
        <v>236</v>
      </c>
      <c r="AI359" s="0" t="s">
        <v>1864</v>
      </c>
      <c r="AJ359" s="0" t="s">
        <v>1865</v>
      </c>
      <c r="AK359" s="0" t="s">
        <v>1866</v>
      </c>
      <c r="AL359" s="0" t="s">
        <v>1867</v>
      </c>
      <c r="AM359" s="0" t="s">
        <v>94</v>
      </c>
      <c r="AN359" s="26" t="n">
        <f aca="false">IFERROR(E359*(1+IF(AM359="Apartment",Data_Summary!$C$3,0)),"")</f>
        <v>4.21779141104295</v>
      </c>
      <c r="AO359" s="4" t="n">
        <v>46195</v>
      </c>
    </row>
    <row r="360" customFormat="false" ht="15" hidden="false" customHeight="false" outlineLevel="0" collapsed="false">
      <c r="A360" s="0" t="n">
        <f aca="false">IF(AND(ISNUMBER(B360),B360&gt;0,ISNUMBER(AB360),AB360&gt;0,J360&gt;=Data_Summary!$C$1),1,0)</f>
        <v>1</v>
      </c>
      <c r="B360" s="33" t="n">
        <v>639</v>
      </c>
      <c r="C360" s="5" t="n">
        <f aca="false">IF(ISNUMBER(AB360),AB360,"")</f>
        <v>2900</v>
      </c>
      <c r="D360" s="0" t="n">
        <f aca="false">IF(ISNUMBER(C360),C360-U360*Data_Summary!$C$2,"")</f>
        <v>2900</v>
      </c>
      <c r="E360" s="34" t="n">
        <f aca="false">IFERROR(C360/B360,"")</f>
        <v>4.53834115805947</v>
      </c>
      <c r="F360" s="26" t="n">
        <f aca="false">IFERROR(D360/B360,"")</f>
        <v>4.53834115805947</v>
      </c>
      <c r="G360" s="0" t="str">
        <f aca="false">Q360</f>
        <v>2</v>
      </c>
      <c r="H360" s="0" t="str">
        <f aca="false">IFERROR(LEFT(G360,1),"")</f>
        <v>2</v>
      </c>
      <c r="I360" s="0" t="n">
        <f aca="false">IF(LEN(G360)&gt;1,1,0)</f>
        <v>0</v>
      </c>
      <c r="J360" s="4" t="n">
        <v>46039</v>
      </c>
      <c r="K360" s="0" t="s">
        <v>11</v>
      </c>
      <c r="L360" s="0" t="s">
        <v>95</v>
      </c>
      <c r="M360" s="0" t="s">
        <v>226</v>
      </c>
      <c r="N360" s="0" t="s">
        <v>97</v>
      </c>
      <c r="O360" s="0" t="s">
        <v>1868</v>
      </c>
      <c r="Q360" s="0" t="s">
        <v>251</v>
      </c>
      <c r="R360" s="0" t="n">
        <v>2</v>
      </c>
      <c r="S360" s="5" t="n">
        <v>639</v>
      </c>
      <c r="T360" s="0" t="s">
        <v>303</v>
      </c>
      <c r="U360" s="0" t="n">
        <v>0</v>
      </c>
      <c r="V360" s="0" t="s">
        <v>230</v>
      </c>
      <c r="W360" s="0" t="s">
        <v>244</v>
      </c>
      <c r="Y360" s="0" t="s">
        <v>1869</v>
      </c>
      <c r="Z360" s="0" t="s">
        <v>1550</v>
      </c>
      <c r="AA360" s="0" t="s">
        <v>235</v>
      </c>
      <c r="AB360" s="32" t="n">
        <v>2900</v>
      </c>
      <c r="AC360" s="32" t="n">
        <v>2900</v>
      </c>
      <c r="AD360" s="26" t="n">
        <f aca="false">IFERROR(AB360/B360,"")</f>
        <v>4.53834115805947</v>
      </c>
      <c r="AE360" s="26" t="n">
        <f aca="false">IFERROR(AC360/B360,"")</f>
        <v>4.53834115805947</v>
      </c>
      <c r="AF360" s="0" t="s">
        <v>236</v>
      </c>
      <c r="AG360" s="0" t="s">
        <v>236</v>
      </c>
      <c r="AH360" s="0" t="s">
        <v>236</v>
      </c>
      <c r="AI360" s="0" t="s">
        <v>1870</v>
      </c>
      <c r="AJ360" s="0" t="s">
        <v>1871</v>
      </c>
      <c r="AK360" s="0" t="s">
        <v>1872</v>
      </c>
      <c r="AL360" s="0" t="s">
        <v>1873</v>
      </c>
      <c r="AM360" s="0" t="s">
        <v>94</v>
      </c>
      <c r="AN360" s="26" t="n">
        <f aca="false">IFERROR(E360*(1+IF(AM360="Apartment",Data_Summary!$C$3,0)),"")</f>
        <v>4.53834115805947</v>
      </c>
      <c r="AO360" s="4" t="n">
        <v>46195</v>
      </c>
    </row>
    <row r="361" customFormat="false" ht="15" hidden="false" customHeight="false" outlineLevel="0" collapsed="false">
      <c r="A361" s="0" t="n">
        <f aca="false">IF(AND(ISNUMBER(B361),B361&gt;0,ISNUMBER(AB361),AB361&gt;0,J361&gt;=Data_Summary!$C$1),1,0)</f>
        <v>1</v>
      </c>
      <c r="B361" s="33" t="n">
        <v>652</v>
      </c>
      <c r="C361" s="5" t="n">
        <f aca="false">IF(ISNUMBER(AB361),AB361,"")</f>
        <v>3050</v>
      </c>
      <c r="D361" s="0" t="n">
        <f aca="false">IF(ISNUMBER(C361),C361-U361*Data_Summary!$C$2,"")</f>
        <v>3050</v>
      </c>
      <c r="E361" s="34" t="n">
        <f aca="false">IFERROR(C361/B361,"")</f>
        <v>4.67791411042945</v>
      </c>
      <c r="F361" s="26" t="n">
        <f aca="false">IFERROR(D361/B361,"")</f>
        <v>4.67791411042945</v>
      </c>
      <c r="G361" s="0" t="str">
        <f aca="false">Q361</f>
        <v>2</v>
      </c>
      <c r="H361" s="0" t="str">
        <f aca="false">IFERROR(LEFT(G361,1),"")</f>
        <v>2</v>
      </c>
      <c r="I361" s="0" t="n">
        <f aca="false">IF(LEN(G361)&gt;1,1,0)</f>
        <v>0</v>
      </c>
      <c r="J361" s="4" t="n">
        <v>46039</v>
      </c>
      <c r="K361" s="0" t="s">
        <v>11</v>
      </c>
      <c r="L361" s="0" t="s">
        <v>95</v>
      </c>
      <c r="M361" s="0" t="s">
        <v>226</v>
      </c>
      <c r="N361" s="0" t="s">
        <v>97</v>
      </c>
      <c r="O361" s="0" t="s">
        <v>1874</v>
      </c>
      <c r="Q361" s="0" t="s">
        <v>251</v>
      </c>
      <c r="R361" s="0" t="n">
        <v>2</v>
      </c>
      <c r="S361" s="5" t="n">
        <v>652</v>
      </c>
      <c r="T361" s="0" t="s">
        <v>271</v>
      </c>
      <c r="U361" s="0" t="n">
        <v>0</v>
      </c>
      <c r="V361" s="0" t="s">
        <v>230</v>
      </c>
      <c r="W361" s="0" t="s">
        <v>244</v>
      </c>
      <c r="Y361" s="0" t="s">
        <v>308</v>
      </c>
      <c r="Z361" s="0" t="s">
        <v>1550</v>
      </c>
      <c r="AA361" s="0" t="s">
        <v>235</v>
      </c>
      <c r="AB361" s="32" t="n">
        <v>3050</v>
      </c>
      <c r="AC361" s="32" t="n">
        <v>3100</v>
      </c>
      <c r="AD361" s="26" t="n">
        <f aca="false">IFERROR(AB361/B361,"")</f>
        <v>4.67791411042945</v>
      </c>
      <c r="AE361" s="26" t="n">
        <f aca="false">IFERROR(AC361/B361,"")</f>
        <v>4.75460122699387</v>
      </c>
      <c r="AF361" s="0" t="s">
        <v>230</v>
      </c>
      <c r="AG361" s="0" t="s">
        <v>236</v>
      </c>
      <c r="AH361" s="0" t="s">
        <v>236</v>
      </c>
      <c r="AI361" s="0" t="s">
        <v>1870</v>
      </c>
      <c r="AJ361" s="0" t="s">
        <v>1875</v>
      </c>
      <c r="AK361" s="0" t="s">
        <v>1876</v>
      </c>
      <c r="AL361" s="0" t="s">
        <v>1877</v>
      </c>
      <c r="AM361" s="0" t="s">
        <v>94</v>
      </c>
      <c r="AN361" s="26" t="n">
        <f aca="false">IFERROR(E361*(1+IF(AM361="Apartment",Data_Summary!$C$3,0)),"")</f>
        <v>4.67791411042945</v>
      </c>
      <c r="AO361" s="4" t="n">
        <v>46195</v>
      </c>
    </row>
    <row r="362" customFormat="false" ht="15" hidden="false" customHeight="false" outlineLevel="0" collapsed="false">
      <c r="A362" s="0" t="n">
        <f aca="false">IF(AND(ISNUMBER(B362),B362&gt;0,ISNUMBER(AB362),AB362&gt;0,J362&gt;=Data_Summary!$C$1),1,0)</f>
        <v>1</v>
      </c>
      <c r="B362" s="33" t="n">
        <v>799</v>
      </c>
      <c r="C362" s="5" t="n">
        <f aca="false">IF(ISNUMBER(AB362),AB362,"")</f>
        <v>4400</v>
      </c>
      <c r="D362" s="0" t="n">
        <f aca="false">IF(ISNUMBER(C362),C362-U362*Data_Summary!$C$2,"")</f>
        <v>4400</v>
      </c>
      <c r="E362" s="34" t="n">
        <f aca="false">IFERROR(C362/B362,"")</f>
        <v>5.50688360450563</v>
      </c>
      <c r="F362" s="26" t="n">
        <f aca="false">IFERROR(D362/B362,"")</f>
        <v>5.50688360450563</v>
      </c>
      <c r="G362" s="0" t="str">
        <f aca="false">Q362</f>
        <v>2+1</v>
      </c>
      <c r="H362" s="0" t="str">
        <f aca="false">IFERROR(LEFT(G362,1),"")</f>
        <v>2</v>
      </c>
      <c r="I362" s="0" t="n">
        <f aca="false">IF(LEN(G362)&gt;1,1,0)</f>
        <v>1</v>
      </c>
      <c r="J362" s="4" t="n">
        <v>46038</v>
      </c>
      <c r="K362" s="0" t="s">
        <v>11</v>
      </c>
      <c r="L362" s="0" t="s">
        <v>95</v>
      </c>
      <c r="M362" s="0" t="s">
        <v>226</v>
      </c>
      <c r="N362" s="0" t="s">
        <v>97</v>
      </c>
      <c r="O362" s="0" t="s">
        <v>1878</v>
      </c>
      <c r="Q362" s="0" t="s">
        <v>451</v>
      </c>
      <c r="R362" s="0" t="n">
        <v>2</v>
      </c>
      <c r="S362" s="5" t="n">
        <v>799</v>
      </c>
      <c r="T362" s="0" t="s">
        <v>229</v>
      </c>
      <c r="U362" s="0" t="n">
        <v>0</v>
      </c>
      <c r="V362" s="0" t="s">
        <v>230</v>
      </c>
      <c r="W362" s="0" t="s">
        <v>244</v>
      </c>
      <c r="X362" s="0" t="s">
        <v>232</v>
      </c>
      <c r="Y362" s="0" t="s">
        <v>308</v>
      </c>
      <c r="Z362" s="0" t="s">
        <v>1550</v>
      </c>
      <c r="AA362" s="0" t="s">
        <v>235</v>
      </c>
      <c r="AB362" s="32" t="n">
        <v>4400</v>
      </c>
      <c r="AC362" s="32" t="n">
        <v>3699</v>
      </c>
      <c r="AD362" s="26" t="n">
        <f aca="false">IFERROR(AB362/B362,"")</f>
        <v>5.50688360450563</v>
      </c>
      <c r="AE362" s="26" t="n">
        <f aca="false">IFERROR(AC362/B362,"")</f>
        <v>4.62953692115144</v>
      </c>
      <c r="AF362" s="0" t="s">
        <v>230</v>
      </c>
      <c r="AG362" s="0" t="s">
        <v>230</v>
      </c>
      <c r="AH362" s="0" t="s">
        <v>230</v>
      </c>
      <c r="AI362" s="0" t="s">
        <v>663</v>
      </c>
      <c r="AJ362" s="0" t="s">
        <v>1879</v>
      </c>
      <c r="AK362" s="0" t="s">
        <v>1880</v>
      </c>
      <c r="AL362" s="0" t="s">
        <v>1881</v>
      </c>
      <c r="AM362" s="0" t="s">
        <v>94</v>
      </c>
      <c r="AN362" s="26" t="n">
        <f aca="false">IFERROR(E362*(1+IF(AM362="Apartment",Data_Summary!$C$3,0)),"")</f>
        <v>5.50688360450563</v>
      </c>
      <c r="AO362" s="4" t="n">
        <v>46195</v>
      </c>
    </row>
    <row r="363" customFormat="false" ht="15" hidden="false" customHeight="false" outlineLevel="0" collapsed="false">
      <c r="A363" s="0" t="n">
        <f aca="false">IF(AND(ISNUMBER(B363),B363&gt;0,ISNUMBER(AB363),AB363&gt;0,J363&gt;=Data_Summary!$C$1),1,0)</f>
        <v>1</v>
      </c>
      <c r="B363" s="30" t="n">
        <v>510</v>
      </c>
      <c r="C363" s="5" t="n">
        <f aca="false">IF(ISNUMBER(AB363),AB363,"")</f>
        <v>2200</v>
      </c>
      <c r="D363" s="0" t="n">
        <f aca="false">IF(ISNUMBER(C363),C363-U363*Data_Summary!$C$2,"")</f>
        <v>2200</v>
      </c>
      <c r="E363" s="31" t="n">
        <f aca="false">IFERROR(C363/B363,"")</f>
        <v>4.31372549019608</v>
      </c>
      <c r="F363" s="26" t="n">
        <f aca="false">IFERROR(D363/B363,"")</f>
        <v>4.31372549019608</v>
      </c>
      <c r="G363" s="0" t="str">
        <f aca="false">Q363</f>
        <v>1</v>
      </c>
      <c r="H363" s="0" t="str">
        <f aca="false">IFERROR(LEFT(G363,1),"")</f>
        <v>1</v>
      </c>
      <c r="I363" s="0" t="n">
        <f aca="false">IF(LEN(G363)&gt;1,1,0)</f>
        <v>0</v>
      </c>
      <c r="J363" s="4" t="n">
        <v>46037</v>
      </c>
      <c r="K363" s="0" t="s">
        <v>11</v>
      </c>
      <c r="L363" s="0" t="s">
        <v>95</v>
      </c>
      <c r="M363" s="0" t="s">
        <v>226</v>
      </c>
      <c r="N363" s="0" t="s">
        <v>97</v>
      </c>
      <c r="O363" s="0" t="s">
        <v>1882</v>
      </c>
      <c r="Q363" s="0" t="s">
        <v>242</v>
      </c>
      <c r="R363" s="0" t="n">
        <v>1</v>
      </c>
      <c r="S363" s="5" t="n">
        <v>510</v>
      </c>
      <c r="T363" s="0" t="s">
        <v>243</v>
      </c>
      <c r="U363" s="0" t="n">
        <v>0</v>
      </c>
      <c r="V363" s="0" t="s">
        <v>230</v>
      </c>
      <c r="W363" s="0" t="s">
        <v>244</v>
      </c>
      <c r="Y363" s="0" t="s">
        <v>308</v>
      </c>
      <c r="Z363" s="0" t="s">
        <v>1550</v>
      </c>
      <c r="AA363" s="0" t="s">
        <v>235</v>
      </c>
      <c r="AB363" s="32" t="n">
        <v>2200</v>
      </c>
      <c r="AC363" s="32" t="n">
        <v>2200</v>
      </c>
      <c r="AD363" s="26" t="n">
        <f aca="false">IFERROR(AB363/B363,"")</f>
        <v>4.31372549019608</v>
      </c>
      <c r="AE363" s="26" t="n">
        <f aca="false">IFERROR(AC363/B363,"")</f>
        <v>4.31372549019608</v>
      </c>
      <c r="AF363" s="0" t="s">
        <v>236</v>
      </c>
      <c r="AG363" s="0" t="s">
        <v>236</v>
      </c>
      <c r="AH363" s="0" t="s">
        <v>236</v>
      </c>
      <c r="AI363" s="0" t="s">
        <v>1883</v>
      </c>
      <c r="AJ363" s="0" t="s">
        <v>1884</v>
      </c>
      <c r="AK363" s="0" t="s">
        <v>1885</v>
      </c>
      <c r="AL363" s="0" t="s">
        <v>1886</v>
      </c>
      <c r="AM363" s="0" t="s">
        <v>94</v>
      </c>
      <c r="AN363" s="26" t="n">
        <f aca="false">IFERROR(E363*(1+IF(AM363="Apartment",Data_Summary!$C$3,0)),"")</f>
        <v>4.31372549019608</v>
      </c>
      <c r="AO363" s="4" t="n">
        <v>46195</v>
      </c>
    </row>
    <row r="364" customFormat="false" ht="15" hidden="false" customHeight="false" outlineLevel="0" collapsed="false">
      <c r="A364" s="0" t="n">
        <f aca="false">IF(AND(ISNUMBER(B364),B364&gt;0,ISNUMBER(AB364),AB364&gt;0,J364&gt;=Data_Summary!$C$1),1,0)</f>
        <v>1</v>
      </c>
      <c r="B364" s="30" t="n">
        <v>862</v>
      </c>
      <c r="C364" s="5" t="n">
        <f aca="false">IF(ISNUMBER(AB364),AB364,"")</f>
        <v>4000</v>
      </c>
      <c r="D364" s="0" t="n">
        <f aca="false">IF(ISNUMBER(C364),C364-U364*Data_Summary!$C$2,"")</f>
        <v>3850</v>
      </c>
      <c r="E364" s="31" t="n">
        <f aca="false">IFERROR(C364/B364,"")</f>
        <v>4.64037122969838</v>
      </c>
      <c r="F364" s="26" t="n">
        <f aca="false">IFERROR(D364/B364,"")</f>
        <v>4.46635730858469</v>
      </c>
      <c r="G364" s="0" t="str">
        <f aca="false">Q364</f>
        <v>2</v>
      </c>
      <c r="H364" s="0" t="str">
        <f aca="false">IFERROR(LEFT(G364,1),"")</f>
        <v>2</v>
      </c>
      <c r="I364" s="0" t="n">
        <f aca="false">IF(LEN(G364)&gt;1,1,0)</f>
        <v>0</v>
      </c>
      <c r="J364" s="4" t="n">
        <v>46035</v>
      </c>
      <c r="K364" s="0" t="s">
        <v>11</v>
      </c>
      <c r="L364" s="0" t="s">
        <v>95</v>
      </c>
      <c r="M364" s="0" t="s">
        <v>226</v>
      </c>
      <c r="N364" s="0" t="s">
        <v>97</v>
      </c>
      <c r="O364" s="0" t="s">
        <v>1887</v>
      </c>
      <c r="Q364" s="0" t="s">
        <v>251</v>
      </c>
      <c r="R364" s="0" t="n">
        <v>2</v>
      </c>
      <c r="S364" s="5" t="n">
        <v>862</v>
      </c>
      <c r="T364" s="0" t="s">
        <v>229</v>
      </c>
      <c r="U364" s="0" t="n">
        <v>1</v>
      </c>
      <c r="V364" s="0" t="s">
        <v>230</v>
      </c>
      <c r="W364" s="0" t="s">
        <v>244</v>
      </c>
      <c r="X364" s="0" t="s">
        <v>232</v>
      </c>
      <c r="Y364" s="0" t="s">
        <v>297</v>
      </c>
      <c r="Z364" s="0" t="s">
        <v>1550</v>
      </c>
      <c r="AA364" s="0" t="s">
        <v>235</v>
      </c>
      <c r="AB364" s="32" t="n">
        <v>4000</v>
      </c>
      <c r="AC364" s="32" t="n">
        <v>4000</v>
      </c>
      <c r="AD364" s="26" t="n">
        <f aca="false">IFERROR(AB364/B364,"")</f>
        <v>4.64037122969838</v>
      </c>
      <c r="AE364" s="26" t="n">
        <f aca="false">IFERROR(AC364/B364,"")</f>
        <v>4.64037122969838</v>
      </c>
      <c r="AF364" s="0" t="s">
        <v>236</v>
      </c>
      <c r="AG364" s="0" t="s">
        <v>236</v>
      </c>
      <c r="AH364" s="0" t="s">
        <v>236</v>
      </c>
      <c r="AI364" s="0" t="s">
        <v>673</v>
      </c>
      <c r="AJ364" s="0" t="s">
        <v>1888</v>
      </c>
      <c r="AK364" s="0" t="s">
        <v>1889</v>
      </c>
      <c r="AL364" s="0" t="s">
        <v>1890</v>
      </c>
      <c r="AM364" s="0" t="s">
        <v>94</v>
      </c>
      <c r="AN364" s="26" t="n">
        <f aca="false">IFERROR(E364*(1+IF(AM364="Apartment",Data_Summary!$C$3,0)),"")</f>
        <v>4.64037122969838</v>
      </c>
      <c r="AO364" s="4" t="n">
        <v>46195</v>
      </c>
    </row>
    <row r="365" customFormat="false" ht="15" hidden="false" customHeight="false" outlineLevel="0" collapsed="false">
      <c r="A365" s="0" t="n">
        <f aca="false">IF(AND(ISNUMBER(B365),B365&gt;0,ISNUMBER(AB365),AB365&gt;0,J365&gt;=Data_Summary!$C$1),1,0)</f>
        <v>1</v>
      </c>
      <c r="B365" s="30" t="n">
        <v>799</v>
      </c>
      <c r="C365" s="5" t="n">
        <f aca="false">IF(ISNUMBER(AB365),AB365,"")</f>
        <v>3300</v>
      </c>
      <c r="D365" s="0" t="n">
        <f aca="false">IF(ISNUMBER(C365),C365-U365*Data_Summary!$C$2,"")</f>
        <v>3300</v>
      </c>
      <c r="E365" s="31" t="n">
        <f aca="false">IFERROR(C365/B365,"")</f>
        <v>4.13016270337922</v>
      </c>
      <c r="F365" s="26" t="n">
        <f aca="false">IFERROR(D365/B365,"")</f>
        <v>4.13016270337922</v>
      </c>
      <c r="G365" s="0" t="str">
        <f aca="false">Q365</f>
        <v>2+1</v>
      </c>
      <c r="H365" s="0" t="str">
        <f aca="false">IFERROR(LEFT(G365,1),"")</f>
        <v>2</v>
      </c>
      <c r="I365" s="0" t="n">
        <f aca="false">IF(LEN(G365)&gt;1,1,0)</f>
        <v>1</v>
      </c>
      <c r="J365" s="4" t="n">
        <v>46027</v>
      </c>
      <c r="K365" s="0" t="s">
        <v>11</v>
      </c>
      <c r="L365" s="0" t="s">
        <v>95</v>
      </c>
      <c r="M365" s="0" t="s">
        <v>226</v>
      </c>
      <c r="N365" s="0" t="s">
        <v>97</v>
      </c>
      <c r="O365" s="0" t="s">
        <v>1891</v>
      </c>
      <c r="Q365" s="0" t="s">
        <v>451</v>
      </c>
      <c r="R365" s="0" t="n">
        <v>2</v>
      </c>
      <c r="S365" s="5" t="n">
        <v>799</v>
      </c>
      <c r="T365" s="0" t="s">
        <v>252</v>
      </c>
      <c r="U365" s="0" t="n">
        <v>0</v>
      </c>
      <c r="V365" s="0" t="s">
        <v>230</v>
      </c>
      <c r="W365" s="0" t="s">
        <v>244</v>
      </c>
      <c r="X365" s="0" t="s">
        <v>232</v>
      </c>
      <c r="Y365" s="0" t="s">
        <v>233</v>
      </c>
      <c r="Z365" s="0" t="s">
        <v>1550</v>
      </c>
      <c r="AA365" s="0" t="s">
        <v>235</v>
      </c>
      <c r="AB365" s="32" t="n">
        <v>3300</v>
      </c>
      <c r="AC365" s="32" t="n">
        <v>3300</v>
      </c>
      <c r="AD365" s="26" t="n">
        <f aca="false">IFERROR(AB365/B365,"")</f>
        <v>4.13016270337922</v>
      </c>
      <c r="AE365" s="26" t="n">
        <f aca="false">IFERROR(AC365/B365,"")</f>
        <v>4.13016270337922</v>
      </c>
      <c r="AF365" s="0" t="s">
        <v>236</v>
      </c>
      <c r="AG365" s="0" t="s">
        <v>236</v>
      </c>
      <c r="AH365" s="0" t="s">
        <v>236</v>
      </c>
      <c r="AI365" s="0" t="s">
        <v>1892</v>
      </c>
      <c r="AJ365" s="0" t="s">
        <v>1893</v>
      </c>
      <c r="AK365" s="0" t="s">
        <v>1894</v>
      </c>
      <c r="AL365" s="0" t="s">
        <v>1895</v>
      </c>
      <c r="AM365" s="0" t="s">
        <v>94</v>
      </c>
      <c r="AN365" s="26" t="n">
        <f aca="false">IFERROR(E365*(1+IF(AM365="Apartment",Data_Summary!$C$3,0)),"")</f>
        <v>4.13016270337922</v>
      </c>
      <c r="AO365" s="4" t="n">
        <v>46195</v>
      </c>
    </row>
    <row r="366" customFormat="false" ht="15" hidden="false" customHeight="false" outlineLevel="0" collapsed="false">
      <c r="A366" s="0" t="n">
        <f aca="false">IF(AND(ISNUMBER(B366),B366&gt;0,ISNUMBER(AB366),AB366&gt;0,J366&gt;=Data_Summary!$C$1),1,0)</f>
        <v>1</v>
      </c>
      <c r="B366" s="30" t="n">
        <v>862</v>
      </c>
      <c r="C366" s="5" t="n">
        <f aca="false">IF(ISNUMBER(AB366),AB366,"")</f>
        <v>3900</v>
      </c>
      <c r="D366" s="0" t="n">
        <f aca="false">IF(ISNUMBER(C366),C366-U366*Data_Summary!$C$2,"")</f>
        <v>3750</v>
      </c>
      <c r="E366" s="31" t="n">
        <f aca="false">IFERROR(C366/B366,"")</f>
        <v>4.52436194895592</v>
      </c>
      <c r="F366" s="26" t="n">
        <f aca="false">IFERROR(D366/B366,"")</f>
        <v>4.35034802784223</v>
      </c>
      <c r="G366" s="0" t="str">
        <f aca="false">Q366</f>
        <v>2+1</v>
      </c>
      <c r="H366" s="0" t="str">
        <f aca="false">IFERROR(LEFT(G366,1),"")</f>
        <v>2</v>
      </c>
      <c r="I366" s="0" t="n">
        <f aca="false">IF(LEN(G366)&gt;1,1,0)</f>
        <v>1</v>
      </c>
      <c r="J366" s="4" t="n">
        <v>46017</v>
      </c>
      <c r="K366" s="0" t="s">
        <v>11</v>
      </c>
      <c r="L366" s="0" t="s">
        <v>95</v>
      </c>
      <c r="M366" s="0" t="s">
        <v>226</v>
      </c>
      <c r="N366" s="0" t="s">
        <v>97</v>
      </c>
      <c r="O366" s="0" t="s">
        <v>1896</v>
      </c>
      <c r="Q366" s="0" t="s">
        <v>451</v>
      </c>
      <c r="R366" s="0" t="n">
        <v>2</v>
      </c>
      <c r="S366" s="5" t="n">
        <v>862</v>
      </c>
      <c r="T366" s="0" t="s">
        <v>229</v>
      </c>
      <c r="U366" s="0" t="n">
        <v>1</v>
      </c>
      <c r="V366" s="0" t="s">
        <v>230</v>
      </c>
      <c r="W366" s="0" t="s">
        <v>244</v>
      </c>
      <c r="X366" s="0" t="s">
        <v>232</v>
      </c>
      <c r="Y366" s="0" t="s">
        <v>278</v>
      </c>
      <c r="Z366" s="0" t="s">
        <v>1550</v>
      </c>
      <c r="AA366" s="0" t="s">
        <v>235</v>
      </c>
      <c r="AB366" s="32" t="n">
        <v>3900</v>
      </c>
      <c r="AC366" s="32" t="n">
        <v>4000</v>
      </c>
      <c r="AD366" s="26" t="n">
        <f aca="false">IFERROR(AB366/B366,"")</f>
        <v>4.52436194895592</v>
      </c>
      <c r="AE366" s="26" t="n">
        <f aca="false">IFERROR(AC366/B366,"")</f>
        <v>4.64037122969838</v>
      </c>
      <c r="AF366" s="0" t="s">
        <v>236</v>
      </c>
      <c r="AG366" s="0" t="s">
        <v>236</v>
      </c>
      <c r="AH366" s="0" t="s">
        <v>236</v>
      </c>
      <c r="AI366" s="0" t="s">
        <v>712</v>
      </c>
      <c r="AJ366" s="0" t="s">
        <v>1897</v>
      </c>
      <c r="AK366" s="0" t="s">
        <v>1898</v>
      </c>
      <c r="AL366" s="0" t="s">
        <v>1899</v>
      </c>
      <c r="AM366" s="0" t="s">
        <v>94</v>
      </c>
      <c r="AN366" s="26" t="n">
        <f aca="false">IFERROR(E366*(1+IF(AM366="Apartment",Data_Summary!$C$3,0)),"")</f>
        <v>4.52436194895592</v>
      </c>
      <c r="AO366" s="4" t="n">
        <v>46195</v>
      </c>
    </row>
    <row r="367" customFormat="false" ht="15" hidden="false" customHeight="false" outlineLevel="0" collapsed="false">
      <c r="A367" s="0" t="n">
        <f aca="false">IF(AND(ISNUMBER(B367),B367&gt;0,ISNUMBER(AB367),AB367&gt;0,J367&gt;=Data_Summary!$C$1),1,0)</f>
        <v>1</v>
      </c>
      <c r="B367" s="33" t="n">
        <v>594</v>
      </c>
      <c r="C367" s="5" t="n">
        <f aca="false">IF(ISNUMBER(AB367),AB367,"")</f>
        <v>2800</v>
      </c>
      <c r="D367" s="0" t="n">
        <f aca="false">IF(ISNUMBER(C367),C367-U367*Data_Summary!$C$2,"")</f>
        <v>2800</v>
      </c>
      <c r="E367" s="34" t="n">
        <f aca="false">IFERROR(C367/B367,"")</f>
        <v>4.71380471380471</v>
      </c>
      <c r="F367" s="26" t="n">
        <f aca="false">IFERROR(D367/B367,"")</f>
        <v>4.71380471380471</v>
      </c>
      <c r="G367" s="0" t="str">
        <f aca="false">Q367</f>
        <v>1+1</v>
      </c>
      <c r="H367" s="0" t="str">
        <f aca="false">IFERROR(LEFT(G367,1),"")</f>
        <v>1</v>
      </c>
      <c r="I367" s="0" t="n">
        <f aca="false">IF(LEN(G367)&gt;1,1,0)</f>
        <v>1</v>
      </c>
      <c r="J367" s="4" t="n">
        <v>46012</v>
      </c>
      <c r="K367" s="0" t="s">
        <v>11</v>
      </c>
      <c r="L367" s="0" t="s">
        <v>95</v>
      </c>
      <c r="M367" s="0" t="s">
        <v>226</v>
      </c>
      <c r="N367" s="0" t="s">
        <v>97</v>
      </c>
      <c r="O367" s="0" t="s">
        <v>1900</v>
      </c>
      <c r="Q367" s="0" t="s">
        <v>270</v>
      </c>
      <c r="R367" s="0" t="n">
        <v>2</v>
      </c>
      <c r="S367" s="5" t="n">
        <v>594</v>
      </c>
      <c r="T367" s="0" t="s">
        <v>243</v>
      </c>
      <c r="U367" s="0" t="n">
        <v>0</v>
      </c>
      <c r="V367" s="0" t="s">
        <v>230</v>
      </c>
      <c r="W367" s="0" t="s">
        <v>244</v>
      </c>
      <c r="Y367" s="0" t="s">
        <v>253</v>
      </c>
      <c r="Z367" s="0" t="s">
        <v>1550</v>
      </c>
      <c r="AA367" s="0" t="s">
        <v>235</v>
      </c>
      <c r="AB367" s="32" t="n">
        <v>2800</v>
      </c>
      <c r="AC367" s="32" t="n">
        <v>2750</v>
      </c>
      <c r="AD367" s="26" t="n">
        <f aca="false">IFERROR(AB367/B367,"")</f>
        <v>4.71380471380471</v>
      </c>
      <c r="AE367" s="26" t="n">
        <f aca="false">IFERROR(AC367/B367,"")</f>
        <v>4.62962962962963</v>
      </c>
      <c r="AF367" s="0" t="s">
        <v>230</v>
      </c>
      <c r="AG367" s="0" t="s">
        <v>236</v>
      </c>
      <c r="AH367" s="0" t="s">
        <v>230</v>
      </c>
      <c r="AI367" s="0" t="s">
        <v>1901</v>
      </c>
      <c r="AJ367" s="0" t="s">
        <v>1902</v>
      </c>
      <c r="AK367" s="0" t="s">
        <v>1903</v>
      </c>
      <c r="AL367" s="0" t="s">
        <v>1904</v>
      </c>
      <c r="AM367" s="0" t="s">
        <v>94</v>
      </c>
      <c r="AN367" s="26" t="n">
        <f aca="false">IFERROR(E367*(1+IF(AM367="Apartment",Data_Summary!$C$3,0)),"")</f>
        <v>4.71380471380471</v>
      </c>
      <c r="AO367" s="4" t="n">
        <v>46195</v>
      </c>
    </row>
    <row r="368" customFormat="false" ht="15" hidden="false" customHeight="false" outlineLevel="0" collapsed="false">
      <c r="A368" s="0" t="n">
        <f aca="false">IF(AND(ISNUMBER(B368),B368&gt;0,ISNUMBER(AB368),AB368&gt;0,J368&gt;=Data_Summary!$C$1),1,0)</f>
        <v>1</v>
      </c>
      <c r="B368" s="30" t="n">
        <v>1011</v>
      </c>
      <c r="C368" s="5" t="n">
        <f aca="false">IF(ISNUMBER(AB368),AB368,"")</f>
        <v>4400</v>
      </c>
      <c r="D368" s="0" t="n">
        <f aca="false">IF(ISNUMBER(C368),C368-U368*Data_Summary!$C$2,"")</f>
        <v>4250</v>
      </c>
      <c r="E368" s="31" t="n">
        <f aca="false">IFERROR(C368/B368,"")</f>
        <v>4.35212660731949</v>
      </c>
      <c r="F368" s="26" t="n">
        <f aca="false">IFERROR(D368/B368,"")</f>
        <v>4.20375865479723</v>
      </c>
      <c r="G368" s="0" t="str">
        <f aca="false">Q368</f>
        <v>3</v>
      </c>
      <c r="H368" s="0" t="str">
        <f aca="false">IFERROR(LEFT(G368,1),"")</f>
        <v>3</v>
      </c>
      <c r="I368" s="0" t="n">
        <f aca="false">IF(LEN(G368)&gt;1,1,0)</f>
        <v>0</v>
      </c>
      <c r="J368" s="4" t="n">
        <v>46008</v>
      </c>
      <c r="K368" s="0" t="s">
        <v>11</v>
      </c>
      <c r="L368" s="0" t="s">
        <v>95</v>
      </c>
      <c r="M368" s="0" t="s">
        <v>226</v>
      </c>
      <c r="N368" s="0" t="s">
        <v>97</v>
      </c>
      <c r="O368" s="0" t="s">
        <v>1905</v>
      </c>
      <c r="Q368" s="0" t="s">
        <v>228</v>
      </c>
      <c r="R368" s="0" t="n">
        <v>2</v>
      </c>
      <c r="S368" s="5" t="n">
        <v>1011</v>
      </c>
      <c r="T368" s="0" t="s">
        <v>265</v>
      </c>
      <c r="U368" s="0" t="n">
        <v>1</v>
      </c>
      <c r="V368" s="0" t="s">
        <v>230</v>
      </c>
      <c r="W368" s="0" t="s">
        <v>244</v>
      </c>
      <c r="Y368" s="0" t="s">
        <v>253</v>
      </c>
      <c r="Z368" s="0" t="s">
        <v>1550</v>
      </c>
      <c r="AA368" s="0" t="s">
        <v>235</v>
      </c>
      <c r="AB368" s="32" t="n">
        <v>4400</v>
      </c>
      <c r="AC368" s="32" t="n">
        <v>4400</v>
      </c>
      <c r="AD368" s="26" t="n">
        <f aca="false">IFERROR(AB368/B368,"")</f>
        <v>4.35212660731949</v>
      </c>
      <c r="AE368" s="26" t="n">
        <f aca="false">IFERROR(AC368/B368,"")</f>
        <v>4.35212660731949</v>
      </c>
      <c r="AF368" s="0" t="s">
        <v>236</v>
      </c>
      <c r="AG368" s="0" t="s">
        <v>236</v>
      </c>
      <c r="AH368" s="0" t="s">
        <v>236</v>
      </c>
      <c r="AI368" s="0" t="s">
        <v>736</v>
      </c>
      <c r="AJ368" s="0" t="s">
        <v>1906</v>
      </c>
      <c r="AK368" s="0" t="s">
        <v>1907</v>
      </c>
      <c r="AL368" s="0" t="s">
        <v>1908</v>
      </c>
      <c r="AM368" s="0" t="s">
        <v>94</v>
      </c>
      <c r="AN368" s="26" t="n">
        <f aca="false">IFERROR(E368*(1+IF(AM368="Apartment",Data_Summary!$C$3,0)),"")</f>
        <v>4.35212660731949</v>
      </c>
      <c r="AO368" s="4" t="n">
        <v>46195</v>
      </c>
    </row>
    <row r="369" customFormat="false" ht="15" hidden="false" customHeight="false" outlineLevel="0" collapsed="false">
      <c r="A369" s="0" t="n">
        <f aca="false">IF(AND(ISNUMBER(B369),B369&gt;0,ISNUMBER(AB369),AB369&gt;0,J369&gt;=Data_Summary!$C$1),1,0)</f>
        <v>1</v>
      </c>
      <c r="B369" s="30" t="n">
        <v>676</v>
      </c>
      <c r="C369" s="5" t="n">
        <f aca="false">IF(ISNUMBER(AB369),AB369,"")</f>
        <v>2550</v>
      </c>
      <c r="D369" s="0" t="n">
        <f aca="false">IF(ISNUMBER(C369),C369-U369*Data_Summary!$C$2,"")</f>
        <v>2550</v>
      </c>
      <c r="E369" s="31" t="n">
        <f aca="false">IFERROR(C369/B369,"")</f>
        <v>3.77218934911243</v>
      </c>
      <c r="F369" s="26" t="n">
        <f aca="false">IFERROR(D369/B369,"")</f>
        <v>3.77218934911243</v>
      </c>
      <c r="G369" s="0" t="str">
        <f aca="false">Q369</f>
        <v>2</v>
      </c>
      <c r="H369" s="0" t="str">
        <f aca="false">IFERROR(LEFT(G369,1),"")</f>
        <v>2</v>
      </c>
      <c r="I369" s="0" t="n">
        <f aca="false">IF(LEN(G369)&gt;1,1,0)</f>
        <v>0</v>
      </c>
      <c r="J369" s="4" t="n">
        <v>46007</v>
      </c>
      <c r="K369" s="0" t="s">
        <v>11</v>
      </c>
      <c r="L369" s="0" t="s">
        <v>95</v>
      </c>
      <c r="M369" s="0" t="s">
        <v>226</v>
      </c>
      <c r="N369" s="0" t="s">
        <v>97</v>
      </c>
      <c r="O369" s="0" t="s">
        <v>1540</v>
      </c>
      <c r="Q369" s="0" t="s">
        <v>251</v>
      </c>
      <c r="R369" s="0" t="n">
        <v>2</v>
      </c>
      <c r="S369" s="5" t="n">
        <v>676</v>
      </c>
      <c r="T369" s="0" t="s">
        <v>271</v>
      </c>
      <c r="U369" s="0" t="n">
        <v>0</v>
      </c>
      <c r="V369" s="0" t="s">
        <v>230</v>
      </c>
      <c r="W369" s="0" t="s">
        <v>244</v>
      </c>
      <c r="Y369" s="0" t="s">
        <v>278</v>
      </c>
      <c r="Z369" s="0" t="s">
        <v>1550</v>
      </c>
      <c r="AA369" s="0" t="s">
        <v>235</v>
      </c>
      <c r="AB369" s="32" t="n">
        <v>2550</v>
      </c>
      <c r="AC369" s="32" t="n">
        <v>2600</v>
      </c>
      <c r="AD369" s="26" t="n">
        <f aca="false">IFERROR(AB369/B369,"")</f>
        <v>3.77218934911243</v>
      </c>
      <c r="AE369" s="26" t="n">
        <f aca="false">IFERROR(AC369/B369,"")</f>
        <v>3.84615384615385</v>
      </c>
      <c r="AF369" s="0" t="s">
        <v>236</v>
      </c>
      <c r="AG369" s="0" t="s">
        <v>236</v>
      </c>
      <c r="AH369" s="0" t="s">
        <v>236</v>
      </c>
      <c r="AI369" s="0" t="s">
        <v>741</v>
      </c>
      <c r="AJ369" s="0" t="s">
        <v>1909</v>
      </c>
      <c r="AK369" s="0" t="s">
        <v>1910</v>
      </c>
      <c r="AL369" s="0" t="s">
        <v>1911</v>
      </c>
      <c r="AM369" s="0" t="s">
        <v>94</v>
      </c>
      <c r="AN369" s="26" t="n">
        <f aca="false">IFERROR(E369*(1+IF(AM369="Apartment",Data_Summary!$C$3,0)),"")</f>
        <v>3.77218934911243</v>
      </c>
      <c r="AO369" s="4" t="n">
        <v>46195</v>
      </c>
    </row>
    <row r="370" customFormat="false" ht="15" hidden="false" customHeight="false" outlineLevel="0" collapsed="false">
      <c r="A370" s="0" t="n">
        <f aca="false">IF(AND(ISNUMBER(B370),B370&gt;0,ISNUMBER(AB370),AB370&gt;0,J370&gt;=Data_Summary!$C$1),1,0)</f>
        <v>1</v>
      </c>
      <c r="B370" s="30" t="n">
        <v>862</v>
      </c>
      <c r="C370" s="5" t="n">
        <f aca="false">IF(ISNUMBER(AB370),AB370,"")</f>
        <v>3450</v>
      </c>
      <c r="D370" s="0" t="n">
        <f aca="false">IF(ISNUMBER(C370),C370-U370*Data_Summary!$C$2,"")</f>
        <v>3300</v>
      </c>
      <c r="E370" s="31" t="n">
        <f aca="false">IFERROR(C370/B370,"")</f>
        <v>4.00232018561485</v>
      </c>
      <c r="F370" s="26" t="n">
        <f aca="false">IFERROR(D370/B370,"")</f>
        <v>3.82830626450116</v>
      </c>
      <c r="G370" s="0" t="str">
        <f aca="false">Q370</f>
        <v>2+1</v>
      </c>
      <c r="H370" s="0" t="str">
        <f aca="false">IFERROR(LEFT(G370,1),"")</f>
        <v>2</v>
      </c>
      <c r="I370" s="0" t="n">
        <f aca="false">IF(LEN(G370)&gt;1,1,0)</f>
        <v>1</v>
      </c>
      <c r="J370" s="4" t="n">
        <v>46002</v>
      </c>
      <c r="K370" s="0" t="s">
        <v>11</v>
      </c>
      <c r="L370" s="0" t="s">
        <v>95</v>
      </c>
      <c r="M370" s="0" t="s">
        <v>226</v>
      </c>
      <c r="N370" s="0" t="s">
        <v>97</v>
      </c>
      <c r="O370" s="0" t="s">
        <v>1912</v>
      </c>
      <c r="Q370" s="0" t="s">
        <v>451</v>
      </c>
      <c r="R370" s="0" t="n">
        <v>2</v>
      </c>
      <c r="S370" s="5" t="n">
        <v>862</v>
      </c>
      <c r="T370" s="0" t="s">
        <v>229</v>
      </c>
      <c r="U370" s="0" t="n">
        <v>1</v>
      </c>
      <c r="V370" s="0" t="s">
        <v>230</v>
      </c>
      <c r="W370" s="0" t="s">
        <v>244</v>
      </c>
      <c r="X370" s="0" t="s">
        <v>232</v>
      </c>
      <c r="Y370" s="0" t="s">
        <v>297</v>
      </c>
      <c r="Z370" s="0" t="s">
        <v>1550</v>
      </c>
      <c r="AA370" s="0" t="s">
        <v>235</v>
      </c>
      <c r="AB370" s="32" t="n">
        <v>3450</v>
      </c>
      <c r="AC370" s="32" t="n">
        <v>3500</v>
      </c>
      <c r="AD370" s="26" t="n">
        <f aca="false">IFERROR(AB370/B370,"")</f>
        <v>4.00232018561485</v>
      </c>
      <c r="AE370" s="26" t="n">
        <f aca="false">IFERROR(AC370/B370,"")</f>
        <v>4.06032482598608</v>
      </c>
      <c r="AF370" s="0" t="s">
        <v>236</v>
      </c>
      <c r="AG370" s="0" t="s">
        <v>236</v>
      </c>
      <c r="AH370" s="0" t="s">
        <v>236</v>
      </c>
      <c r="AI370" s="0" t="s">
        <v>1913</v>
      </c>
      <c r="AJ370" s="0" t="s">
        <v>1914</v>
      </c>
      <c r="AK370" s="0" t="s">
        <v>1915</v>
      </c>
      <c r="AL370" s="0" t="s">
        <v>1916</v>
      </c>
      <c r="AM370" s="0" t="s">
        <v>94</v>
      </c>
      <c r="AN370" s="26" t="n">
        <f aca="false">IFERROR(E370*(1+IF(AM370="Apartment",Data_Summary!$C$3,0)),"")</f>
        <v>4.00232018561485</v>
      </c>
      <c r="AO370" s="4" t="n">
        <v>46195</v>
      </c>
    </row>
    <row r="371" customFormat="false" ht="15" hidden="false" customHeight="false" outlineLevel="0" collapsed="false">
      <c r="A371" s="0" t="n">
        <f aca="false">IF(AND(ISNUMBER(B371),B371&gt;0,ISNUMBER(AB371),AB371&gt;0,J371&gt;=Data_Summary!$C$1),1,0)</f>
        <v>1</v>
      </c>
      <c r="B371" s="30" t="n">
        <v>707</v>
      </c>
      <c r="C371" s="5" t="n">
        <f aca="false">IF(ISNUMBER(AB371),AB371,"")</f>
        <v>2850</v>
      </c>
      <c r="D371" s="0" t="n">
        <f aca="false">IF(ISNUMBER(C371),C371-U371*Data_Summary!$C$2,"")</f>
        <v>2850</v>
      </c>
      <c r="E371" s="31" t="n">
        <f aca="false">IFERROR(C371/B371,"")</f>
        <v>4.03111739745403</v>
      </c>
      <c r="F371" s="26" t="n">
        <f aca="false">IFERROR(D371/B371,"")</f>
        <v>4.03111739745403</v>
      </c>
      <c r="G371" s="0" t="str">
        <f aca="false">Q371</f>
        <v>2</v>
      </c>
      <c r="H371" s="0" t="str">
        <f aca="false">IFERROR(LEFT(G371,1),"")</f>
        <v>2</v>
      </c>
      <c r="I371" s="0" t="n">
        <f aca="false">IF(LEN(G371)&gt;1,1,0)</f>
        <v>0</v>
      </c>
      <c r="J371" s="4" t="n">
        <v>46001</v>
      </c>
      <c r="K371" s="0" t="s">
        <v>11</v>
      </c>
      <c r="L371" s="0" t="s">
        <v>95</v>
      </c>
      <c r="M371" s="0" t="s">
        <v>226</v>
      </c>
      <c r="N371" s="0" t="s">
        <v>97</v>
      </c>
      <c r="O371" s="0" t="s">
        <v>1917</v>
      </c>
      <c r="Q371" s="0" t="s">
        <v>251</v>
      </c>
      <c r="R371" s="0" t="n">
        <v>2</v>
      </c>
      <c r="S371" s="5" t="n">
        <v>707</v>
      </c>
      <c r="T371" s="0" t="s">
        <v>252</v>
      </c>
      <c r="U371" s="0" t="n">
        <v>0</v>
      </c>
      <c r="V371" s="0" t="s">
        <v>230</v>
      </c>
      <c r="W371" s="0" t="s">
        <v>244</v>
      </c>
      <c r="Y371" s="0" t="s">
        <v>253</v>
      </c>
      <c r="Z371" s="0" t="s">
        <v>1550</v>
      </c>
      <c r="AA371" s="0" t="s">
        <v>235</v>
      </c>
      <c r="AB371" s="32" t="n">
        <v>2850</v>
      </c>
      <c r="AC371" s="32" t="n">
        <v>2850</v>
      </c>
      <c r="AD371" s="26" t="n">
        <f aca="false">IFERROR(AB371/B371,"")</f>
        <v>4.03111739745403</v>
      </c>
      <c r="AE371" s="26" t="n">
        <f aca="false">IFERROR(AC371/B371,"")</f>
        <v>4.03111739745403</v>
      </c>
      <c r="AF371" s="0" t="s">
        <v>236</v>
      </c>
      <c r="AG371" s="0" t="s">
        <v>236</v>
      </c>
      <c r="AH371" s="0" t="s">
        <v>236</v>
      </c>
      <c r="AI371" s="0" t="s">
        <v>746</v>
      </c>
      <c r="AJ371" s="0" t="s">
        <v>1918</v>
      </c>
      <c r="AK371" s="0" t="s">
        <v>1919</v>
      </c>
      <c r="AL371" s="0" t="s">
        <v>1920</v>
      </c>
      <c r="AM371" s="0" t="s">
        <v>94</v>
      </c>
      <c r="AN371" s="26" t="n">
        <f aca="false">IFERROR(E371*(1+IF(AM371="Apartment",Data_Summary!$C$3,0)),"")</f>
        <v>4.03111739745403</v>
      </c>
      <c r="AO371" s="4" t="n">
        <v>46195</v>
      </c>
    </row>
    <row r="372" customFormat="false" ht="15" hidden="false" customHeight="false" outlineLevel="0" collapsed="false">
      <c r="A372" s="0" t="n">
        <f aca="false">IF(AND(ISNUMBER(B372),B372&gt;0,ISNUMBER(AB372),AB372&gt;0,J372&gt;=Data_Summary!$C$1),1,0)</f>
        <v>1</v>
      </c>
      <c r="B372" s="33" t="n">
        <v>756</v>
      </c>
      <c r="C372" s="5" t="n">
        <f aca="false">IF(ISNUMBER(AB372),AB372,"")</f>
        <v>4100</v>
      </c>
      <c r="D372" s="0" t="n">
        <f aca="false">IF(ISNUMBER(C372),C372-U372*Data_Summary!$C$2,"")</f>
        <v>4100</v>
      </c>
      <c r="E372" s="34" t="n">
        <f aca="false">IFERROR(C372/B372,"")</f>
        <v>5.42328042328042</v>
      </c>
      <c r="F372" s="26" t="n">
        <f aca="false">IFERROR(D372/B372,"")</f>
        <v>5.42328042328042</v>
      </c>
      <c r="G372" s="0" t="str">
        <f aca="false">Q372</f>
        <v>2+1</v>
      </c>
      <c r="H372" s="0" t="str">
        <f aca="false">IFERROR(LEFT(G372,1),"")</f>
        <v>2</v>
      </c>
      <c r="I372" s="0" t="n">
        <f aca="false">IF(LEN(G372)&gt;1,1,0)</f>
        <v>1</v>
      </c>
      <c r="J372" s="4" t="n">
        <v>45989</v>
      </c>
      <c r="K372" s="0" t="s">
        <v>11</v>
      </c>
      <c r="L372" s="0" t="s">
        <v>95</v>
      </c>
      <c r="M372" s="0" t="s">
        <v>226</v>
      </c>
      <c r="N372" s="0" t="s">
        <v>97</v>
      </c>
      <c r="O372" s="0" t="s">
        <v>1921</v>
      </c>
      <c r="Q372" s="0" t="s">
        <v>451</v>
      </c>
      <c r="R372" s="0" t="n">
        <v>2</v>
      </c>
      <c r="S372" s="5" t="n">
        <v>756</v>
      </c>
      <c r="T372" s="0" t="s">
        <v>252</v>
      </c>
      <c r="U372" s="0" t="n">
        <v>0</v>
      </c>
      <c r="V372" s="0" t="s">
        <v>230</v>
      </c>
      <c r="W372" s="0" t="s">
        <v>244</v>
      </c>
      <c r="X372" s="0" t="s">
        <v>232</v>
      </c>
      <c r="Y372" s="0" t="s">
        <v>308</v>
      </c>
      <c r="Z372" s="0" t="s">
        <v>1550</v>
      </c>
      <c r="AA372" s="0" t="s">
        <v>235</v>
      </c>
      <c r="AB372" s="32" t="n">
        <v>4100</v>
      </c>
      <c r="AC372" s="32" t="n">
        <v>4100</v>
      </c>
      <c r="AD372" s="26" t="n">
        <f aca="false">IFERROR(AB372/B372,"")</f>
        <v>5.42328042328042</v>
      </c>
      <c r="AE372" s="26" t="n">
        <f aca="false">IFERROR(AC372/B372,"")</f>
        <v>5.42328042328042</v>
      </c>
      <c r="AF372" s="0" t="s">
        <v>230</v>
      </c>
      <c r="AG372" s="0" t="s">
        <v>230</v>
      </c>
      <c r="AH372" s="0" t="s">
        <v>230</v>
      </c>
      <c r="AI372" s="0" t="s">
        <v>1922</v>
      </c>
      <c r="AJ372" s="0" t="s">
        <v>1923</v>
      </c>
      <c r="AK372" s="0" t="s">
        <v>1924</v>
      </c>
      <c r="AL372" s="0" t="s">
        <v>1925</v>
      </c>
      <c r="AM372" s="0" t="s">
        <v>94</v>
      </c>
      <c r="AN372" s="26" t="n">
        <f aca="false">IFERROR(E372*(1+IF(AM372="Apartment",Data_Summary!$C$3,0)),"")</f>
        <v>5.42328042328042</v>
      </c>
      <c r="AO372" s="4" t="n">
        <v>46195</v>
      </c>
    </row>
    <row r="373" customFormat="false" ht="15" hidden="false" customHeight="false" outlineLevel="0" collapsed="false">
      <c r="A373" s="0" t="n">
        <f aca="false">IF(AND(ISNUMBER(B373),B373&gt;0,ISNUMBER(AB373),AB373&gt;0,J373&gt;=Data_Summary!$C$1),1,0)</f>
        <v>1</v>
      </c>
      <c r="B373" s="30" t="n">
        <v>799</v>
      </c>
      <c r="C373" s="5" t="n">
        <f aca="false">IF(ISNUMBER(AB373),AB373,"")</f>
        <v>3850</v>
      </c>
      <c r="D373" s="0" t="n">
        <f aca="false">IF(ISNUMBER(C373),C373-U373*Data_Summary!$C$2,"")</f>
        <v>3700</v>
      </c>
      <c r="E373" s="31" t="n">
        <f aca="false">IFERROR(C373/B373,"")</f>
        <v>4.81852315394243</v>
      </c>
      <c r="F373" s="26" t="n">
        <f aca="false">IFERROR(D373/B373,"")</f>
        <v>4.63078848560701</v>
      </c>
      <c r="G373" s="0" t="str">
        <f aca="false">Q373</f>
        <v>2</v>
      </c>
      <c r="H373" s="0" t="str">
        <f aca="false">IFERROR(LEFT(G373,1),"")</f>
        <v>2</v>
      </c>
      <c r="I373" s="0" t="n">
        <f aca="false">IF(LEN(G373)&gt;1,1,0)</f>
        <v>0</v>
      </c>
      <c r="J373" s="4" t="n">
        <v>45985</v>
      </c>
      <c r="K373" s="0" t="s">
        <v>11</v>
      </c>
      <c r="L373" s="0" t="s">
        <v>95</v>
      </c>
      <c r="M373" s="0" t="s">
        <v>226</v>
      </c>
      <c r="N373" s="0" t="s">
        <v>97</v>
      </c>
      <c r="O373" s="0" t="s">
        <v>1926</v>
      </c>
      <c r="Q373" s="0" t="s">
        <v>251</v>
      </c>
      <c r="R373" s="0" t="n">
        <v>2</v>
      </c>
      <c r="S373" s="5" t="n">
        <v>799</v>
      </c>
      <c r="T373" s="0" t="s">
        <v>252</v>
      </c>
      <c r="U373" s="0" t="n">
        <v>1</v>
      </c>
      <c r="V373" s="0" t="s">
        <v>230</v>
      </c>
      <c r="W373" s="0" t="s">
        <v>244</v>
      </c>
      <c r="X373" s="0" t="s">
        <v>232</v>
      </c>
      <c r="Y373" s="0" t="s">
        <v>253</v>
      </c>
      <c r="Z373" s="0" t="s">
        <v>1550</v>
      </c>
      <c r="AA373" s="0" t="s">
        <v>235</v>
      </c>
      <c r="AB373" s="32" t="n">
        <v>3850</v>
      </c>
      <c r="AC373" s="32" t="n">
        <v>3800</v>
      </c>
      <c r="AD373" s="26" t="n">
        <f aca="false">IFERROR(AB373/B373,"")</f>
        <v>4.81852315394243</v>
      </c>
      <c r="AE373" s="26" t="n">
        <f aca="false">IFERROR(AC373/B373,"")</f>
        <v>4.75594493116396</v>
      </c>
      <c r="AF373" s="0" t="s">
        <v>236</v>
      </c>
      <c r="AG373" s="0" t="s">
        <v>236</v>
      </c>
      <c r="AH373" s="0" t="s">
        <v>236</v>
      </c>
      <c r="AI373" s="0" t="s">
        <v>1927</v>
      </c>
      <c r="AJ373" s="0" t="s">
        <v>1928</v>
      </c>
      <c r="AK373" s="0" t="s">
        <v>1929</v>
      </c>
      <c r="AL373" s="0" t="s">
        <v>1930</v>
      </c>
      <c r="AM373" s="0" t="s">
        <v>94</v>
      </c>
      <c r="AN373" s="26" t="n">
        <f aca="false">IFERROR(E373*(1+IF(AM373="Apartment",Data_Summary!$C$3,0)),"")</f>
        <v>4.81852315394243</v>
      </c>
      <c r="AO373" s="4" t="n">
        <v>46195</v>
      </c>
    </row>
    <row r="374" customFormat="false" ht="15" hidden="false" customHeight="false" outlineLevel="0" collapsed="false">
      <c r="A374" s="0" t="n">
        <f aca="false">IF(AND(ISNUMBER(B374),B374&gt;0,ISNUMBER(AB374),AB374&gt;0,J374&gt;=Data_Summary!$C$1),1,0)</f>
        <v>1</v>
      </c>
      <c r="B374" s="30" t="n">
        <v>748</v>
      </c>
      <c r="C374" s="5" t="n">
        <f aca="false">IF(ISNUMBER(AB374),AB374,"")</f>
        <v>3450</v>
      </c>
      <c r="D374" s="0" t="n">
        <f aca="false">IF(ISNUMBER(C374),C374-U374*Data_Summary!$C$2,"")</f>
        <v>3450</v>
      </c>
      <c r="E374" s="31" t="n">
        <f aca="false">IFERROR(C374/B374,"")</f>
        <v>4.61229946524064</v>
      </c>
      <c r="F374" s="26" t="n">
        <f aca="false">IFERROR(D374/B374,"")</f>
        <v>4.61229946524064</v>
      </c>
      <c r="G374" s="0" t="str">
        <f aca="false">Q374</f>
        <v>2</v>
      </c>
      <c r="H374" s="0" t="str">
        <f aca="false">IFERROR(LEFT(G374,1),"")</f>
        <v>2</v>
      </c>
      <c r="I374" s="0" t="n">
        <f aca="false">IF(LEN(G374)&gt;1,1,0)</f>
        <v>0</v>
      </c>
      <c r="J374" s="4" t="n">
        <v>45984</v>
      </c>
      <c r="K374" s="0" t="s">
        <v>11</v>
      </c>
      <c r="L374" s="0" t="s">
        <v>95</v>
      </c>
      <c r="M374" s="0" t="s">
        <v>226</v>
      </c>
      <c r="N374" s="0" t="s">
        <v>97</v>
      </c>
      <c r="O374" s="0" t="s">
        <v>1931</v>
      </c>
      <c r="Q374" s="0" t="s">
        <v>251</v>
      </c>
      <c r="R374" s="0" t="n">
        <v>2</v>
      </c>
      <c r="S374" s="5" t="n">
        <v>748</v>
      </c>
      <c r="T374" s="0" t="s">
        <v>252</v>
      </c>
      <c r="U374" s="0" t="n">
        <v>0</v>
      </c>
      <c r="V374" s="0" t="s">
        <v>230</v>
      </c>
      <c r="W374" s="0" t="s">
        <v>244</v>
      </c>
      <c r="Y374" s="0" t="s">
        <v>278</v>
      </c>
      <c r="Z374" s="0" t="s">
        <v>1550</v>
      </c>
      <c r="AA374" s="0" t="s">
        <v>235</v>
      </c>
      <c r="AB374" s="32" t="n">
        <v>3450</v>
      </c>
      <c r="AC374" s="32" t="n">
        <v>3450</v>
      </c>
      <c r="AD374" s="26" t="n">
        <f aca="false">IFERROR(AB374/B374,"")</f>
        <v>4.61229946524064</v>
      </c>
      <c r="AE374" s="26" t="n">
        <f aca="false">IFERROR(AC374/B374,"")</f>
        <v>4.61229946524064</v>
      </c>
      <c r="AF374" s="0" t="s">
        <v>236</v>
      </c>
      <c r="AG374" s="0" t="s">
        <v>236</v>
      </c>
      <c r="AH374" s="0" t="s">
        <v>236</v>
      </c>
      <c r="AI374" s="0" t="s">
        <v>1932</v>
      </c>
      <c r="AJ374" s="0" t="s">
        <v>1933</v>
      </c>
      <c r="AK374" s="0" t="s">
        <v>1934</v>
      </c>
      <c r="AL374" s="0" t="s">
        <v>1935</v>
      </c>
      <c r="AM374" s="0" t="s">
        <v>94</v>
      </c>
      <c r="AN374" s="26" t="n">
        <f aca="false">IFERROR(E374*(1+IF(AM374="Apartment",Data_Summary!$C$3,0)),"")</f>
        <v>4.61229946524064</v>
      </c>
      <c r="AO374" s="4" t="n">
        <v>46195</v>
      </c>
    </row>
    <row r="375" customFormat="false" ht="15" hidden="false" customHeight="false" outlineLevel="0" collapsed="false">
      <c r="A375" s="0" t="n">
        <f aca="false">IF(AND(ISNUMBER(B375),B375&gt;0,ISNUMBER(AB375),AB375&gt;0,J375&gt;=Data_Summary!$C$1),1,0)</f>
        <v>1</v>
      </c>
      <c r="B375" s="30" t="n">
        <v>862</v>
      </c>
      <c r="C375" s="5" t="n">
        <f aca="false">IF(ISNUMBER(AB375),AB375,"")</f>
        <v>3875</v>
      </c>
      <c r="D375" s="0" t="n">
        <f aca="false">IF(ISNUMBER(C375),C375-U375*Data_Summary!$C$2,"")</f>
        <v>3725</v>
      </c>
      <c r="E375" s="31" t="n">
        <f aca="false">IFERROR(C375/B375,"")</f>
        <v>4.4953596287703</v>
      </c>
      <c r="F375" s="26" t="n">
        <f aca="false">IFERROR(D375/B375,"")</f>
        <v>4.32134570765661</v>
      </c>
      <c r="G375" s="0" t="str">
        <f aca="false">Q375</f>
        <v>2+1</v>
      </c>
      <c r="H375" s="0" t="str">
        <f aca="false">IFERROR(LEFT(G375,1),"")</f>
        <v>2</v>
      </c>
      <c r="I375" s="0" t="n">
        <f aca="false">IF(LEN(G375)&gt;1,1,0)</f>
        <v>1</v>
      </c>
      <c r="J375" s="4" t="n">
        <v>45984</v>
      </c>
      <c r="K375" s="0" t="s">
        <v>11</v>
      </c>
      <c r="L375" s="0" t="s">
        <v>95</v>
      </c>
      <c r="M375" s="0" t="s">
        <v>226</v>
      </c>
      <c r="N375" s="0" t="s">
        <v>97</v>
      </c>
      <c r="O375" s="0" t="s">
        <v>1374</v>
      </c>
      <c r="Q375" s="0" t="s">
        <v>451</v>
      </c>
      <c r="R375" s="0" t="n">
        <v>2</v>
      </c>
      <c r="S375" s="5" t="n">
        <v>862</v>
      </c>
      <c r="T375" s="0" t="s">
        <v>229</v>
      </c>
      <c r="U375" s="0" t="n">
        <v>1</v>
      </c>
      <c r="V375" s="0" t="s">
        <v>230</v>
      </c>
      <c r="W375" s="0" t="s">
        <v>244</v>
      </c>
      <c r="X375" s="0" t="s">
        <v>232</v>
      </c>
      <c r="Y375" s="0" t="s">
        <v>260</v>
      </c>
      <c r="Z375" s="0" t="s">
        <v>1550</v>
      </c>
      <c r="AA375" s="0" t="s">
        <v>235</v>
      </c>
      <c r="AB375" s="32" t="n">
        <v>3875</v>
      </c>
      <c r="AC375" s="32" t="n">
        <v>3950</v>
      </c>
      <c r="AD375" s="26" t="n">
        <f aca="false">IFERROR(AB375/B375,"")</f>
        <v>4.4953596287703</v>
      </c>
      <c r="AE375" s="26" t="n">
        <f aca="false">IFERROR(AC375/B375,"")</f>
        <v>4.58236658932715</v>
      </c>
      <c r="AF375" s="0" t="s">
        <v>236</v>
      </c>
      <c r="AG375" s="0" t="s">
        <v>236</v>
      </c>
      <c r="AH375" s="0" t="s">
        <v>236</v>
      </c>
      <c r="AI375" s="0" t="s">
        <v>1932</v>
      </c>
      <c r="AJ375" s="0" t="s">
        <v>1936</v>
      </c>
      <c r="AK375" s="0" t="s">
        <v>1937</v>
      </c>
      <c r="AL375" s="0" t="s">
        <v>1938</v>
      </c>
      <c r="AM375" s="0" t="s">
        <v>94</v>
      </c>
      <c r="AN375" s="26" t="n">
        <f aca="false">IFERROR(E375*(1+IF(AM375="Apartment",Data_Summary!$C$3,0)),"")</f>
        <v>4.4953596287703</v>
      </c>
      <c r="AO375" s="4" t="n">
        <v>46195</v>
      </c>
    </row>
    <row r="376" customFormat="false" ht="15" hidden="false" customHeight="false" outlineLevel="0" collapsed="false">
      <c r="A376" s="0" t="n">
        <f aca="false">IF(AND(ISNUMBER(B376),B376&gt;0,ISNUMBER(AB376),AB376&gt;0,J376&gt;=Data_Summary!$C$1),1,0)</f>
        <v>1</v>
      </c>
      <c r="B376" s="30" t="n">
        <v>648</v>
      </c>
      <c r="C376" s="5" t="n">
        <f aca="false">IF(ISNUMBER(AB376),AB376,"")</f>
        <v>3000</v>
      </c>
      <c r="D376" s="0" t="n">
        <f aca="false">IF(ISNUMBER(C376),C376-U376*Data_Summary!$C$2,"")</f>
        <v>3000</v>
      </c>
      <c r="E376" s="31" t="n">
        <f aca="false">IFERROR(C376/B376,"")</f>
        <v>4.62962962962963</v>
      </c>
      <c r="F376" s="26" t="n">
        <f aca="false">IFERROR(D376/B376,"")</f>
        <v>4.62962962962963</v>
      </c>
      <c r="G376" s="0" t="str">
        <f aca="false">Q376</f>
        <v>2</v>
      </c>
      <c r="H376" s="0" t="str">
        <f aca="false">IFERROR(LEFT(G376,1),"")</f>
        <v>2</v>
      </c>
      <c r="I376" s="0" t="n">
        <f aca="false">IF(LEN(G376)&gt;1,1,0)</f>
        <v>0</v>
      </c>
      <c r="J376" s="4" t="n">
        <v>45981</v>
      </c>
      <c r="K376" s="0" t="s">
        <v>11</v>
      </c>
      <c r="L376" s="0" t="s">
        <v>95</v>
      </c>
      <c r="M376" s="0" t="s">
        <v>226</v>
      </c>
      <c r="N376" s="0" t="s">
        <v>97</v>
      </c>
      <c r="O376" s="0" t="s">
        <v>1939</v>
      </c>
      <c r="Q376" s="0" t="s">
        <v>251</v>
      </c>
      <c r="R376" s="0" t="n">
        <v>2</v>
      </c>
      <c r="S376" s="5" t="n">
        <v>648</v>
      </c>
      <c r="T376" s="0" t="s">
        <v>271</v>
      </c>
      <c r="U376" s="0" t="n">
        <v>0</v>
      </c>
      <c r="V376" s="0" t="s">
        <v>230</v>
      </c>
      <c r="W376" s="0" t="s">
        <v>244</v>
      </c>
      <c r="Y376" s="0" t="s">
        <v>253</v>
      </c>
      <c r="Z376" s="0" t="s">
        <v>1550</v>
      </c>
      <c r="AA376" s="0" t="s">
        <v>235</v>
      </c>
      <c r="AB376" s="32" t="n">
        <v>3000</v>
      </c>
      <c r="AC376" s="32" t="n">
        <v>3000</v>
      </c>
      <c r="AD376" s="26" t="n">
        <f aca="false">IFERROR(AB376/B376,"")</f>
        <v>4.62962962962963</v>
      </c>
      <c r="AE376" s="26" t="n">
        <f aca="false">IFERROR(AC376/B376,"")</f>
        <v>4.62962962962963</v>
      </c>
      <c r="AF376" s="0" t="s">
        <v>236</v>
      </c>
      <c r="AG376" s="0" t="s">
        <v>236</v>
      </c>
      <c r="AH376" s="0" t="s">
        <v>236</v>
      </c>
      <c r="AI376" s="0" t="s">
        <v>1940</v>
      </c>
      <c r="AJ376" s="0" t="s">
        <v>1941</v>
      </c>
      <c r="AK376" s="0" t="s">
        <v>1942</v>
      </c>
      <c r="AL376" s="0" t="s">
        <v>1943</v>
      </c>
      <c r="AM376" s="0" t="s">
        <v>94</v>
      </c>
      <c r="AN376" s="26" t="n">
        <f aca="false">IFERROR(E376*(1+IF(AM376="Apartment",Data_Summary!$C$3,0)),"")</f>
        <v>4.62962962962963</v>
      </c>
      <c r="AO376" s="4" t="n">
        <v>46195</v>
      </c>
    </row>
    <row r="377" customFormat="false" ht="15" hidden="false" customHeight="false" outlineLevel="0" collapsed="false">
      <c r="A377" s="0" t="n">
        <f aca="false">IF(AND(ISNUMBER(B377),B377&gt;0,ISNUMBER(AB377),AB377&gt;0,J377&gt;=Data_Summary!$C$1),1,0)</f>
        <v>1</v>
      </c>
      <c r="B377" s="30" t="n">
        <v>862</v>
      </c>
      <c r="C377" s="5" t="n">
        <f aca="false">IF(ISNUMBER(AB377),AB377,"")</f>
        <v>3600</v>
      </c>
      <c r="D377" s="0" t="n">
        <f aca="false">IF(ISNUMBER(C377),C377-U377*Data_Summary!$C$2,"")</f>
        <v>3450</v>
      </c>
      <c r="E377" s="31" t="n">
        <f aca="false">IFERROR(C377/B377,"")</f>
        <v>4.17633410672854</v>
      </c>
      <c r="F377" s="26" t="n">
        <f aca="false">IFERROR(D377/B377,"")</f>
        <v>4.00232018561485</v>
      </c>
      <c r="G377" s="0" t="str">
        <f aca="false">Q377</f>
        <v>2+1</v>
      </c>
      <c r="H377" s="0" t="str">
        <f aca="false">IFERROR(LEFT(G377,1),"")</f>
        <v>2</v>
      </c>
      <c r="I377" s="0" t="n">
        <f aca="false">IF(LEN(G377)&gt;1,1,0)</f>
        <v>1</v>
      </c>
      <c r="J377" s="4" t="n">
        <v>45975</v>
      </c>
      <c r="K377" s="0" t="s">
        <v>11</v>
      </c>
      <c r="L377" s="0" t="s">
        <v>95</v>
      </c>
      <c r="M377" s="0" t="s">
        <v>226</v>
      </c>
      <c r="N377" s="0" t="s">
        <v>97</v>
      </c>
      <c r="O377" s="0" t="s">
        <v>1944</v>
      </c>
      <c r="Q377" s="0" t="s">
        <v>451</v>
      </c>
      <c r="R377" s="0" t="n">
        <v>2</v>
      </c>
      <c r="S377" s="5" t="n">
        <v>862</v>
      </c>
      <c r="T377" s="0" t="s">
        <v>229</v>
      </c>
      <c r="U377" s="0" t="n">
        <v>1</v>
      </c>
      <c r="V377" s="0" t="s">
        <v>230</v>
      </c>
      <c r="W377" s="0" t="s">
        <v>244</v>
      </c>
      <c r="X377" s="0" t="s">
        <v>232</v>
      </c>
      <c r="Y377" s="0" t="s">
        <v>297</v>
      </c>
      <c r="Z377" s="0" t="s">
        <v>1550</v>
      </c>
      <c r="AA377" s="0" t="s">
        <v>235</v>
      </c>
      <c r="AB377" s="32" t="n">
        <v>3600</v>
      </c>
      <c r="AC377" s="32" t="n">
        <v>3700</v>
      </c>
      <c r="AD377" s="26" t="n">
        <f aca="false">IFERROR(AB377/B377,"")</f>
        <v>4.17633410672854</v>
      </c>
      <c r="AE377" s="26" t="n">
        <f aca="false">IFERROR(AC377/B377,"")</f>
        <v>4.292343387471</v>
      </c>
      <c r="AF377" s="0" t="s">
        <v>236</v>
      </c>
      <c r="AG377" s="0" t="s">
        <v>236</v>
      </c>
      <c r="AH377" s="0" t="s">
        <v>236</v>
      </c>
      <c r="AI377" s="0" t="s">
        <v>1945</v>
      </c>
      <c r="AJ377" s="0" t="s">
        <v>1946</v>
      </c>
      <c r="AK377" s="0" t="s">
        <v>1947</v>
      </c>
      <c r="AL377" s="0" t="s">
        <v>1948</v>
      </c>
      <c r="AM377" s="0" t="s">
        <v>94</v>
      </c>
      <c r="AN377" s="26" t="n">
        <f aca="false">IFERROR(E377*(1+IF(AM377="Apartment",Data_Summary!$C$3,0)),"")</f>
        <v>4.17633410672854</v>
      </c>
      <c r="AO377" s="4" t="n">
        <v>46195</v>
      </c>
    </row>
    <row r="378" customFormat="false" ht="15" hidden="false" customHeight="false" outlineLevel="0" collapsed="false">
      <c r="A378" s="0" t="n">
        <f aca="false">IF(AND(ISNUMBER(B378),B378&gt;0,ISNUMBER(AB378),AB378&gt;0,J378&gt;=Data_Summary!$C$1),1,0)</f>
        <v>1</v>
      </c>
      <c r="B378" s="30" t="n">
        <v>692</v>
      </c>
      <c r="C378" s="5" t="n">
        <f aca="false">IF(ISNUMBER(AB378),AB378,"")</f>
        <v>3250</v>
      </c>
      <c r="D378" s="0" t="n">
        <f aca="false">IF(ISNUMBER(C378),C378-U378*Data_Summary!$C$2,"")</f>
        <v>3250</v>
      </c>
      <c r="E378" s="31" t="n">
        <f aca="false">IFERROR(C378/B378,"")</f>
        <v>4.69653179190751</v>
      </c>
      <c r="F378" s="26" t="n">
        <f aca="false">IFERROR(D378/B378,"")</f>
        <v>4.69653179190751</v>
      </c>
      <c r="G378" s="0" t="str">
        <f aca="false">Q378</f>
        <v>2</v>
      </c>
      <c r="H378" s="0" t="str">
        <f aca="false">IFERROR(LEFT(G378,1),"")</f>
        <v>2</v>
      </c>
      <c r="I378" s="0" t="n">
        <f aca="false">IF(LEN(G378)&gt;1,1,0)</f>
        <v>0</v>
      </c>
      <c r="J378" s="4" t="n">
        <v>45973</v>
      </c>
      <c r="K378" s="0" t="s">
        <v>11</v>
      </c>
      <c r="L378" s="0" t="s">
        <v>95</v>
      </c>
      <c r="M378" s="0" t="s">
        <v>226</v>
      </c>
      <c r="N378" s="0" t="s">
        <v>97</v>
      </c>
      <c r="O378" s="0" t="s">
        <v>1949</v>
      </c>
      <c r="Q378" s="0" t="s">
        <v>251</v>
      </c>
      <c r="R378" s="0" t="n">
        <v>2</v>
      </c>
      <c r="S378" s="5" t="n">
        <v>692</v>
      </c>
      <c r="T378" s="0" t="s">
        <v>271</v>
      </c>
      <c r="U378" s="0" t="n">
        <v>0</v>
      </c>
      <c r="V378" s="0" t="s">
        <v>230</v>
      </c>
      <c r="W378" s="0" t="s">
        <v>244</v>
      </c>
      <c r="Y378" s="0" t="s">
        <v>253</v>
      </c>
      <c r="Z378" s="0" t="s">
        <v>1550</v>
      </c>
      <c r="AA378" s="0" t="s">
        <v>235</v>
      </c>
      <c r="AB378" s="32" t="n">
        <v>3250</v>
      </c>
      <c r="AC378" s="32" t="n">
        <v>3200</v>
      </c>
      <c r="AD378" s="26" t="n">
        <f aca="false">IFERROR(AB378/B378,"")</f>
        <v>4.69653179190751</v>
      </c>
      <c r="AE378" s="26" t="n">
        <f aca="false">IFERROR(AC378/B378,"")</f>
        <v>4.6242774566474</v>
      </c>
      <c r="AF378" s="0" t="s">
        <v>236</v>
      </c>
      <c r="AG378" s="0" t="s">
        <v>236</v>
      </c>
      <c r="AH378" s="0" t="s">
        <v>236</v>
      </c>
      <c r="AI378" s="0" t="s">
        <v>1950</v>
      </c>
      <c r="AJ378" s="0" t="s">
        <v>1951</v>
      </c>
      <c r="AK378" s="0" t="s">
        <v>1952</v>
      </c>
      <c r="AL378" s="0" t="s">
        <v>1953</v>
      </c>
      <c r="AM378" s="0" t="s">
        <v>94</v>
      </c>
      <c r="AN378" s="26" t="n">
        <f aca="false">IFERROR(E378*(1+IF(AM378="Apartment",Data_Summary!$C$3,0)),"")</f>
        <v>4.69653179190751</v>
      </c>
      <c r="AO378" s="4" t="n">
        <v>46195</v>
      </c>
    </row>
    <row r="379" customFormat="false" ht="15" hidden="false" customHeight="false" outlineLevel="0" collapsed="false">
      <c r="A379" s="0" t="n">
        <f aca="false">IF(AND(ISNUMBER(B379),B379&gt;0,ISNUMBER(AB379),AB379&gt;0,J379&gt;=Data_Summary!$C$1),1,0)</f>
        <v>1</v>
      </c>
      <c r="B379" s="30" t="n">
        <v>427</v>
      </c>
      <c r="C379" s="5" t="n">
        <f aca="false">IF(ISNUMBER(AB379),AB379,"")</f>
        <v>2200</v>
      </c>
      <c r="D379" s="0" t="n">
        <f aca="false">IF(ISNUMBER(C379),C379-U379*Data_Summary!$C$2,"")</f>
        <v>2200</v>
      </c>
      <c r="E379" s="31" t="n">
        <f aca="false">IFERROR(C379/B379,"")</f>
        <v>5.15222482435597</v>
      </c>
      <c r="F379" s="26" t="n">
        <f aca="false">IFERROR(D379/B379,"")</f>
        <v>5.15222482435597</v>
      </c>
      <c r="G379" s="0" t="str">
        <f aca="false">Q379</f>
        <v>1</v>
      </c>
      <c r="H379" s="0" t="str">
        <f aca="false">IFERROR(LEFT(G379,1),"")</f>
        <v>1</v>
      </c>
      <c r="I379" s="0" t="n">
        <f aca="false">IF(LEN(G379)&gt;1,1,0)</f>
        <v>0</v>
      </c>
      <c r="J379" s="4" t="n">
        <v>45972</v>
      </c>
      <c r="K379" s="0" t="s">
        <v>11</v>
      </c>
      <c r="L379" s="0" t="s">
        <v>95</v>
      </c>
      <c r="M379" s="0" t="s">
        <v>226</v>
      </c>
      <c r="N379" s="0" t="s">
        <v>97</v>
      </c>
      <c r="O379" s="0" t="s">
        <v>627</v>
      </c>
      <c r="Q379" s="0" t="s">
        <v>242</v>
      </c>
      <c r="R379" s="0" t="n">
        <v>1</v>
      </c>
      <c r="S379" s="5" t="n">
        <v>427</v>
      </c>
      <c r="T379" s="0" t="s">
        <v>303</v>
      </c>
      <c r="U379" s="0" t="n">
        <v>0</v>
      </c>
      <c r="V379" s="0" t="s">
        <v>230</v>
      </c>
      <c r="W379" s="0" t="s">
        <v>244</v>
      </c>
      <c r="Y379" s="0" t="s">
        <v>245</v>
      </c>
      <c r="Z379" s="0" t="s">
        <v>1550</v>
      </c>
      <c r="AA379" s="0" t="s">
        <v>235</v>
      </c>
      <c r="AB379" s="32" t="n">
        <v>2200</v>
      </c>
      <c r="AC379" s="32" t="n">
        <v>2180</v>
      </c>
      <c r="AD379" s="26" t="n">
        <f aca="false">IFERROR(AB379/B379,"")</f>
        <v>5.15222482435597</v>
      </c>
      <c r="AE379" s="26" t="n">
        <f aca="false">IFERROR(AC379/B379,"")</f>
        <v>5.10538641686183</v>
      </c>
      <c r="AF379" s="0" t="s">
        <v>236</v>
      </c>
      <c r="AG379" s="0" t="s">
        <v>236</v>
      </c>
      <c r="AH379" s="0" t="s">
        <v>236</v>
      </c>
      <c r="AI379" s="0" t="s">
        <v>1954</v>
      </c>
      <c r="AJ379" s="0" t="s">
        <v>1955</v>
      </c>
      <c r="AK379" s="0" t="s">
        <v>1956</v>
      </c>
      <c r="AL379" s="0" t="s">
        <v>1957</v>
      </c>
      <c r="AM379" s="0" t="s">
        <v>94</v>
      </c>
      <c r="AN379" s="26" t="n">
        <f aca="false">IFERROR(E379*(1+IF(AM379="Apartment",Data_Summary!$C$3,0)),"")</f>
        <v>5.15222482435597</v>
      </c>
      <c r="AO379" s="4" t="n">
        <v>46195</v>
      </c>
    </row>
    <row r="380" customFormat="false" ht="15" hidden="false" customHeight="false" outlineLevel="0" collapsed="false">
      <c r="A380" s="0" t="n">
        <f aca="false">IF(AND(ISNUMBER(B380),B380&gt;0,ISNUMBER(AB380),AB380&gt;0,J380&gt;=Data_Summary!$C$1),1,0)</f>
        <v>1</v>
      </c>
      <c r="B380" s="33" t="n">
        <v>827</v>
      </c>
      <c r="C380" s="5" t="n">
        <f aca="false">IF(ISNUMBER(AB380),AB380,"")</f>
        <v>3300</v>
      </c>
      <c r="D380" s="0" t="n">
        <f aca="false">IF(ISNUMBER(C380),C380-U380*Data_Summary!$C$2,"")</f>
        <v>3300</v>
      </c>
      <c r="E380" s="34" t="n">
        <f aca="false">IFERROR(C380/B380,"")</f>
        <v>3.99032648125756</v>
      </c>
      <c r="F380" s="26" t="n">
        <f aca="false">IFERROR(D380/B380,"")</f>
        <v>3.99032648125756</v>
      </c>
      <c r="G380" s="0" t="str">
        <f aca="false">Q380</f>
        <v>2</v>
      </c>
      <c r="H380" s="0" t="str">
        <f aca="false">IFERROR(LEFT(G380,1),"")</f>
        <v>2</v>
      </c>
      <c r="I380" s="0" t="n">
        <f aca="false">IF(LEN(G380)&gt;1,1,0)</f>
        <v>0</v>
      </c>
      <c r="J380" s="4" t="n">
        <v>45970</v>
      </c>
      <c r="K380" s="0" t="s">
        <v>11</v>
      </c>
      <c r="L380" s="0" t="s">
        <v>95</v>
      </c>
      <c r="M380" s="0" t="s">
        <v>226</v>
      </c>
      <c r="N380" s="0" t="s">
        <v>97</v>
      </c>
      <c r="O380" s="0" t="s">
        <v>277</v>
      </c>
      <c r="Q380" s="0" t="s">
        <v>251</v>
      </c>
      <c r="R380" s="0" t="n">
        <v>2</v>
      </c>
      <c r="S380" s="5" t="n">
        <v>827</v>
      </c>
      <c r="T380" s="0" t="s">
        <v>229</v>
      </c>
      <c r="U380" s="0" t="n">
        <v>0</v>
      </c>
      <c r="V380" s="0" t="s">
        <v>230</v>
      </c>
      <c r="W380" s="0" t="s">
        <v>244</v>
      </c>
      <c r="Y380" s="0" t="s">
        <v>253</v>
      </c>
      <c r="Z380" s="0" t="s">
        <v>1550</v>
      </c>
      <c r="AA380" s="0" t="s">
        <v>235</v>
      </c>
      <c r="AB380" s="32" t="n">
        <v>3300</v>
      </c>
      <c r="AC380" s="32" t="n">
        <v>3300</v>
      </c>
      <c r="AD380" s="26" t="n">
        <f aca="false">IFERROR(AB380/B380,"")</f>
        <v>3.99032648125756</v>
      </c>
      <c r="AE380" s="26" t="n">
        <f aca="false">IFERROR(AC380/B380,"")</f>
        <v>3.99032648125756</v>
      </c>
      <c r="AF380" s="0" t="s">
        <v>230</v>
      </c>
      <c r="AG380" s="0" t="s">
        <v>230</v>
      </c>
      <c r="AH380" s="0" t="s">
        <v>230</v>
      </c>
      <c r="AI380" s="0" t="s">
        <v>1958</v>
      </c>
      <c r="AJ380" s="0" t="s">
        <v>1959</v>
      </c>
      <c r="AK380" s="0" t="s">
        <v>1960</v>
      </c>
      <c r="AL380" s="0" t="s">
        <v>1961</v>
      </c>
      <c r="AM380" s="0" t="s">
        <v>94</v>
      </c>
      <c r="AN380" s="26" t="n">
        <f aca="false">IFERROR(E380*(1+IF(AM380="Apartment",Data_Summary!$C$3,0)),"")</f>
        <v>3.99032648125756</v>
      </c>
      <c r="AO380" s="4" t="n">
        <v>46195</v>
      </c>
    </row>
    <row r="381" customFormat="false" ht="15" hidden="false" customHeight="false" outlineLevel="0" collapsed="false">
      <c r="A381" s="0" t="n">
        <f aca="false">IF(AND(ISNUMBER(B381),B381&gt;0,ISNUMBER(AB381),AB381&gt;0,J381&gt;=Data_Summary!$C$1),1,0)</f>
        <v>1</v>
      </c>
      <c r="B381" s="30" t="n">
        <v>814</v>
      </c>
      <c r="C381" s="5" t="n">
        <f aca="false">IF(ISNUMBER(AB381),AB381,"")</f>
        <v>3300</v>
      </c>
      <c r="D381" s="0" t="n">
        <f aca="false">IF(ISNUMBER(C381),C381-U381*Data_Summary!$C$2,"")</f>
        <v>3300</v>
      </c>
      <c r="E381" s="31" t="n">
        <f aca="false">IFERROR(C381/B381,"")</f>
        <v>4.05405405405405</v>
      </c>
      <c r="F381" s="26" t="n">
        <f aca="false">IFERROR(D381/B381,"")</f>
        <v>4.05405405405405</v>
      </c>
      <c r="G381" s="0" t="str">
        <f aca="false">Q381</f>
        <v>2+1</v>
      </c>
      <c r="H381" s="0" t="str">
        <f aca="false">IFERROR(LEFT(G381,1),"")</f>
        <v>2</v>
      </c>
      <c r="I381" s="0" t="n">
        <f aca="false">IF(LEN(G381)&gt;1,1,0)</f>
        <v>1</v>
      </c>
      <c r="J381" s="4" t="n">
        <v>45968</v>
      </c>
      <c r="K381" s="0" t="s">
        <v>11</v>
      </c>
      <c r="L381" s="0" t="s">
        <v>95</v>
      </c>
      <c r="M381" s="0" t="s">
        <v>226</v>
      </c>
      <c r="N381" s="0" t="s">
        <v>97</v>
      </c>
      <c r="O381" s="0" t="s">
        <v>1962</v>
      </c>
      <c r="Q381" s="0" t="s">
        <v>451</v>
      </c>
      <c r="R381" s="0" t="n">
        <v>2</v>
      </c>
      <c r="S381" s="5" t="n">
        <v>814</v>
      </c>
      <c r="T381" s="0" t="s">
        <v>229</v>
      </c>
      <c r="U381" s="0" t="n">
        <v>0</v>
      </c>
      <c r="V381" s="0" t="s">
        <v>230</v>
      </c>
      <c r="W381" s="0" t="s">
        <v>244</v>
      </c>
      <c r="Y381" s="0" t="s">
        <v>253</v>
      </c>
      <c r="Z381" s="0" t="s">
        <v>1550</v>
      </c>
      <c r="AA381" s="0" t="s">
        <v>235</v>
      </c>
      <c r="AB381" s="32" t="n">
        <v>3300</v>
      </c>
      <c r="AC381" s="32" t="n">
        <v>3380</v>
      </c>
      <c r="AD381" s="26" t="n">
        <f aca="false">IFERROR(AB381/B381,"")</f>
        <v>4.05405405405405</v>
      </c>
      <c r="AE381" s="26" t="n">
        <f aca="false">IFERROR(AC381/B381,"")</f>
        <v>4.15233415233415</v>
      </c>
      <c r="AF381" s="0" t="s">
        <v>236</v>
      </c>
      <c r="AG381" s="0" t="s">
        <v>236</v>
      </c>
      <c r="AH381" s="0" t="s">
        <v>236</v>
      </c>
      <c r="AI381" s="0" t="s">
        <v>798</v>
      </c>
      <c r="AJ381" s="0" t="s">
        <v>1963</v>
      </c>
      <c r="AK381" s="0" t="s">
        <v>1964</v>
      </c>
      <c r="AL381" s="0" t="s">
        <v>1965</v>
      </c>
      <c r="AM381" s="0" t="s">
        <v>94</v>
      </c>
      <c r="AN381" s="26" t="n">
        <f aca="false">IFERROR(E381*(1+IF(AM381="Apartment",Data_Summary!$C$3,0)),"")</f>
        <v>4.05405405405405</v>
      </c>
      <c r="AO381" s="4" t="n">
        <v>46195</v>
      </c>
    </row>
    <row r="382" customFormat="false" ht="15" hidden="false" customHeight="false" outlineLevel="0" collapsed="false">
      <c r="A382" s="0" t="n">
        <f aca="false">IF(AND(ISNUMBER(B382),B382&gt;0,ISNUMBER(AB382),AB382&gt;0,J382&gt;=Data_Summary!$C$1),1,0)</f>
        <v>1</v>
      </c>
      <c r="B382" s="30" t="n">
        <v>520</v>
      </c>
      <c r="C382" s="5" t="n">
        <f aca="false">IF(ISNUMBER(AB382),AB382,"")</f>
        <v>2300</v>
      </c>
      <c r="D382" s="0" t="n">
        <f aca="false">IF(ISNUMBER(C382),C382-U382*Data_Summary!$C$2,"")</f>
        <v>2300</v>
      </c>
      <c r="E382" s="31" t="n">
        <f aca="false">IFERROR(C382/B382,"")</f>
        <v>4.42307692307692</v>
      </c>
      <c r="F382" s="26" t="n">
        <f aca="false">IFERROR(D382/B382,"")</f>
        <v>4.42307692307692</v>
      </c>
      <c r="G382" s="0" t="str">
        <f aca="false">Q382</f>
        <v>1+1</v>
      </c>
      <c r="H382" s="0" t="str">
        <f aca="false">IFERROR(LEFT(G382,1),"")</f>
        <v>1</v>
      </c>
      <c r="I382" s="0" t="n">
        <f aca="false">IF(LEN(G382)&gt;1,1,0)</f>
        <v>1</v>
      </c>
      <c r="J382" s="4" t="n">
        <v>45967</v>
      </c>
      <c r="K382" s="0" t="s">
        <v>11</v>
      </c>
      <c r="L382" s="0" t="s">
        <v>95</v>
      </c>
      <c r="M382" s="0" t="s">
        <v>226</v>
      </c>
      <c r="N382" s="0" t="s">
        <v>97</v>
      </c>
      <c r="O382" s="0" t="s">
        <v>682</v>
      </c>
      <c r="Q382" s="0" t="s">
        <v>270</v>
      </c>
      <c r="R382" s="0" t="n">
        <v>1</v>
      </c>
      <c r="S382" s="5" t="n">
        <v>520</v>
      </c>
      <c r="T382" s="0" t="s">
        <v>243</v>
      </c>
      <c r="U382" s="0" t="n">
        <v>0</v>
      </c>
      <c r="V382" s="0" t="s">
        <v>230</v>
      </c>
      <c r="W382" s="0" t="s">
        <v>244</v>
      </c>
      <c r="Y382" s="0" t="s">
        <v>272</v>
      </c>
      <c r="Z382" s="0" t="s">
        <v>1550</v>
      </c>
      <c r="AA382" s="0" t="s">
        <v>235</v>
      </c>
      <c r="AB382" s="32" t="n">
        <v>2300</v>
      </c>
      <c r="AC382" s="32" t="n">
        <v>2300</v>
      </c>
      <c r="AD382" s="26" t="n">
        <f aca="false">IFERROR(AB382/B382,"")</f>
        <v>4.42307692307692</v>
      </c>
      <c r="AE382" s="26" t="n">
        <f aca="false">IFERROR(AC382/B382,"")</f>
        <v>4.42307692307692</v>
      </c>
      <c r="AF382" s="0" t="s">
        <v>236</v>
      </c>
      <c r="AG382" s="0" t="s">
        <v>236</v>
      </c>
      <c r="AH382" s="0" t="s">
        <v>236</v>
      </c>
      <c r="AI382" s="0" t="s">
        <v>803</v>
      </c>
      <c r="AJ382" s="0" t="s">
        <v>1966</v>
      </c>
      <c r="AK382" s="0" t="s">
        <v>1967</v>
      </c>
      <c r="AL382" s="0" t="s">
        <v>1968</v>
      </c>
      <c r="AM382" s="0" t="s">
        <v>94</v>
      </c>
      <c r="AN382" s="26" t="n">
        <f aca="false">IFERROR(E382*(1+IF(AM382="Apartment",Data_Summary!$C$3,0)),"")</f>
        <v>4.42307692307692</v>
      </c>
      <c r="AO382" s="4" t="n">
        <v>46195</v>
      </c>
    </row>
    <row r="383" customFormat="false" ht="15" hidden="false" customHeight="false" outlineLevel="0" collapsed="false">
      <c r="A383" s="0" t="n">
        <f aca="false">IF(AND(ISNUMBER(B383),B383&gt;0,ISNUMBER(AB383),AB383&gt;0,J383&gt;=Data_Summary!$C$1),1,0)</f>
        <v>1</v>
      </c>
      <c r="B383" s="30" t="n">
        <v>756</v>
      </c>
      <c r="C383" s="5" t="n">
        <f aca="false">IF(ISNUMBER(AB383),AB383,"")</f>
        <v>3400</v>
      </c>
      <c r="D383" s="0" t="n">
        <f aca="false">IF(ISNUMBER(C383),C383-U383*Data_Summary!$C$2,"")</f>
        <v>3400</v>
      </c>
      <c r="E383" s="31" t="n">
        <f aca="false">IFERROR(C383/B383,"")</f>
        <v>4.4973544973545</v>
      </c>
      <c r="F383" s="26" t="n">
        <f aca="false">IFERROR(D383/B383,"")</f>
        <v>4.4973544973545</v>
      </c>
      <c r="G383" s="0" t="str">
        <f aca="false">Q383</f>
        <v>2+1</v>
      </c>
      <c r="H383" s="0" t="str">
        <f aca="false">IFERROR(LEFT(G383,1),"")</f>
        <v>2</v>
      </c>
      <c r="I383" s="0" t="n">
        <f aca="false">IF(LEN(G383)&gt;1,1,0)</f>
        <v>1</v>
      </c>
      <c r="J383" s="4" t="n">
        <v>45965</v>
      </c>
      <c r="K383" s="0" t="s">
        <v>11</v>
      </c>
      <c r="L383" s="0" t="s">
        <v>95</v>
      </c>
      <c r="M383" s="0" t="s">
        <v>226</v>
      </c>
      <c r="N383" s="0" t="s">
        <v>97</v>
      </c>
      <c r="O383" s="0" t="s">
        <v>1969</v>
      </c>
      <c r="Q383" s="0" t="s">
        <v>451</v>
      </c>
      <c r="R383" s="0" t="n">
        <v>2</v>
      </c>
      <c r="S383" s="5" t="n">
        <v>756</v>
      </c>
      <c r="T383" s="0" t="s">
        <v>252</v>
      </c>
      <c r="U383" s="0" t="n">
        <v>0</v>
      </c>
      <c r="V383" s="0" t="s">
        <v>230</v>
      </c>
      <c r="W383" s="0" t="s">
        <v>244</v>
      </c>
      <c r="X383" s="0" t="s">
        <v>232</v>
      </c>
      <c r="Y383" s="0" t="s">
        <v>308</v>
      </c>
      <c r="Z383" s="0" t="s">
        <v>1550</v>
      </c>
      <c r="AA383" s="0" t="s">
        <v>235</v>
      </c>
      <c r="AB383" s="32" t="n">
        <v>3400</v>
      </c>
      <c r="AC383" s="32" t="n">
        <v>3300</v>
      </c>
      <c r="AD383" s="26" t="n">
        <f aca="false">IFERROR(AB383/B383,"")</f>
        <v>4.4973544973545</v>
      </c>
      <c r="AE383" s="26" t="n">
        <f aca="false">IFERROR(AC383/B383,"")</f>
        <v>4.36507936507937</v>
      </c>
      <c r="AF383" s="0" t="s">
        <v>236</v>
      </c>
      <c r="AG383" s="0" t="s">
        <v>236</v>
      </c>
      <c r="AH383" s="0" t="s">
        <v>236</v>
      </c>
      <c r="AI383" s="0" t="s">
        <v>1970</v>
      </c>
      <c r="AJ383" s="0" t="s">
        <v>1971</v>
      </c>
      <c r="AK383" s="0" t="s">
        <v>1972</v>
      </c>
      <c r="AL383" s="0" t="s">
        <v>1973</v>
      </c>
      <c r="AM383" s="0" t="s">
        <v>94</v>
      </c>
      <c r="AN383" s="26" t="n">
        <f aca="false">IFERROR(E383*(1+IF(AM383="Apartment",Data_Summary!$C$3,0)),"")</f>
        <v>4.4973544973545</v>
      </c>
      <c r="AO383" s="4" t="n">
        <v>46195</v>
      </c>
    </row>
    <row r="384" customFormat="false" ht="15" hidden="false" customHeight="false" outlineLevel="0" collapsed="false">
      <c r="A384" s="0" t="n">
        <f aca="false">IF(AND(ISNUMBER(B384),B384&gt;0,ISNUMBER(AB384),AB384&gt;0,J384&gt;=Data_Summary!$C$1),1,0)</f>
        <v>1</v>
      </c>
      <c r="B384" s="33" t="n">
        <v>748</v>
      </c>
      <c r="C384" s="5" t="n">
        <f aca="false">IF(ISNUMBER(AB384),AB384,"")</f>
        <v>3400</v>
      </c>
      <c r="D384" s="0" t="n">
        <f aca="false">IF(ISNUMBER(C384),C384-U384*Data_Summary!$C$2,"")</f>
        <v>3400</v>
      </c>
      <c r="E384" s="34" t="n">
        <f aca="false">IFERROR(C384/B384,"")</f>
        <v>4.54545454545455</v>
      </c>
      <c r="F384" s="26" t="n">
        <f aca="false">IFERROR(D384/B384,"")</f>
        <v>4.54545454545455</v>
      </c>
      <c r="G384" s="0" t="str">
        <f aca="false">Q384</f>
        <v>2</v>
      </c>
      <c r="H384" s="0" t="str">
        <f aca="false">IFERROR(LEFT(G384,1),"")</f>
        <v>2</v>
      </c>
      <c r="I384" s="0" t="n">
        <f aca="false">IF(LEN(G384)&gt;1,1,0)</f>
        <v>0</v>
      </c>
      <c r="J384" s="4" t="n">
        <v>45959</v>
      </c>
      <c r="K384" s="0" t="s">
        <v>11</v>
      </c>
      <c r="L384" s="0" t="s">
        <v>95</v>
      </c>
      <c r="M384" s="0" t="s">
        <v>226</v>
      </c>
      <c r="N384" s="0" t="s">
        <v>97</v>
      </c>
      <c r="O384" s="0" t="s">
        <v>1974</v>
      </c>
      <c r="Q384" s="0" t="s">
        <v>251</v>
      </c>
      <c r="R384" s="0" t="n">
        <v>2</v>
      </c>
      <c r="S384" s="5" t="n">
        <v>748</v>
      </c>
      <c r="T384" s="0" t="s">
        <v>252</v>
      </c>
      <c r="U384" s="0" t="n">
        <v>0</v>
      </c>
      <c r="V384" s="0" t="s">
        <v>230</v>
      </c>
      <c r="W384" s="0" t="s">
        <v>244</v>
      </c>
      <c r="Y384" s="0" t="s">
        <v>278</v>
      </c>
      <c r="Z384" s="0" t="s">
        <v>1550</v>
      </c>
      <c r="AA384" s="0" t="s">
        <v>235</v>
      </c>
      <c r="AB384" s="32" t="n">
        <v>3400</v>
      </c>
      <c r="AC384" s="32" t="n">
        <v>3400</v>
      </c>
      <c r="AD384" s="26" t="n">
        <f aca="false">IFERROR(AB384/B384,"")</f>
        <v>4.54545454545455</v>
      </c>
      <c r="AE384" s="26" t="n">
        <f aca="false">IFERROR(AC384/B384,"")</f>
        <v>4.54545454545455</v>
      </c>
      <c r="AF384" s="0" t="s">
        <v>230</v>
      </c>
      <c r="AG384" s="0" t="s">
        <v>236</v>
      </c>
      <c r="AH384" s="0" t="s">
        <v>236</v>
      </c>
      <c r="AI384" s="0" t="s">
        <v>813</v>
      </c>
      <c r="AJ384" s="0" t="s">
        <v>1975</v>
      </c>
      <c r="AK384" s="0" t="s">
        <v>1976</v>
      </c>
      <c r="AL384" s="0" t="s">
        <v>1977</v>
      </c>
      <c r="AM384" s="0" t="s">
        <v>94</v>
      </c>
      <c r="AN384" s="26" t="n">
        <f aca="false">IFERROR(E384*(1+IF(AM384="Apartment",Data_Summary!$C$3,0)),"")</f>
        <v>4.54545454545455</v>
      </c>
      <c r="AO384" s="4" t="n">
        <v>46195</v>
      </c>
    </row>
    <row r="385" customFormat="false" ht="15" hidden="false" customHeight="false" outlineLevel="0" collapsed="false">
      <c r="A385" s="0" t="n">
        <f aca="false">IF(AND(ISNUMBER(B385),B385&gt;0,ISNUMBER(AB385),AB385&gt;0,J385&gt;=Data_Summary!$C$1),1,0)</f>
        <v>1</v>
      </c>
      <c r="B385" s="30" t="n">
        <v>799</v>
      </c>
      <c r="C385" s="5" t="n">
        <f aca="false">IF(ISNUMBER(AB385),AB385,"")</f>
        <v>3400</v>
      </c>
      <c r="D385" s="0" t="n">
        <f aca="false">IF(ISNUMBER(C385),C385-U385*Data_Summary!$C$2,"")</f>
        <v>3400</v>
      </c>
      <c r="E385" s="31" t="n">
        <f aca="false">IFERROR(C385/B385,"")</f>
        <v>4.25531914893617</v>
      </c>
      <c r="F385" s="26" t="n">
        <f aca="false">IFERROR(D385/B385,"")</f>
        <v>4.25531914893617</v>
      </c>
      <c r="G385" s="0" t="str">
        <f aca="false">Q385</f>
        <v>2</v>
      </c>
      <c r="H385" s="0" t="str">
        <f aca="false">IFERROR(LEFT(G385,1),"")</f>
        <v>2</v>
      </c>
      <c r="I385" s="0" t="n">
        <f aca="false">IF(LEN(G385)&gt;1,1,0)</f>
        <v>0</v>
      </c>
      <c r="J385" s="4" t="n">
        <v>45946</v>
      </c>
      <c r="K385" s="0" t="s">
        <v>11</v>
      </c>
      <c r="L385" s="0" t="s">
        <v>95</v>
      </c>
      <c r="M385" s="0" t="s">
        <v>226</v>
      </c>
      <c r="N385" s="0" t="s">
        <v>97</v>
      </c>
      <c r="O385" s="0" t="s">
        <v>1491</v>
      </c>
      <c r="Q385" s="0" t="s">
        <v>251</v>
      </c>
      <c r="R385" s="0" t="n">
        <v>2</v>
      </c>
      <c r="S385" s="5" t="n">
        <v>799</v>
      </c>
      <c r="T385" s="0" t="s">
        <v>252</v>
      </c>
      <c r="U385" s="0" t="n">
        <v>0</v>
      </c>
      <c r="V385" s="0" t="s">
        <v>230</v>
      </c>
      <c r="W385" s="0" t="s">
        <v>244</v>
      </c>
      <c r="X385" s="0" t="s">
        <v>232</v>
      </c>
      <c r="Y385" s="0" t="s">
        <v>233</v>
      </c>
      <c r="Z385" s="0" t="s">
        <v>1550</v>
      </c>
      <c r="AA385" s="0" t="s">
        <v>235</v>
      </c>
      <c r="AB385" s="32" t="n">
        <v>3400</v>
      </c>
      <c r="AC385" s="32" t="n">
        <v>3400</v>
      </c>
      <c r="AD385" s="26" t="n">
        <f aca="false">IFERROR(AB385/B385,"")</f>
        <v>4.25531914893617</v>
      </c>
      <c r="AE385" s="26" t="n">
        <f aca="false">IFERROR(AC385/B385,"")</f>
        <v>4.25531914893617</v>
      </c>
      <c r="AF385" s="0" t="s">
        <v>236</v>
      </c>
      <c r="AG385" s="0" t="s">
        <v>236</v>
      </c>
      <c r="AH385" s="0" t="s">
        <v>236</v>
      </c>
      <c r="AI385" s="0" t="s">
        <v>1978</v>
      </c>
      <c r="AJ385" s="0" t="s">
        <v>1979</v>
      </c>
      <c r="AK385" s="0" t="s">
        <v>1980</v>
      </c>
      <c r="AL385" s="0" t="s">
        <v>1981</v>
      </c>
      <c r="AM385" s="0" t="s">
        <v>94</v>
      </c>
      <c r="AN385" s="26" t="n">
        <f aca="false">IFERROR(E385*(1+IF(AM385="Apartment",Data_Summary!$C$3,0)),"")</f>
        <v>4.25531914893617</v>
      </c>
      <c r="AO385" s="4" t="n">
        <v>46195</v>
      </c>
    </row>
    <row r="386" customFormat="false" ht="15" hidden="false" customHeight="false" outlineLevel="0" collapsed="false">
      <c r="A386" s="0" t="n">
        <f aca="false">IF(AND(ISNUMBER(B386),B386&gt;0,ISNUMBER(AB386),AB386&gt;0,J386&gt;=Data_Summary!$C$1),1,0)</f>
        <v>1</v>
      </c>
      <c r="B386" s="30" t="n">
        <v>667</v>
      </c>
      <c r="C386" s="5" t="n">
        <f aca="false">IF(ISNUMBER(AB386),AB386,"")</f>
        <v>3000</v>
      </c>
      <c r="D386" s="0" t="n">
        <f aca="false">IF(ISNUMBER(C386),C386-U386*Data_Summary!$C$2,"")</f>
        <v>3000</v>
      </c>
      <c r="E386" s="31" t="n">
        <f aca="false">IFERROR(C386/B386,"")</f>
        <v>4.49775112443778</v>
      </c>
      <c r="F386" s="26" t="n">
        <f aca="false">IFERROR(D386/B386,"")</f>
        <v>4.49775112443778</v>
      </c>
      <c r="G386" s="0" t="str">
        <f aca="false">Q386</f>
        <v>2</v>
      </c>
      <c r="H386" s="0" t="str">
        <f aca="false">IFERROR(LEFT(G386,1),"")</f>
        <v>2</v>
      </c>
      <c r="I386" s="0" t="n">
        <f aca="false">IF(LEN(G386)&gt;1,1,0)</f>
        <v>0</v>
      </c>
      <c r="J386" s="4" t="n">
        <v>45944</v>
      </c>
      <c r="K386" s="0" t="s">
        <v>11</v>
      </c>
      <c r="L386" s="0" t="s">
        <v>95</v>
      </c>
      <c r="M386" s="0" t="s">
        <v>226</v>
      </c>
      <c r="N386" s="0" t="s">
        <v>97</v>
      </c>
      <c r="O386" s="0" t="s">
        <v>1982</v>
      </c>
      <c r="Q386" s="0" t="s">
        <v>251</v>
      </c>
      <c r="R386" s="0" t="n">
        <v>2</v>
      </c>
      <c r="S386" s="5" t="n">
        <v>667</v>
      </c>
      <c r="T386" s="0" t="s">
        <v>271</v>
      </c>
      <c r="U386" s="0" t="n">
        <v>0</v>
      </c>
      <c r="V386" s="0" t="s">
        <v>230</v>
      </c>
      <c r="W386" s="0" t="s">
        <v>244</v>
      </c>
      <c r="Y386" s="0" t="s">
        <v>278</v>
      </c>
      <c r="Z386" s="0" t="s">
        <v>1550</v>
      </c>
      <c r="AA386" s="0" t="s">
        <v>235</v>
      </c>
      <c r="AB386" s="32" t="n">
        <v>3000</v>
      </c>
      <c r="AC386" s="32" t="n">
        <v>3000</v>
      </c>
      <c r="AD386" s="26" t="n">
        <f aca="false">IFERROR(AB386/B386,"")</f>
        <v>4.49775112443778</v>
      </c>
      <c r="AE386" s="26" t="n">
        <f aca="false">IFERROR(AC386/B386,"")</f>
        <v>4.49775112443778</v>
      </c>
      <c r="AF386" s="0" t="s">
        <v>236</v>
      </c>
      <c r="AG386" s="0" t="s">
        <v>236</v>
      </c>
      <c r="AH386" s="0" t="s">
        <v>236</v>
      </c>
      <c r="AI386" s="0" t="s">
        <v>1983</v>
      </c>
      <c r="AJ386" s="0" t="s">
        <v>1984</v>
      </c>
      <c r="AK386" s="0" t="s">
        <v>1985</v>
      </c>
      <c r="AL386" s="0" t="s">
        <v>1986</v>
      </c>
      <c r="AM386" s="0" t="s">
        <v>94</v>
      </c>
      <c r="AN386" s="26" t="n">
        <f aca="false">IFERROR(E386*(1+IF(AM386="Apartment",Data_Summary!$C$3,0)),"")</f>
        <v>4.49775112443778</v>
      </c>
      <c r="AO386" s="4" t="n">
        <v>46195</v>
      </c>
    </row>
    <row r="387" customFormat="false" ht="15" hidden="false" customHeight="false" outlineLevel="0" collapsed="false">
      <c r="A387" s="0" t="n">
        <f aca="false">IF(AND(ISNUMBER(B387),B387&gt;0,ISNUMBER(AB387),AB387&gt;0,J387&gt;=Data_Summary!$C$1),1,0)</f>
        <v>1</v>
      </c>
      <c r="B387" s="30" t="n">
        <v>689</v>
      </c>
      <c r="C387" s="5" t="n">
        <f aca="false">IF(ISNUMBER(AB387),AB387,"")</f>
        <v>3175</v>
      </c>
      <c r="D387" s="0" t="n">
        <f aca="false">IF(ISNUMBER(C387),C387-U387*Data_Summary!$C$2,"")</f>
        <v>3175</v>
      </c>
      <c r="E387" s="31" t="n">
        <f aca="false">IFERROR(C387/B387,"")</f>
        <v>4.60812772133527</v>
      </c>
      <c r="F387" s="26" t="n">
        <f aca="false">IFERROR(D387/B387,"")</f>
        <v>4.60812772133527</v>
      </c>
      <c r="G387" s="0" t="str">
        <f aca="false">Q387</f>
        <v>2</v>
      </c>
      <c r="H387" s="0" t="str">
        <f aca="false">IFERROR(LEFT(G387,1),"")</f>
        <v>2</v>
      </c>
      <c r="I387" s="0" t="n">
        <f aca="false">IF(LEN(G387)&gt;1,1,0)</f>
        <v>0</v>
      </c>
      <c r="J387" s="4" t="n">
        <v>45944</v>
      </c>
      <c r="K387" s="0" t="s">
        <v>11</v>
      </c>
      <c r="L387" s="0" t="s">
        <v>95</v>
      </c>
      <c r="M387" s="0" t="s">
        <v>226</v>
      </c>
      <c r="N387" s="0" t="s">
        <v>97</v>
      </c>
      <c r="O387" s="0" t="s">
        <v>1987</v>
      </c>
      <c r="Q387" s="0" t="s">
        <v>251</v>
      </c>
      <c r="R387" s="0" t="n">
        <v>2</v>
      </c>
      <c r="S387" s="5" t="n">
        <v>689</v>
      </c>
      <c r="T387" s="0" t="s">
        <v>271</v>
      </c>
      <c r="U387" s="0" t="n">
        <v>0</v>
      </c>
      <c r="V387" s="0" t="s">
        <v>230</v>
      </c>
      <c r="W387" s="0" t="s">
        <v>244</v>
      </c>
      <c r="Y387" s="0" t="s">
        <v>272</v>
      </c>
      <c r="Z387" s="0" t="s">
        <v>1550</v>
      </c>
      <c r="AA387" s="0" t="s">
        <v>235</v>
      </c>
      <c r="AB387" s="32" t="n">
        <v>3175</v>
      </c>
      <c r="AC387" s="32" t="n">
        <v>3175</v>
      </c>
      <c r="AD387" s="26" t="n">
        <f aca="false">IFERROR(AB387/B387,"")</f>
        <v>4.60812772133527</v>
      </c>
      <c r="AE387" s="26" t="n">
        <f aca="false">IFERROR(AC387/B387,"")</f>
        <v>4.60812772133527</v>
      </c>
      <c r="AF387" s="0" t="s">
        <v>236</v>
      </c>
      <c r="AG387" s="0" t="s">
        <v>236</v>
      </c>
      <c r="AH387" s="0" t="s">
        <v>236</v>
      </c>
      <c r="AI387" s="0" t="s">
        <v>1983</v>
      </c>
      <c r="AJ387" s="0" t="s">
        <v>1988</v>
      </c>
      <c r="AK387" s="0" t="s">
        <v>1989</v>
      </c>
      <c r="AL387" s="0" t="s">
        <v>1990</v>
      </c>
      <c r="AM387" s="0" t="s">
        <v>94</v>
      </c>
      <c r="AN387" s="26" t="n">
        <f aca="false">IFERROR(E387*(1+IF(AM387="Apartment",Data_Summary!$C$3,0)),"")</f>
        <v>4.60812772133527</v>
      </c>
      <c r="AO387" s="4" t="n">
        <v>46195</v>
      </c>
    </row>
    <row r="388" customFormat="false" ht="15" hidden="false" customHeight="false" outlineLevel="0" collapsed="false">
      <c r="A388" s="0" t="n">
        <f aca="false">IF(AND(ISNUMBER(B388),B388&gt;0,ISNUMBER(AB388),AB388&gt;0,J388&gt;=Data_Summary!$C$1),1,0)</f>
        <v>1</v>
      </c>
      <c r="B388" s="33" t="n">
        <v>864</v>
      </c>
      <c r="C388" s="5" t="n">
        <f aca="false">IF(ISNUMBER(AB388),AB388,"")</f>
        <v>4000</v>
      </c>
      <c r="D388" s="0" t="n">
        <f aca="false">IF(ISNUMBER(C388),C388-U388*Data_Summary!$C$2,"")</f>
        <v>3850</v>
      </c>
      <c r="E388" s="34" t="n">
        <f aca="false">IFERROR(C388/B388,"")</f>
        <v>4.62962962962963</v>
      </c>
      <c r="F388" s="26" t="n">
        <f aca="false">IFERROR(D388/B388,"")</f>
        <v>4.45601851851852</v>
      </c>
      <c r="G388" s="0" t="str">
        <f aca="false">Q388</f>
        <v>3</v>
      </c>
      <c r="H388" s="0" t="str">
        <f aca="false">IFERROR(LEFT(G388,1),"")</f>
        <v>3</v>
      </c>
      <c r="I388" s="0" t="n">
        <f aca="false">IF(LEN(G388)&gt;1,1,0)</f>
        <v>0</v>
      </c>
      <c r="J388" s="4" t="n">
        <v>45939</v>
      </c>
      <c r="K388" s="0" t="s">
        <v>11</v>
      </c>
      <c r="L388" s="0" t="s">
        <v>95</v>
      </c>
      <c r="M388" s="0" t="s">
        <v>226</v>
      </c>
      <c r="N388" s="0" t="s">
        <v>97</v>
      </c>
      <c r="O388" s="0" t="s">
        <v>1245</v>
      </c>
      <c r="Q388" s="0" t="s">
        <v>228</v>
      </c>
      <c r="R388" s="0" t="n">
        <v>2</v>
      </c>
      <c r="S388" s="5" t="n">
        <v>864</v>
      </c>
      <c r="T388" s="0" t="s">
        <v>265</v>
      </c>
      <c r="U388" s="0" t="n">
        <v>1</v>
      </c>
      <c r="V388" s="0" t="s">
        <v>230</v>
      </c>
      <c r="W388" s="0" t="s">
        <v>244</v>
      </c>
      <c r="X388" s="0" t="s">
        <v>232</v>
      </c>
      <c r="Y388" s="0" t="s">
        <v>278</v>
      </c>
      <c r="Z388" s="0" t="s">
        <v>1550</v>
      </c>
      <c r="AA388" s="0" t="s">
        <v>235</v>
      </c>
      <c r="AB388" s="32" t="n">
        <v>4000</v>
      </c>
      <c r="AC388" s="32" t="n">
        <v>4100</v>
      </c>
      <c r="AD388" s="26" t="n">
        <f aca="false">IFERROR(AB388/B388,"")</f>
        <v>4.62962962962963</v>
      </c>
      <c r="AE388" s="26" t="n">
        <f aca="false">IFERROR(AC388/B388,"")</f>
        <v>4.74537037037037</v>
      </c>
      <c r="AF388" s="0" t="s">
        <v>236</v>
      </c>
      <c r="AG388" s="0" t="s">
        <v>236</v>
      </c>
      <c r="AH388" s="0" t="s">
        <v>236</v>
      </c>
      <c r="AI388" s="0" t="s">
        <v>1991</v>
      </c>
      <c r="AJ388" s="0" t="s">
        <v>1992</v>
      </c>
      <c r="AK388" s="0" t="s">
        <v>1993</v>
      </c>
      <c r="AL388" s="0" t="s">
        <v>1994</v>
      </c>
      <c r="AM388" s="0" t="s">
        <v>94</v>
      </c>
      <c r="AN388" s="26" t="n">
        <f aca="false">IFERROR(E388*(1+IF(AM388="Apartment",Data_Summary!$C$3,0)),"")</f>
        <v>4.62962962962963</v>
      </c>
      <c r="AO388" s="4" t="n">
        <v>46195</v>
      </c>
    </row>
    <row r="389" customFormat="false" ht="15" hidden="false" customHeight="false" outlineLevel="0" collapsed="false">
      <c r="A389" s="0" t="n">
        <f aca="false">IF(AND(ISNUMBER(B389),B389&gt;0,ISNUMBER(AB389),AB389&gt;0,J389&gt;=Data_Summary!$C$1),1,0)</f>
        <v>1</v>
      </c>
      <c r="B389" s="33" t="n">
        <v>748</v>
      </c>
      <c r="C389" s="5" t="n">
        <f aca="false">IF(ISNUMBER(AB389),AB389,"")</f>
        <v>3400</v>
      </c>
      <c r="D389" s="0" t="n">
        <f aca="false">IF(ISNUMBER(C389),C389-U389*Data_Summary!$C$2,"")</f>
        <v>3400</v>
      </c>
      <c r="E389" s="34" t="n">
        <f aca="false">IFERROR(C389/B389,"")</f>
        <v>4.54545454545455</v>
      </c>
      <c r="F389" s="26" t="n">
        <f aca="false">IFERROR(D389/B389,"")</f>
        <v>4.54545454545455</v>
      </c>
      <c r="G389" s="0" t="str">
        <f aca="false">Q389</f>
        <v>2</v>
      </c>
      <c r="H389" s="0" t="str">
        <f aca="false">IFERROR(LEFT(G389,1),"")</f>
        <v>2</v>
      </c>
      <c r="I389" s="0" t="n">
        <f aca="false">IF(LEN(G389)&gt;1,1,0)</f>
        <v>0</v>
      </c>
      <c r="J389" s="4" t="n">
        <v>45936</v>
      </c>
      <c r="K389" s="0" t="s">
        <v>11</v>
      </c>
      <c r="L389" s="0" t="s">
        <v>95</v>
      </c>
      <c r="M389" s="0" t="s">
        <v>226</v>
      </c>
      <c r="N389" s="0" t="s">
        <v>97</v>
      </c>
      <c r="O389" s="0" t="s">
        <v>1995</v>
      </c>
      <c r="Q389" s="0" t="s">
        <v>251</v>
      </c>
      <c r="R389" s="0" t="n">
        <v>2</v>
      </c>
      <c r="S389" s="5" t="n">
        <v>748</v>
      </c>
      <c r="T389" s="0" t="s">
        <v>252</v>
      </c>
      <c r="U389" s="0" t="n">
        <v>0</v>
      </c>
      <c r="V389" s="0" t="s">
        <v>230</v>
      </c>
      <c r="W389" s="0" t="s">
        <v>244</v>
      </c>
      <c r="Y389" s="0" t="s">
        <v>278</v>
      </c>
      <c r="Z389" s="0" t="s">
        <v>1550</v>
      </c>
      <c r="AA389" s="0" t="s">
        <v>235</v>
      </c>
      <c r="AB389" s="32" t="n">
        <v>3400</v>
      </c>
      <c r="AC389" s="32" t="n">
        <v>3450</v>
      </c>
      <c r="AD389" s="26" t="n">
        <f aca="false">IFERROR(AB389/B389,"")</f>
        <v>4.54545454545455</v>
      </c>
      <c r="AE389" s="26" t="n">
        <f aca="false">IFERROR(AC389/B389,"")</f>
        <v>4.61229946524064</v>
      </c>
      <c r="AF389" s="0" t="s">
        <v>230</v>
      </c>
      <c r="AG389" s="0" t="s">
        <v>236</v>
      </c>
      <c r="AH389" s="0" t="s">
        <v>236</v>
      </c>
      <c r="AI389" s="0" t="s">
        <v>1996</v>
      </c>
      <c r="AJ389" s="0" t="s">
        <v>1997</v>
      </c>
      <c r="AK389" s="0" t="s">
        <v>1998</v>
      </c>
      <c r="AL389" s="0" t="s">
        <v>1999</v>
      </c>
      <c r="AM389" s="0" t="s">
        <v>94</v>
      </c>
      <c r="AN389" s="26" t="n">
        <f aca="false">IFERROR(E389*(1+IF(AM389="Apartment",Data_Summary!$C$3,0)),"")</f>
        <v>4.54545454545455</v>
      </c>
      <c r="AO389" s="4" t="n">
        <v>46195</v>
      </c>
    </row>
    <row r="390" customFormat="false" ht="15" hidden="false" customHeight="false" outlineLevel="0" collapsed="false">
      <c r="A390" s="0" t="n">
        <f aca="false">IF(AND(ISNUMBER(B390),B390&gt;0,ISNUMBER(AB390),AB390&gt;0,J390&gt;=Data_Summary!$C$1),1,0)</f>
        <v>1</v>
      </c>
      <c r="B390" s="33" t="n">
        <v>723</v>
      </c>
      <c r="C390" s="5" t="n">
        <f aca="false">IF(ISNUMBER(AB390),AB390,"")</f>
        <v>2960</v>
      </c>
      <c r="D390" s="0" t="n">
        <f aca="false">IF(ISNUMBER(C390),C390-U390*Data_Summary!$C$2,"")</f>
        <v>2960</v>
      </c>
      <c r="E390" s="34" t="n">
        <f aca="false">IFERROR(C390/B390,"")</f>
        <v>4.09405255878285</v>
      </c>
      <c r="F390" s="26" t="n">
        <f aca="false">IFERROR(D390/B390,"")</f>
        <v>4.09405255878285</v>
      </c>
      <c r="G390" s="0" t="str">
        <f aca="false">Q390</f>
        <v>2</v>
      </c>
      <c r="H390" s="0" t="str">
        <f aca="false">IFERROR(LEFT(G390,1),"")</f>
        <v>2</v>
      </c>
      <c r="I390" s="0" t="n">
        <f aca="false">IF(LEN(G390)&gt;1,1,0)</f>
        <v>0</v>
      </c>
      <c r="J390" s="4" t="n">
        <v>45926</v>
      </c>
      <c r="K390" s="0" t="s">
        <v>11</v>
      </c>
      <c r="L390" s="0" t="s">
        <v>95</v>
      </c>
      <c r="M390" s="0" t="s">
        <v>226</v>
      </c>
      <c r="N390" s="0" t="s">
        <v>97</v>
      </c>
      <c r="O390" s="0" t="s">
        <v>642</v>
      </c>
      <c r="Q390" s="0" t="s">
        <v>251</v>
      </c>
      <c r="R390" s="0" t="n">
        <v>2</v>
      </c>
      <c r="S390" s="5" t="n">
        <v>723</v>
      </c>
      <c r="T390" s="0" t="s">
        <v>252</v>
      </c>
      <c r="U390" s="0" t="n">
        <v>0</v>
      </c>
      <c r="V390" s="0" t="s">
        <v>230</v>
      </c>
      <c r="W390" s="0" t="s">
        <v>244</v>
      </c>
      <c r="Y390" s="0" t="s">
        <v>272</v>
      </c>
      <c r="Z390" s="0" t="s">
        <v>1550</v>
      </c>
      <c r="AA390" s="0" t="s">
        <v>235</v>
      </c>
      <c r="AB390" s="32" t="n">
        <v>2960</v>
      </c>
      <c r="AC390" s="32" t="n">
        <v>2960</v>
      </c>
      <c r="AD390" s="26" t="n">
        <f aca="false">IFERROR(AB390/B390,"")</f>
        <v>4.09405255878285</v>
      </c>
      <c r="AE390" s="26" t="n">
        <f aca="false">IFERROR(AC390/B390,"")</f>
        <v>4.09405255878285</v>
      </c>
      <c r="AF390" s="0" t="s">
        <v>230</v>
      </c>
      <c r="AG390" s="0" t="s">
        <v>236</v>
      </c>
      <c r="AH390" s="0" t="s">
        <v>236</v>
      </c>
      <c r="AI390" s="0" t="s">
        <v>858</v>
      </c>
      <c r="AJ390" s="0" t="s">
        <v>2000</v>
      </c>
      <c r="AK390" s="0" t="s">
        <v>2001</v>
      </c>
      <c r="AL390" s="0" t="s">
        <v>2002</v>
      </c>
      <c r="AM390" s="0" t="s">
        <v>94</v>
      </c>
      <c r="AN390" s="26" t="n">
        <f aca="false">IFERROR(E390*(1+IF(AM390="Apartment",Data_Summary!$C$3,0)),"")</f>
        <v>4.09405255878285</v>
      </c>
      <c r="AO390" s="4" t="n">
        <v>46195</v>
      </c>
    </row>
    <row r="391" customFormat="false" ht="15" hidden="false" customHeight="false" outlineLevel="0" collapsed="false">
      <c r="A391" s="0" t="n">
        <f aca="false">IF(AND(ISNUMBER(B391),B391&gt;0,ISNUMBER(AB391),AB391&gt;0,J391&gt;=Data_Summary!$C$1),1,0)</f>
        <v>1</v>
      </c>
      <c r="B391" s="30" t="n">
        <v>692</v>
      </c>
      <c r="C391" s="5" t="n">
        <f aca="false">IF(ISNUMBER(AB391),AB391,"")</f>
        <v>3200</v>
      </c>
      <c r="D391" s="0" t="n">
        <f aca="false">IF(ISNUMBER(C391),C391-U391*Data_Summary!$C$2,"")</f>
        <v>3200</v>
      </c>
      <c r="E391" s="31" t="n">
        <f aca="false">IFERROR(C391/B391,"")</f>
        <v>4.6242774566474</v>
      </c>
      <c r="F391" s="26" t="n">
        <f aca="false">IFERROR(D391/B391,"")</f>
        <v>4.6242774566474</v>
      </c>
      <c r="G391" s="0" t="str">
        <f aca="false">Q391</f>
        <v>2</v>
      </c>
      <c r="H391" s="0" t="str">
        <f aca="false">IFERROR(LEFT(G391,1),"")</f>
        <v>2</v>
      </c>
      <c r="I391" s="0" t="n">
        <f aca="false">IF(LEN(G391)&gt;1,1,0)</f>
        <v>0</v>
      </c>
      <c r="J391" s="4" t="n">
        <v>45924</v>
      </c>
      <c r="K391" s="0" t="s">
        <v>11</v>
      </c>
      <c r="L391" s="0" t="s">
        <v>95</v>
      </c>
      <c r="M391" s="0" t="s">
        <v>226</v>
      </c>
      <c r="N391" s="0" t="s">
        <v>97</v>
      </c>
      <c r="O391" s="0" t="s">
        <v>2003</v>
      </c>
      <c r="Q391" s="0" t="s">
        <v>251</v>
      </c>
      <c r="R391" s="0" t="n">
        <v>2</v>
      </c>
      <c r="S391" s="5" t="n">
        <v>692</v>
      </c>
      <c r="T391" s="0" t="s">
        <v>271</v>
      </c>
      <c r="U391" s="0" t="n">
        <v>0</v>
      </c>
      <c r="V391" s="0" t="s">
        <v>230</v>
      </c>
      <c r="W391" s="0" t="s">
        <v>244</v>
      </c>
      <c r="Y391" s="0" t="s">
        <v>253</v>
      </c>
      <c r="Z391" s="0" t="s">
        <v>1550</v>
      </c>
      <c r="AA391" s="0" t="s">
        <v>235</v>
      </c>
      <c r="AB391" s="32" t="n">
        <v>3200</v>
      </c>
      <c r="AC391" s="32" t="n">
        <v>3300</v>
      </c>
      <c r="AD391" s="26" t="n">
        <f aca="false">IFERROR(AB391/B391,"")</f>
        <v>4.6242774566474</v>
      </c>
      <c r="AE391" s="26" t="n">
        <f aca="false">IFERROR(AC391/B391,"")</f>
        <v>4.76878612716763</v>
      </c>
      <c r="AF391" s="0" t="s">
        <v>236</v>
      </c>
      <c r="AG391" s="0" t="s">
        <v>236</v>
      </c>
      <c r="AH391" s="0" t="s">
        <v>236</v>
      </c>
      <c r="AI391" s="0" t="s">
        <v>2004</v>
      </c>
      <c r="AJ391" s="0" t="s">
        <v>2005</v>
      </c>
      <c r="AK391" s="0" t="s">
        <v>2006</v>
      </c>
      <c r="AL391" s="0" t="s">
        <v>2007</v>
      </c>
      <c r="AM391" s="0" t="s">
        <v>94</v>
      </c>
      <c r="AN391" s="26" t="n">
        <f aca="false">IFERROR(E391*(1+IF(AM391="Apartment",Data_Summary!$C$3,0)),"")</f>
        <v>4.6242774566474</v>
      </c>
      <c r="AO391" s="4" t="n">
        <v>46195</v>
      </c>
    </row>
    <row r="392" customFormat="false" ht="15" hidden="false" customHeight="false" outlineLevel="0" collapsed="false">
      <c r="A392" s="0" t="n">
        <f aca="false">IF(AND(ISNUMBER(B392),B392&gt;0,ISNUMBER(AB392),AB392&gt;0,J392&gt;=Data_Summary!$C$1),1,0)</f>
        <v>1</v>
      </c>
      <c r="B392" s="30" t="n">
        <v>814</v>
      </c>
      <c r="C392" s="5" t="n">
        <f aca="false">IF(ISNUMBER(AB392),AB392,"")</f>
        <v>3400</v>
      </c>
      <c r="D392" s="0" t="n">
        <f aca="false">IF(ISNUMBER(C392),C392-U392*Data_Summary!$C$2,"")</f>
        <v>3400</v>
      </c>
      <c r="E392" s="31" t="n">
        <f aca="false">IFERROR(C392/B392,"")</f>
        <v>4.17690417690418</v>
      </c>
      <c r="F392" s="26" t="n">
        <f aca="false">IFERROR(D392/B392,"")</f>
        <v>4.17690417690418</v>
      </c>
      <c r="G392" s="0" t="str">
        <f aca="false">Q392</f>
        <v>2+1</v>
      </c>
      <c r="H392" s="0" t="str">
        <f aca="false">IFERROR(LEFT(G392,1),"")</f>
        <v>2</v>
      </c>
      <c r="I392" s="0" t="n">
        <f aca="false">IF(LEN(G392)&gt;1,1,0)</f>
        <v>1</v>
      </c>
      <c r="J392" s="4" t="n">
        <v>45920</v>
      </c>
      <c r="K392" s="0" t="s">
        <v>11</v>
      </c>
      <c r="L392" s="0" t="s">
        <v>95</v>
      </c>
      <c r="M392" s="0" t="s">
        <v>226</v>
      </c>
      <c r="N392" s="0" t="s">
        <v>97</v>
      </c>
      <c r="O392" s="0" t="s">
        <v>2008</v>
      </c>
      <c r="Q392" s="0" t="s">
        <v>451</v>
      </c>
      <c r="R392" s="0" t="n">
        <v>2</v>
      </c>
      <c r="S392" s="5" t="n">
        <v>814</v>
      </c>
      <c r="T392" s="0" t="s">
        <v>229</v>
      </c>
      <c r="U392" s="0" t="n">
        <v>0</v>
      </c>
      <c r="V392" s="0" t="s">
        <v>230</v>
      </c>
      <c r="W392" s="0" t="s">
        <v>244</v>
      </c>
      <c r="Y392" s="0" t="s">
        <v>233</v>
      </c>
      <c r="Z392" s="0" t="s">
        <v>1550</v>
      </c>
      <c r="AA392" s="0" t="s">
        <v>235</v>
      </c>
      <c r="AB392" s="32" t="n">
        <v>3400</v>
      </c>
      <c r="AC392" s="32" t="n">
        <v>3400</v>
      </c>
      <c r="AD392" s="26" t="n">
        <f aca="false">IFERROR(AB392/B392,"")</f>
        <v>4.17690417690418</v>
      </c>
      <c r="AE392" s="26" t="n">
        <f aca="false">IFERROR(AC392/B392,"")</f>
        <v>4.17690417690418</v>
      </c>
      <c r="AF392" s="0" t="s">
        <v>236</v>
      </c>
      <c r="AG392" s="0" t="s">
        <v>236</v>
      </c>
      <c r="AH392" s="0" t="s">
        <v>236</v>
      </c>
      <c r="AI392" s="0" t="s">
        <v>2009</v>
      </c>
      <c r="AJ392" s="0" t="s">
        <v>2010</v>
      </c>
      <c r="AK392" s="0" t="s">
        <v>2011</v>
      </c>
      <c r="AL392" s="0" t="s">
        <v>2012</v>
      </c>
      <c r="AM392" s="0" t="s">
        <v>94</v>
      </c>
      <c r="AN392" s="26" t="n">
        <f aca="false">IFERROR(E392*(1+IF(AM392="Apartment",Data_Summary!$C$3,0)),"")</f>
        <v>4.17690417690418</v>
      </c>
      <c r="AO392" s="4" t="n">
        <v>46195</v>
      </c>
    </row>
    <row r="393" customFormat="false" ht="15" hidden="false" customHeight="false" outlineLevel="0" collapsed="false">
      <c r="A393" s="0" t="n">
        <f aca="false">IF(AND(ISNUMBER(B393),B393&gt;0,ISNUMBER(AB393),AB393&gt;0,J393&gt;=Data_Summary!$C$1),1,0)</f>
        <v>1</v>
      </c>
      <c r="B393" s="33" t="n">
        <v>799</v>
      </c>
      <c r="C393" s="5" t="n">
        <f aca="false">IF(ISNUMBER(AB393),AB393,"")</f>
        <v>3200</v>
      </c>
      <c r="D393" s="0" t="n">
        <f aca="false">IF(ISNUMBER(C393),C393-U393*Data_Summary!$C$2,"")</f>
        <v>3200</v>
      </c>
      <c r="E393" s="34" t="n">
        <f aca="false">IFERROR(C393/B393,"")</f>
        <v>4.00500625782228</v>
      </c>
      <c r="F393" s="26" t="n">
        <f aca="false">IFERROR(D393/B393,"")</f>
        <v>4.00500625782228</v>
      </c>
      <c r="G393" s="0" t="str">
        <f aca="false">Q393</f>
        <v>2+1</v>
      </c>
      <c r="H393" s="0" t="str">
        <f aca="false">IFERROR(LEFT(G393,1),"")</f>
        <v>2</v>
      </c>
      <c r="I393" s="0" t="n">
        <f aca="false">IF(LEN(G393)&gt;1,1,0)</f>
        <v>1</v>
      </c>
      <c r="J393" s="4" t="n">
        <v>45915</v>
      </c>
      <c r="K393" s="0" t="s">
        <v>11</v>
      </c>
      <c r="L393" s="0" t="s">
        <v>95</v>
      </c>
      <c r="M393" s="0" t="s">
        <v>226</v>
      </c>
      <c r="N393" s="0" t="s">
        <v>97</v>
      </c>
      <c r="O393" s="0" t="s">
        <v>2013</v>
      </c>
      <c r="Q393" s="0" t="s">
        <v>451</v>
      </c>
      <c r="R393" s="0" t="n">
        <v>2</v>
      </c>
      <c r="S393" s="5" t="n">
        <v>799</v>
      </c>
      <c r="T393" s="0" t="s">
        <v>229</v>
      </c>
      <c r="U393" s="0" t="n">
        <v>0</v>
      </c>
      <c r="V393" s="0" t="s">
        <v>230</v>
      </c>
      <c r="W393" s="0" t="s">
        <v>244</v>
      </c>
      <c r="X393" s="0" t="s">
        <v>232</v>
      </c>
      <c r="Y393" s="0" t="s">
        <v>233</v>
      </c>
      <c r="Z393" s="0" t="s">
        <v>1550</v>
      </c>
      <c r="AA393" s="0" t="s">
        <v>235</v>
      </c>
      <c r="AB393" s="32" t="n">
        <v>3200</v>
      </c>
      <c r="AC393" s="32" t="n">
        <v>3200</v>
      </c>
      <c r="AD393" s="26" t="n">
        <f aca="false">IFERROR(AB393/B393,"")</f>
        <v>4.00500625782228</v>
      </c>
      <c r="AE393" s="26" t="n">
        <f aca="false">IFERROR(AC393/B393,"")</f>
        <v>4.00500625782228</v>
      </c>
      <c r="AF393" s="0" t="s">
        <v>236</v>
      </c>
      <c r="AG393" s="0" t="s">
        <v>236</v>
      </c>
      <c r="AH393" s="0" t="s">
        <v>236</v>
      </c>
      <c r="AI393" s="0" t="s">
        <v>2014</v>
      </c>
      <c r="AJ393" s="0" t="s">
        <v>2015</v>
      </c>
      <c r="AK393" s="0" t="s">
        <v>2016</v>
      </c>
      <c r="AL393" s="0" t="s">
        <v>2017</v>
      </c>
      <c r="AM393" s="0" t="s">
        <v>94</v>
      </c>
      <c r="AN393" s="26" t="n">
        <f aca="false">IFERROR(E393*(1+IF(AM393="Apartment",Data_Summary!$C$3,0)),"")</f>
        <v>4.00500625782228</v>
      </c>
      <c r="AO393" s="4" t="n">
        <v>46195</v>
      </c>
    </row>
    <row r="394" customFormat="false" ht="15" hidden="false" customHeight="false" outlineLevel="0" collapsed="false">
      <c r="A394" s="0" t="n">
        <f aca="false">IF(AND(ISNUMBER(B394),B394&gt;0,ISNUMBER(AB394),AB394&gt;0,J394&gt;=Data_Summary!$C$1),1,0)</f>
        <v>1</v>
      </c>
      <c r="B394" s="30" t="n">
        <v>712</v>
      </c>
      <c r="C394" s="5" t="n">
        <f aca="false">IF(ISNUMBER(AB394),AB394,"")</f>
        <v>3050</v>
      </c>
      <c r="D394" s="0" t="n">
        <f aca="false">IF(ISNUMBER(C394),C394-U394*Data_Summary!$C$2,"")</f>
        <v>3050</v>
      </c>
      <c r="E394" s="31" t="n">
        <f aca="false">IFERROR(C394/B394,"")</f>
        <v>4.28370786516854</v>
      </c>
      <c r="F394" s="26" t="n">
        <f aca="false">IFERROR(D394/B394,"")</f>
        <v>4.28370786516854</v>
      </c>
      <c r="G394" s="0" t="str">
        <f aca="false">Q394</f>
        <v>2</v>
      </c>
      <c r="H394" s="0" t="str">
        <f aca="false">IFERROR(LEFT(G394,1),"")</f>
        <v>2</v>
      </c>
      <c r="I394" s="0" t="n">
        <f aca="false">IF(LEN(G394)&gt;1,1,0)</f>
        <v>0</v>
      </c>
      <c r="J394" s="4" t="n">
        <v>45913</v>
      </c>
      <c r="K394" s="0" t="s">
        <v>11</v>
      </c>
      <c r="L394" s="0" t="s">
        <v>95</v>
      </c>
      <c r="M394" s="0" t="s">
        <v>226</v>
      </c>
      <c r="N394" s="0" t="s">
        <v>97</v>
      </c>
      <c r="O394" s="0" t="s">
        <v>2018</v>
      </c>
      <c r="Q394" s="0" t="s">
        <v>251</v>
      </c>
      <c r="R394" s="0" t="n">
        <v>2</v>
      </c>
      <c r="S394" s="5" t="n">
        <v>712</v>
      </c>
      <c r="T394" s="0" t="s">
        <v>252</v>
      </c>
      <c r="U394" s="0" t="n">
        <v>0</v>
      </c>
      <c r="V394" s="0" t="s">
        <v>230</v>
      </c>
      <c r="W394" s="0" t="s">
        <v>244</v>
      </c>
      <c r="Y394" s="0" t="s">
        <v>253</v>
      </c>
      <c r="Z394" s="0" t="s">
        <v>1550</v>
      </c>
      <c r="AA394" s="0" t="s">
        <v>235</v>
      </c>
      <c r="AB394" s="32" t="n">
        <v>3050</v>
      </c>
      <c r="AC394" s="32" t="n">
        <v>3100</v>
      </c>
      <c r="AD394" s="26" t="n">
        <f aca="false">IFERROR(AB394/B394,"")</f>
        <v>4.28370786516854</v>
      </c>
      <c r="AE394" s="26" t="n">
        <f aca="false">IFERROR(AC394/B394,"")</f>
        <v>4.35393258426966</v>
      </c>
      <c r="AF394" s="0" t="s">
        <v>236</v>
      </c>
      <c r="AG394" s="0" t="s">
        <v>236</v>
      </c>
      <c r="AH394" s="0" t="s">
        <v>236</v>
      </c>
      <c r="AI394" s="0" t="s">
        <v>2019</v>
      </c>
      <c r="AJ394" s="0" t="s">
        <v>2020</v>
      </c>
      <c r="AK394" s="0" t="s">
        <v>2021</v>
      </c>
      <c r="AL394" s="0" t="s">
        <v>2022</v>
      </c>
      <c r="AM394" s="0" t="s">
        <v>94</v>
      </c>
      <c r="AN394" s="26" t="n">
        <f aca="false">IFERROR(E394*(1+IF(AM394="Apartment",Data_Summary!$C$3,0)),"")</f>
        <v>4.28370786516854</v>
      </c>
      <c r="AO394" s="4" t="n">
        <v>46195</v>
      </c>
    </row>
    <row r="395" customFormat="false" ht="15" hidden="false" customHeight="false" outlineLevel="0" collapsed="false">
      <c r="A395" s="0" t="n">
        <f aca="false">IF(AND(ISNUMBER(B395),B395&gt;0,ISNUMBER(AB395),AB395&gt;0,J395&gt;=Data_Summary!$C$1),1,0)</f>
        <v>1</v>
      </c>
      <c r="B395" s="33" t="n">
        <v>776</v>
      </c>
      <c r="C395" s="5" t="n">
        <f aca="false">IF(ISNUMBER(AB395),AB395,"")</f>
        <v>3450</v>
      </c>
      <c r="D395" s="0" t="n">
        <f aca="false">IF(ISNUMBER(C395),C395-U395*Data_Summary!$C$2,"")</f>
        <v>3450</v>
      </c>
      <c r="E395" s="34" t="n">
        <f aca="false">IFERROR(C395/B395,"")</f>
        <v>4.44587628865979</v>
      </c>
      <c r="F395" s="26" t="n">
        <f aca="false">IFERROR(D395/B395,"")</f>
        <v>4.44587628865979</v>
      </c>
      <c r="G395" s="0" t="str">
        <f aca="false">Q395</f>
        <v>2+1</v>
      </c>
      <c r="H395" s="0" t="str">
        <f aca="false">IFERROR(LEFT(G395,1),"")</f>
        <v>2</v>
      </c>
      <c r="I395" s="0" t="n">
        <f aca="false">IF(LEN(G395)&gt;1,1,0)</f>
        <v>1</v>
      </c>
      <c r="J395" s="4" t="n">
        <v>45912</v>
      </c>
      <c r="K395" s="0" t="s">
        <v>11</v>
      </c>
      <c r="L395" s="0" t="s">
        <v>95</v>
      </c>
      <c r="M395" s="0" t="s">
        <v>226</v>
      </c>
      <c r="N395" s="0" t="s">
        <v>97</v>
      </c>
      <c r="O395" s="0" t="s">
        <v>2023</v>
      </c>
      <c r="Q395" s="0" t="s">
        <v>451</v>
      </c>
      <c r="R395" s="0" t="n">
        <v>2</v>
      </c>
      <c r="S395" s="5" t="n">
        <v>776</v>
      </c>
      <c r="T395" s="0" t="s">
        <v>252</v>
      </c>
      <c r="U395" s="0" t="n">
        <v>0</v>
      </c>
      <c r="V395" s="0" t="s">
        <v>230</v>
      </c>
      <c r="W395" s="0" t="s">
        <v>244</v>
      </c>
      <c r="X395" s="0" t="s">
        <v>232</v>
      </c>
      <c r="Y395" s="0" t="s">
        <v>297</v>
      </c>
      <c r="Z395" s="0" t="s">
        <v>1550</v>
      </c>
      <c r="AA395" s="0" t="s">
        <v>235</v>
      </c>
      <c r="AB395" s="32" t="n">
        <v>3450</v>
      </c>
      <c r="AC395" s="32" t="n">
        <v>3450</v>
      </c>
      <c r="AD395" s="26" t="n">
        <f aca="false">IFERROR(AB395/B395,"")</f>
        <v>4.44587628865979</v>
      </c>
      <c r="AE395" s="26" t="n">
        <f aca="false">IFERROR(AC395/B395,"")</f>
        <v>4.44587628865979</v>
      </c>
      <c r="AF395" s="0" t="s">
        <v>230</v>
      </c>
      <c r="AG395" s="0" t="s">
        <v>236</v>
      </c>
      <c r="AH395" s="0" t="s">
        <v>236</v>
      </c>
      <c r="AI395" s="0" t="s">
        <v>2024</v>
      </c>
      <c r="AJ395" s="0" t="s">
        <v>2025</v>
      </c>
      <c r="AK395" s="0" t="s">
        <v>2026</v>
      </c>
      <c r="AL395" s="0" t="s">
        <v>2027</v>
      </c>
      <c r="AM395" s="0" t="s">
        <v>94</v>
      </c>
      <c r="AN395" s="26" t="n">
        <f aca="false">IFERROR(E395*(1+IF(AM395="Apartment",Data_Summary!$C$3,0)),"")</f>
        <v>4.44587628865979</v>
      </c>
      <c r="AO395" s="4" t="n">
        <v>46195</v>
      </c>
    </row>
    <row r="396" customFormat="false" ht="15" hidden="false" customHeight="false" outlineLevel="0" collapsed="false">
      <c r="A396" s="0" t="n">
        <f aca="false">IF(AND(ISNUMBER(B396),B396&gt;0,ISNUMBER(AB396),AB396&gt;0,J396&gt;=Data_Summary!$C$1),1,0)</f>
        <v>1</v>
      </c>
      <c r="B396" s="30" t="n">
        <v>553</v>
      </c>
      <c r="C396" s="5" t="n">
        <f aca="false">IF(ISNUMBER(AB396),AB396,"")</f>
        <v>2600</v>
      </c>
      <c r="D396" s="0" t="n">
        <f aca="false">IF(ISNUMBER(C396),C396-U396*Data_Summary!$C$2,"")</f>
        <v>2600</v>
      </c>
      <c r="E396" s="31" t="n">
        <f aca="false">IFERROR(C396/B396,"")</f>
        <v>4.70162748643761</v>
      </c>
      <c r="F396" s="26" t="n">
        <f aca="false">IFERROR(D396/B396,"")</f>
        <v>4.70162748643761</v>
      </c>
      <c r="G396" s="0" t="str">
        <f aca="false">Q396</f>
        <v>1+1</v>
      </c>
      <c r="H396" s="0" t="str">
        <f aca="false">IFERROR(LEFT(G396,1),"")</f>
        <v>1</v>
      </c>
      <c r="I396" s="0" t="n">
        <f aca="false">IF(LEN(G396)&gt;1,1,0)</f>
        <v>1</v>
      </c>
      <c r="J396" s="4" t="n">
        <v>45897</v>
      </c>
      <c r="K396" s="0" t="s">
        <v>11</v>
      </c>
      <c r="L396" s="0" t="s">
        <v>95</v>
      </c>
      <c r="M396" s="0" t="s">
        <v>226</v>
      </c>
      <c r="N396" s="0" t="s">
        <v>97</v>
      </c>
      <c r="O396" s="0" t="s">
        <v>2028</v>
      </c>
      <c r="Q396" s="0" t="s">
        <v>270</v>
      </c>
      <c r="R396" s="0" t="n">
        <v>1</v>
      </c>
      <c r="S396" s="5" t="n">
        <v>553</v>
      </c>
      <c r="T396" s="0" t="s">
        <v>243</v>
      </c>
      <c r="U396" s="0" t="n">
        <v>0</v>
      </c>
      <c r="V396" s="0" t="s">
        <v>230</v>
      </c>
      <c r="W396" s="0" t="s">
        <v>244</v>
      </c>
      <c r="Y396" s="0" t="s">
        <v>278</v>
      </c>
      <c r="Z396" s="0" t="s">
        <v>1550</v>
      </c>
      <c r="AA396" s="0" t="s">
        <v>235</v>
      </c>
      <c r="AB396" s="32" t="n">
        <v>2600</v>
      </c>
      <c r="AC396" s="32" t="n">
        <v>2600</v>
      </c>
      <c r="AD396" s="26" t="n">
        <f aca="false">IFERROR(AB396/B396,"")</f>
        <v>4.70162748643761</v>
      </c>
      <c r="AE396" s="26" t="n">
        <f aca="false">IFERROR(AC396/B396,"")</f>
        <v>4.70162748643761</v>
      </c>
      <c r="AF396" s="0" t="s">
        <v>236</v>
      </c>
      <c r="AG396" s="0" t="s">
        <v>236</v>
      </c>
      <c r="AH396" s="0" t="s">
        <v>236</v>
      </c>
      <c r="AI396" s="0" t="s">
        <v>2029</v>
      </c>
      <c r="AJ396" s="0" t="s">
        <v>2030</v>
      </c>
      <c r="AK396" s="0" t="s">
        <v>2031</v>
      </c>
      <c r="AL396" s="0" t="s">
        <v>2032</v>
      </c>
      <c r="AM396" s="0" t="s">
        <v>94</v>
      </c>
      <c r="AN396" s="26" t="n">
        <f aca="false">IFERROR(E396*(1+IF(AM396="Apartment",Data_Summary!$C$3,0)),"")</f>
        <v>4.70162748643761</v>
      </c>
      <c r="AO396" s="4" t="n">
        <v>46195</v>
      </c>
    </row>
    <row r="397" customFormat="false" ht="15" hidden="false" customHeight="false" outlineLevel="0" collapsed="false">
      <c r="A397" s="0" t="n">
        <f aca="false">IF(AND(ISNUMBER(B397),B397&gt;0,ISNUMBER(AB397),AB397&gt;0,J397&gt;=Data_Summary!$C$1),1,0)</f>
        <v>1</v>
      </c>
      <c r="B397" s="30" t="n">
        <v>667</v>
      </c>
      <c r="C397" s="5" t="n">
        <f aca="false">IF(ISNUMBER(AB397),AB397,"")</f>
        <v>3200</v>
      </c>
      <c r="D397" s="0" t="n">
        <f aca="false">IF(ISNUMBER(C397),C397-U397*Data_Summary!$C$2,"")</f>
        <v>3200</v>
      </c>
      <c r="E397" s="31" t="n">
        <f aca="false">IFERROR(C397/B397,"")</f>
        <v>4.7976011994003</v>
      </c>
      <c r="F397" s="26" t="n">
        <f aca="false">IFERROR(D397/B397,"")</f>
        <v>4.7976011994003</v>
      </c>
      <c r="G397" s="0" t="str">
        <f aca="false">Q397</f>
        <v>2</v>
      </c>
      <c r="H397" s="0" t="str">
        <f aca="false">IFERROR(LEFT(G397,1),"")</f>
        <v>2</v>
      </c>
      <c r="I397" s="0" t="n">
        <f aca="false">IF(LEN(G397)&gt;1,1,0)</f>
        <v>0</v>
      </c>
      <c r="J397" s="4" t="n">
        <v>45895</v>
      </c>
      <c r="K397" s="0" t="s">
        <v>11</v>
      </c>
      <c r="L397" s="0" t="s">
        <v>95</v>
      </c>
      <c r="M397" s="0" t="s">
        <v>226</v>
      </c>
      <c r="N397" s="0" t="s">
        <v>97</v>
      </c>
      <c r="O397" s="0" t="s">
        <v>2033</v>
      </c>
      <c r="Q397" s="0" t="s">
        <v>251</v>
      </c>
      <c r="R397" s="0" t="n">
        <v>2</v>
      </c>
      <c r="S397" s="5" t="n">
        <v>667</v>
      </c>
      <c r="T397" s="0" t="s">
        <v>271</v>
      </c>
      <c r="U397" s="0" t="n">
        <v>0</v>
      </c>
      <c r="V397" s="0" t="s">
        <v>230</v>
      </c>
      <c r="W397" s="0" t="s">
        <v>244</v>
      </c>
      <c r="Y397" s="0" t="s">
        <v>278</v>
      </c>
      <c r="Z397" s="0" t="s">
        <v>1550</v>
      </c>
      <c r="AA397" s="0" t="s">
        <v>235</v>
      </c>
      <c r="AB397" s="32" t="n">
        <v>3200</v>
      </c>
      <c r="AC397" s="32" t="n">
        <v>3200</v>
      </c>
      <c r="AD397" s="26" t="n">
        <f aca="false">IFERROR(AB397/B397,"")</f>
        <v>4.7976011994003</v>
      </c>
      <c r="AE397" s="26" t="n">
        <f aca="false">IFERROR(AC397/B397,"")</f>
        <v>4.7976011994003</v>
      </c>
      <c r="AF397" s="0" t="s">
        <v>236</v>
      </c>
      <c r="AG397" s="0" t="s">
        <v>236</v>
      </c>
      <c r="AH397" s="0" t="s">
        <v>236</v>
      </c>
      <c r="AI397" s="0" t="s">
        <v>2034</v>
      </c>
      <c r="AJ397" s="0" t="s">
        <v>2035</v>
      </c>
      <c r="AK397" s="0" t="s">
        <v>2036</v>
      </c>
      <c r="AL397" s="0" t="s">
        <v>2037</v>
      </c>
      <c r="AM397" s="0" t="s">
        <v>94</v>
      </c>
      <c r="AN397" s="26" t="n">
        <f aca="false">IFERROR(E397*(1+IF(AM397="Apartment",Data_Summary!$C$3,0)),"")</f>
        <v>4.7976011994003</v>
      </c>
      <c r="AO397" s="4" t="n">
        <v>46195</v>
      </c>
    </row>
    <row r="398" customFormat="false" ht="15" hidden="false" customHeight="false" outlineLevel="0" collapsed="false">
      <c r="A398" s="0" t="n">
        <f aca="false">IF(AND(ISNUMBER(B398),B398&gt;0,ISNUMBER(AB398),AB398&gt;0,J398&gt;=Data_Summary!$C$1),1,0)</f>
        <v>1</v>
      </c>
      <c r="B398" s="33" t="n">
        <v>652</v>
      </c>
      <c r="C398" s="5" t="n">
        <f aca="false">IF(ISNUMBER(AB398),AB398,"")</f>
        <v>2799</v>
      </c>
      <c r="D398" s="0" t="n">
        <f aca="false">IF(ISNUMBER(C398),C398-U398*Data_Summary!$C$2,"")</f>
        <v>2799</v>
      </c>
      <c r="E398" s="34" t="n">
        <f aca="false">IFERROR(C398/B398,"")</f>
        <v>4.29294478527607</v>
      </c>
      <c r="F398" s="26" t="n">
        <f aca="false">IFERROR(D398/B398,"")</f>
        <v>4.29294478527607</v>
      </c>
      <c r="G398" s="0" t="str">
        <f aca="false">Q398</f>
        <v>2</v>
      </c>
      <c r="H398" s="0" t="str">
        <f aca="false">IFERROR(LEFT(G398,1),"")</f>
        <v>2</v>
      </c>
      <c r="I398" s="0" t="n">
        <f aca="false">IF(LEN(G398)&gt;1,1,0)</f>
        <v>0</v>
      </c>
      <c r="J398" s="4" t="n">
        <v>45892</v>
      </c>
      <c r="K398" s="0" t="s">
        <v>11</v>
      </c>
      <c r="L398" s="0" t="s">
        <v>95</v>
      </c>
      <c r="M398" s="0" t="s">
        <v>226</v>
      </c>
      <c r="N398" s="0" t="s">
        <v>97</v>
      </c>
      <c r="O398" s="0" t="s">
        <v>2038</v>
      </c>
      <c r="Q398" s="0" t="s">
        <v>251</v>
      </c>
      <c r="R398" s="0" t="n">
        <v>2</v>
      </c>
      <c r="S398" s="5" t="n">
        <v>652</v>
      </c>
      <c r="T398" s="0" t="s">
        <v>252</v>
      </c>
      <c r="U398" s="0" t="n">
        <v>0</v>
      </c>
      <c r="V398" s="0" t="s">
        <v>230</v>
      </c>
      <c r="W398" s="0" t="s">
        <v>244</v>
      </c>
      <c r="Y398" s="0" t="s">
        <v>272</v>
      </c>
      <c r="Z398" s="0" t="s">
        <v>1550</v>
      </c>
      <c r="AA398" s="0" t="s">
        <v>235</v>
      </c>
      <c r="AB398" s="32" t="n">
        <v>2799</v>
      </c>
      <c r="AC398" s="32" t="n">
        <v>2799</v>
      </c>
      <c r="AD398" s="26" t="n">
        <f aca="false">IFERROR(AB398/B398,"")</f>
        <v>4.29294478527607</v>
      </c>
      <c r="AE398" s="26" t="n">
        <f aca="false">IFERROR(AC398/B398,"")</f>
        <v>4.29294478527607</v>
      </c>
      <c r="AF398" s="0" t="s">
        <v>236</v>
      </c>
      <c r="AG398" s="0" t="s">
        <v>236</v>
      </c>
      <c r="AH398" s="0" t="s">
        <v>236</v>
      </c>
      <c r="AI398" s="0" t="s">
        <v>902</v>
      </c>
      <c r="AJ398" s="0" t="s">
        <v>2039</v>
      </c>
      <c r="AK398" s="0" t="s">
        <v>2040</v>
      </c>
      <c r="AL398" s="0" t="s">
        <v>2041</v>
      </c>
      <c r="AM398" s="0" t="s">
        <v>94</v>
      </c>
      <c r="AN398" s="26" t="n">
        <f aca="false">IFERROR(E398*(1+IF(AM398="Apartment",Data_Summary!$C$3,0)),"")</f>
        <v>4.29294478527607</v>
      </c>
      <c r="AO398" s="4" t="n">
        <v>46195</v>
      </c>
    </row>
    <row r="399" customFormat="false" ht="15" hidden="false" customHeight="false" outlineLevel="0" collapsed="false">
      <c r="A399" s="0" t="n">
        <f aca="false">IF(AND(ISNUMBER(B399),B399&gt;0,ISNUMBER(AB399),AB399&gt;0,J399&gt;=Data_Summary!$C$1),1,0)</f>
        <v>1</v>
      </c>
      <c r="B399" s="30" t="n">
        <v>416</v>
      </c>
      <c r="C399" s="5" t="n">
        <f aca="false">IF(ISNUMBER(AB399),AB399,"")</f>
        <v>2100</v>
      </c>
      <c r="D399" s="0" t="n">
        <f aca="false">IF(ISNUMBER(C399),C399-U399*Data_Summary!$C$2,"")</f>
        <v>2100</v>
      </c>
      <c r="E399" s="31" t="n">
        <f aca="false">IFERROR(C399/B399,"")</f>
        <v>5.04807692307692</v>
      </c>
      <c r="F399" s="26" t="n">
        <f aca="false">IFERROR(D399/B399,"")</f>
        <v>5.04807692307692</v>
      </c>
      <c r="G399" s="0" t="str">
        <f aca="false">Q399</f>
        <v>1</v>
      </c>
      <c r="H399" s="0" t="str">
        <f aca="false">IFERROR(LEFT(G399,1),"")</f>
        <v>1</v>
      </c>
      <c r="I399" s="0" t="n">
        <f aca="false">IF(LEN(G399)&gt;1,1,0)</f>
        <v>0</v>
      </c>
      <c r="J399" s="4" t="n">
        <v>45892</v>
      </c>
      <c r="K399" s="0" t="s">
        <v>11</v>
      </c>
      <c r="L399" s="0" t="s">
        <v>95</v>
      </c>
      <c r="M399" s="0" t="s">
        <v>226</v>
      </c>
      <c r="N399" s="0" t="s">
        <v>97</v>
      </c>
      <c r="O399" s="0" t="s">
        <v>1569</v>
      </c>
      <c r="Q399" s="0" t="s">
        <v>242</v>
      </c>
      <c r="R399" s="0" t="n">
        <v>1</v>
      </c>
      <c r="S399" s="5" t="n">
        <v>416</v>
      </c>
      <c r="T399" s="0" t="s">
        <v>303</v>
      </c>
      <c r="U399" s="0" t="n">
        <v>0</v>
      </c>
      <c r="V399" s="0" t="s">
        <v>230</v>
      </c>
      <c r="W399" s="0" t="s">
        <v>244</v>
      </c>
      <c r="Y399" s="0" t="s">
        <v>245</v>
      </c>
      <c r="Z399" s="0" t="s">
        <v>1550</v>
      </c>
      <c r="AA399" s="0" t="s">
        <v>235</v>
      </c>
      <c r="AB399" s="32" t="n">
        <v>2100</v>
      </c>
      <c r="AC399" s="32" t="n">
        <v>2150</v>
      </c>
      <c r="AD399" s="26" t="n">
        <f aca="false">IFERROR(AB399/B399,"")</f>
        <v>5.04807692307692</v>
      </c>
      <c r="AE399" s="26" t="n">
        <f aca="false">IFERROR(AC399/B399,"")</f>
        <v>5.16826923076923</v>
      </c>
      <c r="AF399" s="0" t="s">
        <v>236</v>
      </c>
      <c r="AG399" s="0" t="s">
        <v>236</v>
      </c>
      <c r="AH399" s="0" t="s">
        <v>236</v>
      </c>
      <c r="AI399" s="0" t="s">
        <v>902</v>
      </c>
      <c r="AJ399" s="0" t="s">
        <v>2042</v>
      </c>
      <c r="AK399" s="0" t="s">
        <v>2043</v>
      </c>
      <c r="AL399" s="0" t="s">
        <v>2044</v>
      </c>
      <c r="AM399" s="0" t="s">
        <v>94</v>
      </c>
      <c r="AN399" s="26" t="n">
        <f aca="false">IFERROR(E399*(1+IF(AM399="Apartment",Data_Summary!$C$3,0)),"")</f>
        <v>5.04807692307692</v>
      </c>
      <c r="AO399" s="4" t="n">
        <v>46195</v>
      </c>
    </row>
    <row r="400" customFormat="false" ht="15" hidden="false" customHeight="false" outlineLevel="0" collapsed="false">
      <c r="A400" s="0" t="n">
        <f aca="false">IF(AND(ISNUMBER(B400),B400&gt;0,ISNUMBER(AB400),AB400&gt;0,J400&gt;=Data_Summary!$C$1),1,0)</f>
        <v>1</v>
      </c>
      <c r="B400" s="33" t="n">
        <v>595</v>
      </c>
      <c r="C400" s="5" t="n">
        <f aca="false">IF(ISNUMBER(AB400),AB400,"")</f>
        <v>2650</v>
      </c>
      <c r="D400" s="0" t="n">
        <f aca="false">IF(ISNUMBER(C400),C400-U400*Data_Summary!$C$2,"")</f>
        <v>2650</v>
      </c>
      <c r="E400" s="34" t="n">
        <f aca="false">IFERROR(C400/B400,"")</f>
        <v>4.45378151260504</v>
      </c>
      <c r="F400" s="26" t="n">
        <f aca="false">IFERROR(D400/B400,"")</f>
        <v>4.45378151260504</v>
      </c>
      <c r="G400" s="0" t="str">
        <f aca="false">Q400</f>
        <v>1+1</v>
      </c>
      <c r="H400" s="0" t="str">
        <f aca="false">IFERROR(LEFT(G400,1),"")</f>
        <v>1</v>
      </c>
      <c r="I400" s="0" t="n">
        <f aca="false">IF(LEN(G400)&gt;1,1,0)</f>
        <v>1</v>
      </c>
      <c r="J400" s="4" t="n">
        <v>45892</v>
      </c>
      <c r="K400" s="0" t="s">
        <v>11</v>
      </c>
      <c r="L400" s="0" t="s">
        <v>95</v>
      </c>
      <c r="M400" s="0" t="s">
        <v>226</v>
      </c>
      <c r="N400" s="0" t="s">
        <v>97</v>
      </c>
      <c r="O400" s="0" t="s">
        <v>2045</v>
      </c>
      <c r="Q400" s="0" t="s">
        <v>270</v>
      </c>
      <c r="R400" s="0" t="n">
        <v>2</v>
      </c>
      <c r="S400" s="5" t="n">
        <v>595</v>
      </c>
      <c r="T400" s="0" t="s">
        <v>271</v>
      </c>
      <c r="U400" s="0" t="n">
        <v>0</v>
      </c>
      <c r="V400" s="0" t="s">
        <v>230</v>
      </c>
      <c r="W400" s="0" t="s">
        <v>244</v>
      </c>
      <c r="Y400" s="0" t="s">
        <v>253</v>
      </c>
      <c r="Z400" s="0" t="s">
        <v>1550</v>
      </c>
      <c r="AA400" s="0" t="s">
        <v>235</v>
      </c>
      <c r="AB400" s="32" t="n">
        <v>2650</v>
      </c>
      <c r="AC400" s="32" t="n">
        <v>2699</v>
      </c>
      <c r="AD400" s="26" t="n">
        <f aca="false">IFERROR(AB400/B400,"")</f>
        <v>4.45378151260504</v>
      </c>
      <c r="AE400" s="26" t="n">
        <f aca="false">IFERROR(AC400/B400,"")</f>
        <v>4.53613445378151</v>
      </c>
      <c r="AF400" s="0" t="s">
        <v>236</v>
      </c>
      <c r="AG400" s="0" t="s">
        <v>236</v>
      </c>
      <c r="AH400" s="0" t="s">
        <v>236</v>
      </c>
      <c r="AI400" s="0" t="s">
        <v>902</v>
      </c>
      <c r="AJ400" s="0" t="s">
        <v>2046</v>
      </c>
      <c r="AK400" s="0" t="s">
        <v>2047</v>
      </c>
      <c r="AL400" s="0" t="s">
        <v>2048</v>
      </c>
      <c r="AM400" s="0" t="s">
        <v>94</v>
      </c>
      <c r="AN400" s="26" t="n">
        <f aca="false">IFERROR(E400*(1+IF(AM400="Apartment",Data_Summary!$C$3,0)),"")</f>
        <v>4.45378151260504</v>
      </c>
      <c r="AO400" s="4" t="n">
        <v>46195</v>
      </c>
    </row>
    <row r="401" customFormat="false" ht="15" hidden="false" customHeight="false" outlineLevel="0" collapsed="false">
      <c r="A401" s="0" t="n">
        <f aca="false">IF(AND(ISNUMBER(B401),B401&gt;0,ISNUMBER(AB401),AB401&gt;0,J401&gt;=Data_Summary!$C$1),1,0)</f>
        <v>1</v>
      </c>
      <c r="B401" s="30" t="n">
        <v>1036</v>
      </c>
      <c r="C401" s="5" t="n">
        <f aca="false">IF(ISNUMBER(AB401),AB401,"")</f>
        <v>4900</v>
      </c>
      <c r="D401" s="0" t="n">
        <f aca="false">IF(ISNUMBER(C401),C401-U401*Data_Summary!$C$2,"")</f>
        <v>4750</v>
      </c>
      <c r="E401" s="31" t="n">
        <f aca="false">IFERROR(C401/B401,"")</f>
        <v>4.72972972972973</v>
      </c>
      <c r="F401" s="26" t="n">
        <f aca="false">IFERROR(D401/B401,"")</f>
        <v>4.58494208494209</v>
      </c>
      <c r="G401" s="0" t="str">
        <f aca="false">Q401</f>
        <v>3</v>
      </c>
      <c r="H401" s="0" t="str">
        <f aca="false">IFERROR(LEFT(G401,1),"")</f>
        <v>3</v>
      </c>
      <c r="I401" s="0" t="n">
        <f aca="false">IF(LEN(G401)&gt;1,1,0)</f>
        <v>0</v>
      </c>
      <c r="J401" s="4" t="n">
        <v>45891</v>
      </c>
      <c r="K401" s="0" t="s">
        <v>11</v>
      </c>
      <c r="L401" s="0" t="s">
        <v>95</v>
      </c>
      <c r="M401" s="0" t="s">
        <v>226</v>
      </c>
      <c r="N401" s="0" t="s">
        <v>97</v>
      </c>
      <c r="O401" s="0" t="s">
        <v>2049</v>
      </c>
      <c r="Q401" s="0" t="s">
        <v>228</v>
      </c>
      <c r="R401" s="0" t="n">
        <v>2</v>
      </c>
      <c r="S401" s="5" t="n">
        <v>1036</v>
      </c>
      <c r="T401" s="0" t="s">
        <v>265</v>
      </c>
      <c r="U401" s="0" t="n">
        <v>1</v>
      </c>
      <c r="V401" s="0" t="s">
        <v>230</v>
      </c>
      <c r="W401" s="0" t="s">
        <v>244</v>
      </c>
      <c r="X401" s="0" t="s">
        <v>232</v>
      </c>
      <c r="Y401" s="0" t="s">
        <v>260</v>
      </c>
      <c r="Z401" s="0" t="s">
        <v>1550</v>
      </c>
      <c r="AA401" s="0" t="s">
        <v>235</v>
      </c>
      <c r="AB401" s="32" t="n">
        <v>4900</v>
      </c>
      <c r="AC401" s="32" t="n">
        <v>4900</v>
      </c>
      <c r="AD401" s="26" t="n">
        <f aca="false">IFERROR(AB401/B401,"")</f>
        <v>4.72972972972973</v>
      </c>
      <c r="AE401" s="26" t="n">
        <f aca="false">IFERROR(AC401/B401,"")</f>
        <v>4.72972972972973</v>
      </c>
      <c r="AF401" s="0" t="s">
        <v>236</v>
      </c>
      <c r="AG401" s="0" t="s">
        <v>236</v>
      </c>
      <c r="AH401" s="0" t="s">
        <v>236</v>
      </c>
      <c r="AI401" s="0" t="s">
        <v>2050</v>
      </c>
      <c r="AJ401" s="0" t="s">
        <v>2051</v>
      </c>
      <c r="AK401" s="0" t="s">
        <v>2052</v>
      </c>
      <c r="AL401" s="0" t="s">
        <v>2053</v>
      </c>
      <c r="AM401" s="0" t="s">
        <v>94</v>
      </c>
      <c r="AN401" s="26" t="n">
        <f aca="false">IFERROR(E401*(1+IF(AM401="Apartment",Data_Summary!$C$3,0)),"")</f>
        <v>4.72972972972973</v>
      </c>
      <c r="AO401" s="4" t="n">
        <v>46195</v>
      </c>
    </row>
    <row r="402" customFormat="false" ht="15" hidden="false" customHeight="false" outlineLevel="0" collapsed="false">
      <c r="A402" s="0" t="n">
        <f aca="false">IF(AND(ISNUMBER(B402),B402&gt;0,ISNUMBER(AB402),AB402&gt;0,J402&gt;=Data_Summary!$C$1),1,0)</f>
        <v>1</v>
      </c>
      <c r="B402" s="30" t="n">
        <v>748</v>
      </c>
      <c r="C402" s="5" t="n">
        <f aca="false">IF(ISNUMBER(AB402),AB402,"")</f>
        <v>3500</v>
      </c>
      <c r="D402" s="0" t="n">
        <f aca="false">IF(ISNUMBER(C402),C402-U402*Data_Summary!$C$2,"")</f>
        <v>3500</v>
      </c>
      <c r="E402" s="31" t="n">
        <f aca="false">IFERROR(C402/B402,"")</f>
        <v>4.67914438502674</v>
      </c>
      <c r="F402" s="26" t="n">
        <f aca="false">IFERROR(D402/B402,"")</f>
        <v>4.67914438502674</v>
      </c>
      <c r="G402" s="0" t="str">
        <f aca="false">Q402</f>
        <v>2</v>
      </c>
      <c r="H402" s="0" t="str">
        <f aca="false">IFERROR(LEFT(G402,1),"")</f>
        <v>2</v>
      </c>
      <c r="I402" s="0" t="n">
        <f aca="false">IF(LEN(G402)&gt;1,1,0)</f>
        <v>0</v>
      </c>
      <c r="J402" s="4" t="n">
        <v>45888</v>
      </c>
      <c r="K402" s="0" t="s">
        <v>11</v>
      </c>
      <c r="L402" s="0" t="s">
        <v>95</v>
      </c>
      <c r="M402" s="0" t="s">
        <v>226</v>
      </c>
      <c r="N402" s="0" t="s">
        <v>97</v>
      </c>
      <c r="O402" s="0" t="s">
        <v>2054</v>
      </c>
      <c r="Q402" s="0" t="s">
        <v>251</v>
      </c>
      <c r="R402" s="0" t="n">
        <v>2</v>
      </c>
      <c r="S402" s="5" t="n">
        <v>748</v>
      </c>
      <c r="T402" s="0" t="s">
        <v>252</v>
      </c>
      <c r="U402" s="0" t="n">
        <v>0</v>
      </c>
      <c r="V402" s="0" t="s">
        <v>230</v>
      </c>
      <c r="W402" s="0" t="s">
        <v>244</v>
      </c>
      <c r="Y402" s="0" t="s">
        <v>278</v>
      </c>
      <c r="Z402" s="0" t="s">
        <v>1550</v>
      </c>
      <c r="AA402" s="0" t="s">
        <v>235</v>
      </c>
      <c r="AB402" s="32" t="n">
        <v>3500</v>
      </c>
      <c r="AC402" s="32" t="n">
        <v>3500</v>
      </c>
      <c r="AD402" s="26" t="n">
        <f aca="false">IFERROR(AB402/B402,"")</f>
        <v>4.67914438502674</v>
      </c>
      <c r="AE402" s="26" t="n">
        <f aca="false">IFERROR(AC402/B402,"")</f>
        <v>4.67914438502674</v>
      </c>
      <c r="AF402" s="0" t="s">
        <v>236</v>
      </c>
      <c r="AG402" s="0" t="s">
        <v>236</v>
      </c>
      <c r="AH402" s="0" t="s">
        <v>236</v>
      </c>
      <c r="AI402" s="0" t="s">
        <v>2055</v>
      </c>
      <c r="AJ402" s="0" t="s">
        <v>2056</v>
      </c>
      <c r="AK402" s="0" t="s">
        <v>2057</v>
      </c>
      <c r="AL402" s="0" t="s">
        <v>2058</v>
      </c>
      <c r="AM402" s="0" t="s">
        <v>94</v>
      </c>
      <c r="AN402" s="26" t="n">
        <f aca="false">IFERROR(E402*(1+IF(AM402="Apartment",Data_Summary!$C$3,0)),"")</f>
        <v>4.67914438502674</v>
      </c>
      <c r="AO402" s="4" t="n">
        <v>46195</v>
      </c>
    </row>
    <row r="403" customFormat="false" ht="15" hidden="false" customHeight="false" outlineLevel="0" collapsed="false">
      <c r="A403" s="0" t="n">
        <f aca="false">IF(AND(ISNUMBER(B403),B403&gt;0,ISNUMBER(AB403),AB403&gt;0,J403&gt;=Data_Summary!$C$1),1,0)</f>
        <v>1</v>
      </c>
      <c r="B403" s="33" t="n">
        <v>799</v>
      </c>
      <c r="C403" s="5" t="n">
        <f aca="false">IF(ISNUMBER(AB403),AB403,"")</f>
        <v>3300</v>
      </c>
      <c r="D403" s="0" t="n">
        <f aca="false">IF(ISNUMBER(C403),C403-U403*Data_Summary!$C$2,"")</f>
        <v>3300</v>
      </c>
      <c r="E403" s="34" t="n">
        <f aca="false">IFERROR(C403/B403,"")</f>
        <v>4.13016270337922</v>
      </c>
      <c r="F403" s="26" t="n">
        <f aca="false">IFERROR(D403/B403,"")</f>
        <v>4.13016270337922</v>
      </c>
      <c r="G403" s="0" t="str">
        <f aca="false">Q403</f>
        <v>2</v>
      </c>
      <c r="H403" s="0" t="str">
        <f aca="false">IFERROR(LEFT(G403,1),"")</f>
        <v>2</v>
      </c>
      <c r="I403" s="0" t="n">
        <f aca="false">IF(LEN(G403)&gt;1,1,0)</f>
        <v>0</v>
      </c>
      <c r="J403" s="4" t="n">
        <v>45884</v>
      </c>
      <c r="K403" s="0" t="s">
        <v>11</v>
      </c>
      <c r="L403" s="0" t="s">
        <v>95</v>
      </c>
      <c r="M403" s="0" t="s">
        <v>226</v>
      </c>
      <c r="N403" s="0" t="s">
        <v>97</v>
      </c>
      <c r="O403" s="0" t="s">
        <v>2059</v>
      </c>
      <c r="Q403" s="0" t="s">
        <v>251</v>
      </c>
      <c r="R403" s="0" t="n">
        <v>2</v>
      </c>
      <c r="S403" s="5" t="n">
        <v>799</v>
      </c>
      <c r="T403" s="0" t="s">
        <v>259</v>
      </c>
      <c r="U403" s="0" t="n">
        <v>0</v>
      </c>
      <c r="V403" s="0" t="s">
        <v>230</v>
      </c>
      <c r="W403" s="0" t="s">
        <v>231</v>
      </c>
      <c r="X403" s="0" t="s">
        <v>232</v>
      </c>
      <c r="Y403" s="0" t="s">
        <v>278</v>
      </c>
      <c r="Z403" s="0" t="s">
        <v>1550</v>
      </c>
      <c r="AA403" s="0" t="s">
        <v>235</v>
      </c>
      <c r="AB403" s="32" t="n">
        <v>3300</v>
      </c>
      <c r="AC403" s="32" t="n">
        <v>3500</v>
      </c>
      <c r="AD403" s="26" t="n">
        <f aca="false">IFERROR(AB403/B403,"")</f>
        <v>4.13016270337922</v>
      </c>
      <c r="AE403" s="26" t="n">
        <f aca="false">IFERROR(AC403/B403,"")</f>
        <v>4.38047559449312</v>
      </c>
      <c r="AF403" s="0" t="s">
        <v>236</v>
      </c>
      <c r="AG403" s="0" t="s">
        <v>236</v>
      </c>
      <c r="AH403" s="0" t="s">
        <v>236</v>
      </c>
      <c r="AI403" s="0" t="s">
        <v>2060</v>
      </c>
      <c r="AJ403" s="0" t="s">
        <v>2061</v>
      </c>
      <c r="AK403" s="0" t="s">
        <v>2062</v>
      </c>
      <c r="AL403" s="0" t="s">
        <v>2063</v>
      </c>
      <c r="AM403" s="0" t="s">
        <v>94</v>
      </c>
      <c r="AN403" s="26" t="n">
        <f aca="false">IFERROR(E403*(1+IF(AM403="Apartment",Data_Summary!$C$3,0)),"")</f>
        <v>4.13016270337922</v>
      </c>
      <c r="AO403" s="4" t="n">
        <v>46195</v>
      </c>
    </row>
    <row r="404" customFormat="false" ht="15" hidden="false" customHeight="false" outlineLevel="0" collapsed="false">
      <c r="A404" s="0" t="n">
        <f aca="false">IF(AND(ISNUMBER(B404),B404&gt;0,ISNUMBER(AB404),AB404&gt;0,J404&gt;=Data_Summary!$C$1),1,0)</f>
        <v>1</v>
      </c>
      <c r="B404" s="33" t="n">
        <v>748</v>
      </c>
      <c r="C404" s="5" t="n">
        <f aca="false">IF(ISNUMBER(AB404),AB404,"")</f>
        <v>3850</v>
      </c>
      <c r="D404" s="0" t="n">
        <f aca="false">IF(ISNUMBER(C404),C404-U404*Data_Summary!$C$2,"")</f>
        <v>3700</v>
      </c>
      <c r="E404" s="34" t="n">
        <f aca="false">IFERROR(C404/B404,"")</f>
        <v>5.14705882352941</v>
      </c>
      <c r="F404" s="26" t="n">
        <f aca="false">IFERROR(D404/B404,"")</f>
        <v>4.94652406417112</v>
      </c>
      <c r="G404" s="0" t="str">
        <f aca="false">Q404</f>
        <v>2</v>
      </c>
      <c r="H404" s="0" t="str">
        <f aca="false">IFERROR(LEFT(G404,1),"")</f>
        <v>2</v>
      </c>
      <c r="I404" s="0" t="n">
        <f aca="false">IF(LEN(G404)&gt;1,1,0)</f>
        <v>0</v>
      </c>
      <c r="J404" s="4" t="n">
        <v>45878</v>
      </c>
      <c r="K404" s="0" t="s">
        <v>11</v>
      </c>
      <c r="L404" s="0" t="s">
        <v>95</v>
      </c>
      <c r="M404" s="0" t="s">
        <v>226</v>
      </c>
      <c r="N404" s="0" t="s">
        <v>97</v>
      </c>
      <c r="O404" s="0" t="s">
        <v>1043</v>
      </c>
      <c r="Q404" s="0" t="s">
        <v>251</v>
      </c>
      <c r="R404" s="0" t="n">
        <v>2</v>
      </c>
      <c r="S404" s="5" t="n">
        <v>748</v>
      </c>
      <c r="T404" s="0" t="s">
        <v>252</v>
      </c>
      <c r="U404" s="0" t="n">
        <v>1</v>
      </c>
      <c r="V404" s="0" t="s">
        <v>230</v>
      </c>
      <c r="W404" s="0" t="s">
        <v>244</v>
      </c>
      <c r="Y404" s="0" t="s">
        <v>278</v>
      </c>
      <c r="Z404" s="0" t="s">
        <v>1550</v>
      </c>
      <c r="AA404" s="0" t="s">
        <v>235</v>
      </c>
      <c r="AB404" s="32" t="n">
        <v>3850</v>
      </c>
      <c r="AC404" s="32" t="n">
        <v>3800</v>
      </c>
      <c r="AD404" s="26" t="n">
        <f aca="false">IFERROR(AB404/B404,"")</f>
        <v>5.14705882352941</v>
      </c>
      <c r="AE404" s="26" t="n">
        <f aca="false">IFERROR(AC404/B404,"")</f>
        <v>5.08021390374332</v>
      </c>
      <c r="AF404" s="0" t="s">
        <v>421</v>
      </c>
      <c r="AG404" s="0" t="s">
        <v>236</v>
      </c>
      <c r="AH404" s="0" t="s">
        <v>236</v>
      </c>
      <c r="AI404" s="0" t="s">
        <v>941</v>
      </c>
      <c r="AJ404" s="0" t="s">
        <v>2064</v>
      </c>
      <c r="AK404" s="0" t="s">
        <v>2065</v>
      </c>
      <c r="AL404" s="0" t="s">
        <v>2066</v>
      </c>
      <c r="AM404" s="0" t="s">
        <v>94</v>
      </c>
      <c r="AN404" s="26" t="n">
        <f aca="false">IFERROR(E404*(1+IF(AM404="Apartment",Data_Summary!$C$3,0)),"")</f>
        <v>5.14705882352941</v>
      </c>
      <c r="AO404" s="4" t="n">
        <v>46195</v>
      </c>
    </row>
    <row r="405" customFormat="false" ht="15" hidden="false" customHeight="false" outlineLevel="0" collapsed="false">
      <c r="A405" s="0" t="n">
        <f aca="false">IF(AND(ISNUMBER(B405),B405&gt;0,ISNUMBER(AB405),AB405&gt;0,J405&gt;=Data_Summary!$C$1),1,0)</f>
        <v>1</v>
      </c>
      <c r="B405" s="30" t="n">
        <v>455</v>
      </c>
      <c r="C405" s="5" t="n">
        <f aca="false">IF(ISNUMBER(AB405),AB405,"")</f>
        <v>2150</v>
      </c>
      <c r="D405" s="0" t="n">
        <f aca="false">IF(ISNUMBER(C405),C405-U405*Data_Summary!$C$2,"")</f>
        <v>2150</v>
      </c>
      <c r="E405" s="31" t="n">
        <f aca="false">IFERROR(C405/B405,"")</f>
        <v>4.72527472527473</v>
      </c>
      <c r="F405" s="26" t="n">
        <f aca="false">IFERROR(D405/B405,"")</f>
        <v>4.72527472527473</v>
      </c>
      <c r="G405" s="0" t="str">
        <f aca="false">Q405</f>
        <v>1</v>
      </c>
      <c r="H405" s="0" t="str">
        <f aca="false">IFERROR(LEFT(G405,1),"")</f>
        <v>1</v>
      </c>
      <c r="I405" s="0" t="n">
        <f aca="false">IF(LEN(G405)&gt;1,1,0)</f>
        <v>0</v>
      </c>
      <c r="J405" s="4" t="n">
        <v>45877</v>
      </c>
      <c r="K405" s="0" t="s">
        <v>11</v>
      </c>
      <c r="L405" s="0" t="s">
        <v>95</v>
      </c>
      <c r="M405" s="0" t="s">
        <v>226</v>
      </c>
      <c r="N405" s="0" t="s">
        <v>97</v>
      </c>
      <c r="O405" s="0" t="s">
        <v>2067</v>
      </c>
      <c r="Q405" s="0" t="s">
        <v>242</v>
      </c>
      <c r="R405" s="0" t="n">
        <v>1</v>
      </c>
      <c r="S405" s="5" t="n">
        <v>455</v>
      </c>
      <c r="T405" s="0" t="s">
        <v>303</v>
      </c>
      <c r="U405" s="0" t="n">
        <v>0</v>
      </c>
      <c r="V405" s="0" t="s">
        <v>230</v>
      </c>
      <c r="W405" s="0" t="s">
        <v>244</v>
      </c>
      <c r="Y405" s="0" t="s">
        <v>278</v>
      </c>
      <c r="Z405" s="0" t="s">
        <v>1550</v>
      </c>
      <c r="AA405" s="0" t="s">
        <v>235</v>
      </c>
      <c r="AB405" s="32" t="n">
        <v>2150</v>
      </c>
      <c r="AC405" s="32" t="n">
        <v>2150</v>
      </c>
      <c r="AD405" s="26" t="n">
        <f aca="false">IFERROR(AB405/B405,"")</f>
        <v>4.72527472527473</v>
      </c>
      <c r="AE405" s="26" t="n">
        <f aca="false">IFERROR(AC405/B405,"")</f>
        <v>4.72527472527473</v>
      </c>
      <c r="AF405" s="0" t="s">
        <v>236</v>
      </c>
      <c r="AG405" s="0" t="s">
        <v>236</v>
      </c>
      <c r="AH405" s="0" t="s">
        <v>236</v>
      </c>
      <c r="AI405" s="0" t="s">
        <v>2068</v>
      </c>
      <c r="AJ405" s="0" t="s">
        <v>2069</v>
      </c>
      <c r="AK405" s="0" t="s">
        <v>2070</v>
      </c>
      <c r="AL405" s="0" t="s">
        <v>2071</v>
      </c>
      <c r="AM405" s="0" t="s">
        <v>94</v>
      </c>
      <c r="AN405" s="26" t="n">
        <f aca="false">IFERROR(E405*(1+IF(AM405="Apartment",Data_Summary!$C$3,0)),"")</f>
        <v>4.72527472527473</v>
      </c>
      <c r="AO405" s="4" t="n">
        <v>46195</v>
      </c>
    </row>
    <row r="406" customFormat="false" ht="15" hidden="false" customHeight="false" outlineLevel="0" collapsed="false">
      <c r="A406" s="0" t="n">
        <f aca="false">IF(AND(ISNUMBER(B406),B406&gt;0,ISNUMBER(AB406),AB406&gt;0,J406&gt;=Data_Summary!$C$1),1,0)</f>
        <v>1</v>
      </c>
      <c r="B406" s="30" t="n">
        <v>719</v>
      </c>
      <c r="C406" s="5" t="n">
        <f aca="false">IF(ISNUMBER(AB406),AB406,"")</f>
        <v>3450</v>
      </c>
      <c r="D406" s="0" t="n">
        <f aca="false">IF(ISNUMBER(C406),C406-U406*Data_Summary!$C$2,"")</f>
        <v>3450</v>
      </c>
      <c r="E406" s="31" t="n">
        <f aca="false">IFERROR(C406/B406,"")</f>
        <v>4.79833101529903</v>
      </c>
      <c r="F406" s="26" t="n">
        <f aca="false">IFERROR(D406/B406,"")</f>
        <v>4.79833101529903</v>
      </c>
      <c r="G406" s="0" t="str">
        <f aca="false">Q406</f>
        <v>2</v>
      </c>
      <c r="H406" s="0" t="str">
        <f aca="false">IFERROR(LEFT(G406,1),"")</f>
        <v>2</v>
      </c>
      <c r="I406" s="0" t="n">
        <f aca="false">IF(LEN(G406)&gt;1,1,0)</f>
        <v>0</v>
      </c>
      <c r="J406" s="4" t="n">
        <v>45876</v>
      </c>
      <c r="K406" s="0" t="s">
        <v>11</v>
      </c>
      <c r="L406" s="0" t="s">
        <v>95</v>
      </c>
      <c r="M406" s="0" t="s">
        <v>226</v>
      </c>
      <c r="N406" s="0" t="s">
        <v>97</v>
      </c>
      <c r="O406" s="0" t="s">
        <v>1793</v>
      </c>
      <c r="Q406" s="0" t="s">
        <v>251</v>
      </c>
      <c r="R406" s="0" t="n">
        <v>2</v>
      </c>
      <c r="S406" s="5" t="n">
        <v>719</v>
      </c>
      <c r="T406" s="0" t="s">
        <v>252</v>
      </c>
      <c r="U406" s="0" t="n">
        <v>0</v>
      </c>
      <c r="V406" s="0" t="s">
        <v>230</v>
      </c>
      <c r="W406" s="0" t="s">
        <v>244</v>
      </c>
      <c r="Y406" s="0" t="s">
        <v>253</v>
      </c>
      <c r="Z406" s="0" t="s">
        <v>1550</v>
      </c>
      <c r="AA406" s="0" t="s">
        <v>235</v>
      </c>
      <c r="AB406" s="32" t="n">
        <v>3450</v>
      </c>
      <c r="AC406" s="32" t="n">
        <v>3450</v>
      </c>
      <c r="AD406" s="26" t="n">
        <f aca="false">IFERROR(AB406/B406,"")</f>
        <v>4.79833101529903</v>
      </c>
      <c r="AE406" s="26" t="n">
        <f aca="false">IFERROR(AC406/B406,"")</f>
        <v>4.79833101529903</v>
      </c>
      <c r="AF406" s="0" t="s">
        <v>236</v>
      </c>
      <c r="AG406" s="0" t="s">
        <v>236</v>
      </c>
      <c r="AH406" s="0" t="s">
        <v>236</v>
      </c>
      <c r="AI406" s="0" t="s">
        <v>950</v>
      </c>
      <c r="AJ406" s="0" t="s">
        <v>2072</v>
      </c>
      <c r="AK406" s="0" t="s">
        <v>2073</v>
      </c>
      <c r="AL406" s="0" t="s">
        <v>2074</v>
      </c>
      <c r="AM406" s="0" t="s">
        <v>94</v>
      </c>
      <c r="AN406" s="26" t="n">
        <f aca="false">IFERROR(E406*(1+IF(AM406="Apartment",Data_Summary!$C$3,0)),"")</f>
        <v>4.79833101529903</v>
      </c>
      <c r="AO406" s="4" t="n">
        <v>46195</v>
      </c>
    </row>
    <row r="407" customFormat="false" ht="15" hidden="false" customHeight="false" outlineLevel="0" collapsed="false">
      <c r="A407" s="0" t="n">
        <f aca="false">IF(AND(ISNUMBER(B407),B407&gt;0,ISNUMBER(AB407),AB407&gt;0,J407&gt;=Data_Summary!$C$1),1,0)</f>
        <v>1</v>
      </c>
      <c r="B407" s="30" t="n">
        <v>719</v>
      </c>
      <c r="C407" s="5" t="n">
        <f aca="false">IF(ISNUMBER(AB407),AB407,"")</f>
        <v>3290</v>
      </c>
      <c r="D407" s="0" t="n">
        <f aca="false">IF(ISNUMBER(C407),C407-U407*Data_Summary!$C$2,"")</f>
        <v>3290</v>
      </c>
      <c r="E407" s="31" t="n">
        <f aca="false">IFERROR(C407/B407,"")</f>
        <v>4.57579972183588</v>
      </c>
      <c r="F407" s="26" t="n">
        <f aca="false">IFERROR(D407/B407,"")</f>
        <v>4.57579972183588</v>
      </c>
      <c r="G407" s="0" t="str">
        <f aca="false">Q407</f>
        <v>2</v>
      </c>
      <c r="H407" s="0" t="str">
        <f aca="false">IFERROR(LEFT(G407,1),"")</f>
        <v>2</v>
      </c>
      <c r="I407" s="0" t="n">
        <f aca="false">IF(LEN(G407)&gt;1,1,0)</f>
        <v>0</v>
      </c>
      <c r="J407" s="4" t="n">
        <v>45875</v>
      </c>
      <c r="K407" s="0" t="s">
        <v>11</v>
      </c>
      <c r="L407" s="0" t="s">
        <v>95</v>
      </c>
      <c r="M407" s="0" t="s">
        <v>226</v>
      </c>
      <c r="N407" s="0" t="s">
        <v>97</v>
      </c>
      <c r="O407" s="0" t="s">
        <v>1682</v>
      </c>
      <c r="Q407" s="0" t="s">
        <v>251</v>
      </c>
      <c r="R407" s="0" t="n">
        <v>2</v>
      </c>
      <c r="S407" s="5" t="n">
        <v>719</v>
      </c>
      <c r="T407" s="0" t="s">
        <v>252</v>
      </c>
      <c r="U407" s="0" t="n">
        <v>0</v>
      </c>
      <c r="V407" s="0" t="s">
        <v>230</v>
      </c>
      <c r="W407" s="0" t="s">
        <v>244</v>
      </c>
      <c r="Y407" s="0" t="s">
        <v>253</v>
      </c>
      <c r="Z407" s="0" t="s">
        <v>1550</v>
      </c>
      <c r="AA407" s="0" t="s">
        <v>235</v>
      </c>
      <c r="AB407" s="32" t="n">
        <v>3290</v>
      </c>
      <c r="AC407" s="32" t="n">
        <v>3290</v>
      </c>
      <c r="AD407" s="26" t="n">
        <f aca="false">IFERROR(AB407/B407,"")</f>
        <v>4.57579972183588</v>
      </c>
      <c r="AE407" s="26" t="n">
        <f aca="false">IFERROR(AC407/B407,"")</f>
        <v>4.57579972183588</v>
      </c>
      <c r="AF407" s="0" t="s">
        <v>236</v>
      </c>
      <c r="AG407" s="0" t="s">
        <v>236</v>
      </c>
      <c r="AH407" s="0" t="s">
        <v>236</v>
      </c>
      <c r="AI407" s="0" t="s">
        <v>955</v>
      </c>
      <c r="AJ407" s="0" t="s">
        <v>2075</v>
      </c>
      <c r="AK407" s="0" t="s">
        <v>2076</v>
      </c>
      <c r="AL407" s="0" t="s">
        <v>2077</v>
      </c>
      <c r="AM407" s="0" t="s">
        <v>94</v>
      </c>
      <c r="AN407" s="26" t="n">
        <f aca="false">IFERROR(E407*(1+IF(AM407="Apartment",Data_Summary!$C$3,0)),"")</f>
        <v>4.57579972183588</v>
      </c>
      <c r="AO407" s="4" t="n">
        <v>46195</v>
      </c>
    </row>
    <row r="408" customFormat="false" ht="15" hidden="false" customHeight="false" outlineLevel="0" collapsed="false">
      <c r="A408" s="0" t="n">
        <f aca="false">IF(AND(ISNUMBER(B408),B408&gt;0,ISNUMBER(AB408),AB408&gt;0,J408&gt;=Data_Summary!$C$1),1,0)</f>
        <v>1</v>
      </c>
      <c r="B408" s="30" t="n">
        <v>706</v>
      </c>
      <c r="C408" s="5" t="n">
        <f aca="false">IF(ISNUMBER(AB408),AB408,"")</f>
        <v>2795</v>
      </c>
      <c r="D408" s="0" t="n">
        <f aca="false">IF(ISNUMBER(C408),C408-U408*Data_Summary!$C$2,"")</f>
        <v>2795</v>
      </c>
      <c r="E408" s="31" t="n">
        <f aca="false">IFERROR(C408/B408,"")</f>
        <v>3.95892351274788</v>
      </c>
      <c r="F408" s="26" t="n">
        <f aca="false">IFERROR(D408/B408,"")</f>
        <v>3.95892351274788</v>
      </c>
      <c r="G408" s="0" t="str">
        <f aca="false">Q408</f>
        <v>2</v>
      </c>
      <c r="H408" s="0" t="str">
        <f aca="false">IFERROR(LEFT(G408,1),"")</f>
        <v>2</v>
      </c>
      <c r="I408" s="0" t="n">
        <f aca="false">IF(LEN(G408)&gt;1,1,0)</f>
        <v>0</v>
      </c>
      <c r="J408" s="4" t="n">
        <v>45875</v>
      </c>
      <c r="K408" s="0" t="s">
        <v>11</v>
      </c>
      <c r="L408" s="0" t="s">
        <v>95</v>
      </c>
      <c r="M408" s="0" t="s">
        <v>226</v>
      </c>
      <c r="N408" s="0" t="s">
        <v>97</v>
      </c>
      <c r="O408" s="0" t="s">
        <v>2078</v>
      </c>
      <c r="Q408" s="0" t="s">
        <v>251</v>
      </c>
      <c r="R408" s="0" t="n">
        <v>2</v>
      </c>
      <c r="S408" s="5" t="n">
        <v>706</v>
      </c>
      <c r="T408" s="0" t="s">
        <v>252</v>
      </c>
      <c r="U408" s="0" t="n">
        <v>0</v>
      </c>
      <c r="V408" s="0" t="s">
        <v>230</v>
      </c>
      <c r="W408" s="0" t="s">
        <v>244</v>
      </c>
      <c r="Y408" s="0" t="s">
        <v>253</v>
      </c>
      <c r="Z408" s="0" t="s">
        <v>1550</v>
      </c>
      <c r="AA408" s="0" t="s">
        <v>235</v>
      </c>
      <c r="AB408" s="32" t="n">
        <v>2795</v>
      </c>
      <c r="AC408" s="32" t="n">
        <v>2795</v>
      </c>
      <c r="AD408" s="26" t="n">
        <f aca="false">IFERROR(AB408/B408,"")</f>
        <v>3.95892351274788</v>
      </c>
      <c r="AE408" s="26" t="n">
        <f aca="false">IFERROR(AC408/B408,"")</f>
        <v>3.95892351274788</v>
      </c>
      <c r="AF408" s="0" t="s">
        <v>236</v>
      </c>
      <c r="AG408" s="0" t="s">
        <v>236</v>
      </c>
      <c r="AH408" s="0" t="s">
        <v>236</v>
      </c>
      <c r="AI408" s="0" t="s">
        <v>955</v>
      </c>
      <c r="AJ408" s="0" t="s">
        <v>2079</v>
      </c>
      <c r="AK408" s="0" t="s">
        <v>2080</v>
      </c>
      <c r="AL408" s="0" t="s">
        <v>2081</v>
      </c>
      <c r="AM408" s="0" t="s">
        <v>94</v>
      </c>
      <c r="AN408" s="26" t="n">
        <f aca="false">IFERROR(E408*(1+IF(AM408="Apartment",Data_Summary!$C$3,0)),"")</f>
        <v>3.95892351274788</v>
      </c>
      <c r="AO408" s="4" t="n">
        <v>46195</v>
      </c>
    </row>
    <row r="409" customFormat="false" ht="15" hidden="false" customHeight="false" outlineLevel="0" collapsed="false">
      <c r="A409" s="0" t="n">
        <f aca="false">IF(AND(ISNUMBER(B409),B409&gt;0,ISNUMBER(AB409),AB409&gt;0,J409&gt;=Data_Summary!$C$1),1,0)</f>
        <v>1</v>
      </c>
      <c r="B409" s="30" t="n">
        <v>667</v>
      </c>
      <c r="C409" s="5" t="n">
        <f aca="false">IF(ISNUMBER(AB409),AB409,"")</f>
        <v>3050</v>
      </c>
      <c r="D409" s="0" t="n">
        <f aca="false">IF(ISNUMBER(C409),C409-U409*Data_Summary!$C$2,"")</f>
        <v>3050</v>
      </c>
      <c r="E409" s="31" t="n">
        <f aca="false">IFERROR(C409/B409,"")</f>
        <v>4.57271364317841</v>
      </c>
      <c r="F409" s="26" t="n">
        <f aca="false">IFERROR(D409/B409,"")</f>
        <v>4.57271364317841</v>
      </c>
      <c r="G409" s="0" t="str">
        <f aca="false">Q409</f>
        <v>2</v>
      </c>
      <c r="H409" s="0" t="str">
        <f aca="false">IFERROR(LEFT(G409,1),"")</f>
        <v>2</v>
      </c>
      <c r="I409" s="0" t="n">
        <f aca="false">IF(LEN(G409)&gt;1,1,0)</f>
        <v>0</v>
      </c>
      <c r="J409" s="4" t="n">
        <v>45873</v>
      </c>
      <c r="K409" s="0" t="s">
        <v>11</v>
      </c>
      <c r="L409" s="0" t="s">
        <v>95</v>
      </c>
      <c r="M409" s="0" t="s">
        <v>226</v>
      </c>
      <c r="N409" s="0" t="s">
        <v>97</v>
      </c>
      <c r="O409" s="0" t="s">
        <v>553</v>
      </c>
      <c r="Q409" s="0" t="s">
        <v>251</v>
      </c>
      <c r="R409" s="0" t="n">
        <v>2</v>
      </c>
      <c r="S409" s="5" t="n">
        <v>667</v>
      </c>
      <c r="T409" s="0" t="s">
        <v>271</v>
      </c>
      <c r="U409" s="0" t="n">
        <v>0</v>
      </c>
      <c r="V409" s="0" t="s">
        <v>230</v>
      </c>
      <c r="W409" s="0" t="s">
        <v>244</v>
      </c>
      <c r="Y409" s="0" t="s">
        <v>297</v>
      </c>
      <c r="Z409" s="0" t="s">
        <v>1550</v>
      </c>
      <c r="AA409" s="0" t="s">
        <v>235</v>
      </c>
      <c r="AB409" s="32" t="n">
        <v>3050</v>
      </c>
      <c r="AC409" s="32" t="n">
        <v>3000</v>
      </c>
      <c r="AD409" s="26" t="n">
        <f aca="false">IFERROR(AB409/B409,"")</f>
        <v>4.57271364317841</v>
      </c>
      <c r="AE409" s="26" t="n">
        <f aca="false">IFERROR(AC409/B409,"")</f>
        <v>4.49775112443778</v>
      </c>
      <c r="AF409" s="0" t="s">
        <v>236</v>
      </c>
      <c r="AG409" s="0" t="s">
        <v>236</v>
      </c>
      <c r="AH409" s="0" t="s">
        <v>236</v>
      </c>
      <c r="AI409" s="0" t="s">
        <v>964</v>
      </c>
      <c r="AJ409" s="0" t="s">
        <v>2082</v>
      </c>
      <c r="AK409" s="0" t="s">
        <v>2083</v>
      </c>
      <c r="AL409" s="0" t="s">
        <v>2084</v>
      </c>
      <c r="AM409" s="0" t="s">
        <v>94</v>
      </c>
      <c r="AN409" s="26" t="n">
        <f aca="false">IFERROR(E409*(1+IF(AM409="Apartment",Data_Summary!$C$3,0)),"")</f>
        <v>4.57271364317841</v>
      </c>
      <c r="AO409" s="4" t="n">
        <v>46195</v>
      </c>
    </row>
    <row r="410" customFormat="false" ht="15" hidden="false" customHeight="false" outlineLevel="0" collapsed="false">
      <c r="A410" s="0" t="n">
        <f aca="false">IF(AND(ISNUMBER(B410),B410&gt;0,ISNUMBER(AB410),AB410&gt;0,J410&gt;=Data_Summary!$C$1),1,0)</f>
        <v>1</v>
      </c>
      <c r="B410" s="30" t="n">
        <v>652</v>
      </c>
      <c r="C410" s="5" t="n">
        <f aca="false">IF(ISNUMBER(AB410),AB410,"")</f>
        <v>2800</v>
      </c>
      <c r="D410" s="0" t="n">
        <f aca="false">IF(ISNUMBER(C410),C410-U410*Data_Summary!$C$2,"")</f>
        <v>2800</v>
      </c>
      <c r="E410" s="31" t="n">
        <f aca="false">IFERROR(C410/B410,"")</f>
        <v>4.29447852760736</v>
      </c>
      <c r="F410" s="26" t="n">
        <f aca="false">IFERROR(D410/B410,"")</f>
        <v>4.29447852760736</v>
      </c>
      <c r="G410" s="0" t="str">
        <f aca="false">Q410</f>
        <v>2</v>
      </c>
      <c r="H410" s="0" t="str">
        <f aca="false">IFERROR(LEFT(G410,1),"")</f>
        <v>2</v>
      </c>
      <c r="I410" s="0" t="n">
        <f aca="false">IF(LEN(G410)&gt;1,1,0)</f>
        <v>0</v>
      </c>
      <c r="J410" s="4" t="n">
        <v>45870</v>
      </c>
      <c r="K410" s="0" t="s">
        <v>11</v>
      </c>
      <c r="L410" s="0" t="s">
        <v>95</v>
      </c>
      <c r="M410" s="0" t="s">
        <v>226</v>
      </c>
      <c r="N410" s="0" t="s">
        <v>97</v>
      </c>
      <c r="O410" s="0" t="s">
        <v>2085</v>
      </c>
      <c r="Q410" s="0" t="s">
        <v>251</v>
      </c>
      <c r="R410" s="0" t="n">
        <v>2</v>
      </c>
      <c r="S410" s="5" t="n">
        <v>652</v>
      </c>
      <c r="T410" s="0" t="s">
        <v>271</v>
      </c>
      <c r="U410" s="0" t="n">
        <v>0</v>
      </c>
      <c r="V410" s="0" t="s">
        <v>230</v>
      </c>
      <c r="W410" s="0" t="s">
        <v>244</v>
      </c>
      <c r="Y410" s="0" t="s">
        <v>272</v>
      </c>
      <c r="Z410" s="0" t="s">
        <v>1550</v>
      </c>
      <c r="AA410" s="0" t="s">
        <v>235</v>
      </c>
      <c r="AB410" s="32" t="n">
        <v>2800</v>
      </c>
      <c r="AC410" s="32" t="n">
        <v>2900</v>
      </c>
      <c r="AD410" s="26" t="n">
        <f aca="false">IFERROR(AB410/B410,"")</f>
        <v>4.29447852760736</v>
      </c>
      <c r="AE410" s="26" t="n">
        <f aca="false">IFERROR(AC410/B410,"")</f>
        <v>4.4478527607362</v>
      </c>
      <c r="AF410" s="0" t="s">
        <v>236</v>
      </c>
      <c r="AG410" s="0" t="s">
        <v>236</v>
      </c>
      <c r="AH410" s="0" t="s">
        <v>236</v>
      </c>
      <c r="AI410" s="0" t="s">
        <v>982</v>
      </c>
      <c r="AJ410" s="0" t="s">
        <v>2086</v>
      </c>
      <c r="AK410" s="0" t="s">
        <v>2087</v>
      </c>
      <c r="AL410" s="0" t="s">
        <v>2088</v>
      </c>
      <c r="AM410" s="0" t="s">
        <v>94</v>
      </c>
      <c r="AN410" s="26" t="n">
        <f aca="false">IFERROR(E410*(1+IF(AM410="Apartment",Data_Summary!$C$3,0)),"")</f>
        <v>4.29447852760736</v>
      </c>
      <c r="AO410" s="4" t="n">
        <v>46195</v>
      </c>
    </row>
    <row r="411" customFormat="false" ht="15" hidden="false" customHeight="false" outlineLevel="0" collapsed="false">
      <c r="A411" s="0" t="n">
        <f aca="false">IF(AND(ISNUMBER(B411),B411&gt;0,ISNUMBER(AB411),AB411&gt;0,J411&gt;=Data_Summary!$C$1),1,0)</f>
        <v>1</v>
      </c>
      <c r="B411" s="30" t="n">
        <v>748</v>
      </c>
      <c r="C411" s="5" t="n">
        <f aca="false">IF(ISNUMBER(AB411),AB411,"")</f>
        <v>3500</v>
      </c>
      <c r="D411" s="0" t="n">
        <f aca="false">IF(ISNUMBER(C411),C411-U411*Data_Summary!$C$2,"")</f>
        <v>3500</v>
      </c>
      <c r="E411" s="31" t="n">
        <f aca="false">IFERROR(C411/B411,"")</f>
        <v>4.67914438502674</v>
      </c>
      <c r="F411" s="26" t="n">
        <f aca="false">IFERROR(D411/B411,"")</f>
        <v>4.67914438502674</v>
      </c>
      <c r="G411" s="0" t="str">
        <f aca="false">Q411</f>
        <v>2</v>
      </c>
      <c r="H411" s="0" t="str">
        <f aca="false">IFERROR(LEFT(G411,1),"")</f>
        <v>2</v>
      </c>
      <c r="I411" s="0" t="n">
        <f aca="false">IF(LEN(G411)&gt;1,1,0)</f>
        <v>0</v>
      </c>
      <c r="J411" s="4" t="n">
        <v>45864</v>
      </c>
      <c r="K411" s="0" t="s">
        <v>11</v>
      </c>
      <c r="L411" s="0" t="s">
        <v>95</v>
      </c>
      <c r="M411" s="0" t="s">
        <v>226</v>
      </c>
      <c r="N411" s="0" t="s">
        <v>97</v>
      </c>
      <c r="O411" s="0" t="s">
        <v>2089</v>
      </c>
      <c r="Q411" s="0" t="s">
        <v>251</v>
      </c>
      <c r="R411" s="0" t="n">
        <v>2</v>
      </c>
      <c r="S411" s="5" t="n">
        <v>748</v>
      </c>
      <c r="T411" s="0" t="s">
        <v>252</v>
      </c>
      <c r="U411" s="0" t="n">
        <v>0</v>
      </c>
      <c r="V411" s="0" t="s">
        <v>230</v>
      </c>
      <c r="W411" s="0" t="s">
        <v>244</v>
      </c>
      <c r="Y411" s="0" t="s">
        <v>278</v>
      </c>
      <c r="Z411" s="0" t="s">
        <v>1550</v>
      </c>
      <c r="AA411" s="0" t="s">
        <v>235</v>
      </c>
      <c r="AB411" s="32" t="n">
        <v>3500</v>
      </c>
      <c r="AC411" s="32" t="n">
        <v>3500</v>
      </c>
      <c r="AD411" s="26" t="n">
        <f aca="false">IFERROR(AB411/B411,"")</f>
        <v>4.67914438502674</v>
      </c>
      <c r="AE411" s="26" t="n">
        <f aca="false">IFERROR(AC411/B411,"")</f>
        <v>4.67914438502674</v>
      </c>
      <c r="AF411" s="0" t="s">
        <v>236</v>
      </c>
      <c r="AG411" s="0" t="s">
        <v>236</v>
      </c>
      <c r="AH411" s="0" t="s">
        <v>236</v>
      </c>
      <c r="AI411" s="0" t="s">
        <v>2090</v>
      </c>
      <c r="AJ411" s="0" t="s">
        <v>2091</v>
      </c>
      <c r="AK411" s="0" t="s">
        <v>2092</v>
      </c>
      <c r="AL411" s="0" t="s">
        <v>2093</v>
      </c>
      <c r="AM411" s="0" t="s">
        <v>94</v>
      </c>
      <c r="AN411" s="26" t="n">
        <f aca="false">IFERROR(E411*(1+IF(AM411="Apartment",Data_Summary!$C$3,0)),"")</f>
        <v>4.67914438502674</v>
      </c>
      <c r="AO411" s="4" t="n">
        <v>46195</v>
      </c>
    </row>
    <row r="412" customFormat="false" ht="15" hidden="false" customHeight="false" outlineLevel="0" collapsed="false">
      <c r="A412" s="0" t="n">
        <f aca="false">IF(AND(ISNUMBER(B412),B412&gt;0,ISNUMBER(AB412),AB412&gt;0,J412&gt;=Data_Summary!$C$1),1,0)</f>
        <v>1</v>
      </c>
      <c r="B412" s="33" t="n">
        <v>639</v>
      </c>
      <c r="C412" s="5" t="n">
        <f aca="false">IF(ISNUMBER(AB412),AB412,"")</f>
        <v>3500</v>
      </c>
      <c r="D412" s="0" t="n">
        <f aca="false">IF(ISNUMBER(C412),C412-U412*Data_Summary!$C$2,"")</f>
        <v>3500</v>
      </c>
      <c r="E412" s="34" t="n">
        <f aca="false">IFERROR(C412/B412,"")</f>
        <v>5.4773082942097</v>
      </c>
      <c r="F412" s="26" t="n">
        <f aca="false">IFERROR(D412/B412,"")</f>
        <v>5.4773082942097</v>
      </c>
      <c r="G412" s="0" t="str">
        <f aca="false">Q412</f>
        <v>2</v>
      </c>
      <c r="H412" s="0" t="str">
        <f aca="false">IFERROR(LEFT(G412,1),"")</f>
        <v>2</v>
      </c>
      <c r="I412" s="0" t="n">
        <f aca="false">IF(LEN(G412)&gt;1,1,0)</f>
        <v>0</v>
      </c>
      <c r="J412" s="4" t="n">
        <v>45862</v>
      </c>
      <c r="K412" s="0" t="s">
        <v>11</v>
      </c>
      <c r="L412" s="0" t="s">
        <v>95</v>
      </c>
      <c r="M412" s="0" t="s">
        <v>226</v>
      </c>
      <c r="N412" s="0" t="s">
        <v>97</v>
      </c>
      <c r="O412" s="0" t="s">
        <v>529</v>
      </c>
      <c r="Q412" s="0" t="s">
        <v>251</v>
      </c>
      <c r="R412" s="0" t="n">
        <v>2</v>
      </c>
      <c r="S412" s="5" t="n">
        <v>639</v>
      </c>
      <c r="T412" s="0" t="s">
        <v>271</v>
      </c>
      <c r="U412" s="0" t="n">
        <v>0</v>
      </c>
      <c r="V412" s="0" t="s">
        <v>230</v>
      </c>
      <c r="W412" s="0" t="s">
        <v>244</v>
      </c>
      <c r="Y412" s="0" t="s">
        <v>308</v>
      </c>
      <c r="Z412" s="0" t="s">
        <v>1550</v>
      </c>
      <c r="AA412" s="0" t="s">
        <v>235</v>
      </c>
      <c r="AB412" s="32" t="n">
        <v>3500</v>
      </c>
      <c r="AC412" s="32" t="n">
        <v>3500</v>
      </c>
      <c r="AD412" s="26" t="n">
        <f aca="false">IFERROR(AB412/B412,"")</f>
        <v>5.4773082942097</v>
      </c>
      <c r="AE412" s="26" t="n">
        <f aca="false">IFERROR(AC412/B412,"")</f>
        <v>5.4773082942097</v>
      </c>
      <c r="AF412" s="0" t="s">
        <v>230</v>
      </c>
      <c r="AG412" s="0" t="s">
        <v>236</v>
      </c>
      <c r="AH412" s="0" t="s">
        <v>236</v>
      </c>
      <c r="AI412" s="0" t="s">
        <v>1021</v>
      </c>
      <c r="AJ412" s="0" t="s">
        <v>2094</v>
      </c>
      <c r="AK412" s="0" t="s">
        <v>2095</v>
      </c>
      <c r="AL412" s="0" t="s">
        <v>2096</v>
      </c>
      <c r="AM412" s="0" t="s">
        <v>94</v>
      </c>
      <c r="AN412" s="26" t="n">
        <f aca="false">IFERROR(E412*(1+IF(AM412="Apartment",Data_Summary!$C$3,0)),"")</f>
        <v>5.4773082942097</v>
      </c>
      <c r="AO412" s="4" t="n">
        <v>46195</v>
      </c>
    </row>
    <row r="413" customFormat="false" ht="15" hidden="false" customHeight="false" outlineLevel="0" collapsed="false">
      <c r="A413" s="0" t="n">
        <f aca="false">IF(AND(ISNUMBER(B413),B413&gt;0,ISNUMBER(AB413),AB413&gt;0,J413&gt;=Data_Summary!$C$1),1,0)</f>
        <v>1</v>
      </c>
      <c r="B413" s="30" t="n">
        <v>667</v>
      </c>
      <c r="C413" s="5" t="n">
        <f aca="false">IF(ISNUMBER(AB413),AB413,"")</f>
        <v>3200</v>
      </c>
      <c r="D413" s="0" t="n">
        <f aca="false">IF(ISNUMBER(C413),C413-U413*Data_Summary!$C$2,"")</f>
        <v>3200</v>
      </c>
      <c r="E413" s="31" t="n">
        <f aca="false">IFERROR(C413/B413,"")</f>
        <v>4.7976011994003</v>
      </c>
      <c r="F413" s="26" t="n">
        <f aca="false">IFERROR(D413/B413,"")</f>
        <v>4.7976011994003</v>
      </c>
      <c r="G413" s="0" t="str">
        <f aca="false">Q413</f>
        <v>2</v>
      </c>
      <c r="H413" s="0" t="str">
        <f aca="false">IFERROR(LEFT(G413,1),"")</f>
        <v>2</v>
      </c>
      <c r="I413" s="0" t="n">
        <f aca="false">IF(LEN(G413)&gt;1,1,0)</f>
        <v>0</v>
      </c>
      <c r="J413" s="4" t="n">
        <v>45861</v>
      </c>
      <c r="K413" s="0" t="s">
        <v>11</v>
      </c>
      <c r="L413" s="0" t="s">
        <v>95</v>
      </c>
      <c r="M413" s="0" t="s">
        <v>226</v>
      </c>
      <c r="N413" s="0" t="s">
        <v>97</v>
      </c>
      <c r="O413" s="0" t="s">
        <v>2097</v>
      </c>
      <c r="Q413" s="0" t="s">
        <v>251</v>
      </c>
      <c r="R413" s="0" t="n">
        <v>2</v>
      </c>
      <c r="S413" s="5" t="n">
        <v>667</v>
      </c>
      <c r="T413" s="0" t="s">
        <v>271</v>
      </c>
      <c r="U413" s="0" t="n">
        <v>0</v>
      </c>
      <c r="V413" s="0" t="s">
        <v>230</v>
      </c>
      <c r="W413" s="0" t="s">
        <v>244</v>
      </c>
      <c r="Y413" s="0" t="s">
        <v>260</v>
      </c>
      <c r="Z413" s="0" t="s">
        <v>1550</v>
      </c>
      <c r="AA413" s="0" t="s">
        <v>235</v>
      </c>
      <c r="AB413" s="32" t="n">
        <v>3200</v>
      </c>
      <c r="AC413" s="32" t="n">
        <v>3200</v>
      </c>
      <c r="AD413" s="26" t="n">
        <f aca="false">IFERROR(AB413/B413,"")</f>
        <v>4.7976011994003</v>
      </c>
      <c r="AE413" s="26" t="n">
        <f aca="false">IFERROR(AC413/B413,"")</f>
        <v>4.7976011994003</v>
      </c>
      <c r="AF413" s="0" t="s">
        <v>236</v>
      </c>
      <c r="AG413" s="0" t="s">
        <v>236</v>
      </c>
      <c r="AH413" s="0" t="s">
        <v>236</v>
      </c>
      <c r="AI413" s="0" t="s">
        <v>2098</v>
      </c>
      <c r="AJ413" s="0" t="s">
        <v>2099</v>
      </c>
      <c r="AK413" s="0" t="s">
        <v>2100</v>
      </c>
      <c r="AL413" s="0" t="s">
        <v>2101</v>
      </c>
      <c r="AM413" s="0" t="s">
        <v>94</v>
      </c>
      <c r="AN413" s="26" t="n">
        <f aca="false">IFERROR(E413*(1+IF(AM413="Apartment",Data_Summary!$C$3,0)),"")</f>
        <v>4.7976011994003</v>
      </c>
      <c r="AO413" s="4" t="n">
        <v>46195</v>
      </c>
    </row>
    <row r="414" customFormat="false" ht="15" hidden="false" customHeight="false" outlineLevel="0" collapsed="false">
      <c r="A414" s="0" t="n">
        <f aca="false">IF(AND(ISNUMBER(B414),B414&gt;0,ISNUMBER(AB414),AB414&gt;0,J414&gt;=Data_Summary!$C$1),1,0)</f>
        <v>1</v>
      </c>
      <c r="B414" s="30" t="n">
        <v>799</v>
      </c>
      <c r="C414" s="5" t="n">
        <f aca="false">IF(ISNUMBER(AB414),AB414,"")</f>
        <v>3400</v>
      </c>
      <c r="D414" s="0" t="n">
        <f aca="false">IF(ISNUMBER(C414),C414-U414*Data_Summary!$C$2,"")</f>
        <v>3400</v>
      </c>
      <c r="E414" s="31" t="n">
        <f aca="false">IFERROR(C414/B414,"")</f>
        <v>4.25531914893617</v>
      </c>
      <c r="F414" s="26" t="n">
        <f aca="false">IFERROR(D414/B414,"")</f>
        <v>4.25531914893617</v>
      </c>
      <c r="G414" s="0" t="str">
        <f aca="false">Q414</f>
        <v>2</v>
      </c>
      <c r="H414" s="0" t="str">
        <f aca="false">IFERROR(LEFT(G414,1),"")</f>
        <v>2</v>
      </c>
      <c r="I414" s="0" t="n">
        <f aca="false">IF(LEN(G414)&gt;1,1,0)</f>
        <v>0</v>
      </c>
      <c r="J414" s="4" t="n">
        <v>45860</v>
      </c>
      <c r="K414" s="0" t="s">
        <v>11</v>
      </c>
      <c r="L414" s="0" t="s">
        <v>95</v>
      </c>
      <c r="M414" s="0" t="s">
        <v>226</v>
      </c>
      <c r="N414" s="0" t="s">
        <v>97</v>
      </c>
      <c r="O414" s="0" t="s">
        <v>1521</v>
      </c>
      <c r="Q414" s="0" t="s">
        <v>251</v>
      </c>
      <c r="R414" s="0" t="n">
        <v>2</v>
      </c>
      <c r="S414" s="5" t="n">
        <v>799</v>
      </c>
      <c r="T414" s="0" t="s">
        <v>252</v>
      </c>
      <c r="U414" s="0" t="n">
        <v>0</v>
      </c>
      <c r="V414" s="0" t="s">
        <v>230</v>
      </c>
      <c r="W414" s="0" t="s">
        <v>244</v>
      </c>
      <c r="X414" s="0" t="s">
        <v>232</v>
      </c>
      <c r="Y414" s="0" t="s">
        <v>308</v>
      </c>
      <c r="Z414" s="0" t="s">
        <v>1550</v>
      </c>
      <c r="AA414" s="0" t="s">
        <v>235</v>
      </c>
      <c r="AB414" s="32" t="n">
        <v>3400</v>
      </c>
      <c r="AC414" s="32" t="n">
        <v>3100</v>
      </c>
      <c r="AD414" s="26" t="n">
        <f aca="false">IFERROR(AB414/B414,"")</f>
        <v>4.25531914893617</v>
      </c>
      <c r="AE414" s="26" t="n">
        <f aca="false">IFERROR(AC414/B414,"")</f>
        <v>3.87984981226533</v>
      </c>
      <c r="AF414" s="0" t="s">
        <v>236</v>
      </c>
      <c r="AG414" s="0" t="s">
        <v>236</v>
      </c>
      <c r="AH414" s="0" t="s">
        <v>236</v>
      </c>
      <c r="AI414" s="0" t="s">
        <v>1026</v>
      </c>
      <c r="AJ414" s="0" t="s">
        <v>2102</v>
      </c>
      <c r="AK414" s="0" t="s">
        <v>2103</v>
      </c>
      <c r="AL414" s="0" t="s">
        <v>2104</v>
      </c>
      <c r="AM414" s="0" t="s">
        <v>94</v>
      </c>
      <c r="AN414" s="26" t="n">
        <f aca="false">IFERROR(E414*(1+IF(AM414="Apartment",Data_Summary!$C$3,0)),"")</f>
        <v>4.25531914893617</v>
      </c>
      <c r="AO414" s="4" t="n">
        <v>46195</v>
      </c>
    </row>
    <row r="415" customFormat="false" ht="15" hidden="false" customHeight="false" outlineLevel="0" collapsed="false">
      <c r="A415" s="0" t="n">
        <f aca="false">IF(AND(ISNUMBER(B415),B415&gt;0,ISNUMBER(AB415),AB415&gt;0,J415&gt;=Data_Summary!$C$1),1,0)</f>
        <v>1</v>
      </c>
      <c r="B415" s="33" t="n">
        <v>807</v>
      </c>
      <c r="C415" s="5" t="n">
        <f aca="false">IF(ISNUMBER(AB415),AB415,"")</f>
        <v>3100</v>
      </c>
      <c r="D415" s="0" t="n">
        <f aca="false">IF(ISNUMBER(C415),C415-U415*Data_Summary!$C$2,"")</f>
        <v>3100</v>
      </c>
      <c r="E415" s="34" t="n">
        <f aca="false">IFERROR(C415/B415,"")</f>
        <v>3.84138785625775</v>
      </c>
      <c r="F415" s="26" t="n">
        <f aca="false">IFERROR(D415/B415,"")</f>
        <v>3.84138785625775</v>
      </c>
      <c r="G415" s="0" t="str">
        <f aca="false">Q415</f>
        <v>2+1</v>
      </c>
      <c r="H415" s="0" t="str">
        <f aca="false">IFERROR(LEFT(G415,1),"")</f>
        <v>2</v>
      </c>
      <c r="I415" s="0" t="n">
        <f aca="false">IF(LEN(G415)&gt;1,1,0)</f>
        <v>1</v>
      </c>
      <c r="J415" s="4" t="n">
        <v>45859</v>
      </c>
      <c r="K415" s="0" t="s">
        <v>11</v>
      </c>
      <c r="L415" s="0" t="s">
        <v>95</v>
      </c>
      <c r="M415" s="0" t="s">
        <v>226</v>
      </c>
      <c r="N415" s="0" t="s">
        <v>97</v>
      </c>
      <c r="O415" s="0" t="s">
        <v>2105</v>
      </c>
      <c r="Q415" s="0" t="s">
        <v>451</v>
      </c>
      <c r="R415" s="0" t="n">
        <v>2</v>
      </c>
      <c r="S415" s="5" t="n">
        <v>807</v>
      </c>
      <c r="T415" s="0" t="s">
        <v>229</v>
      </c>
      <c r="U415" s="0" t="n">
        <v>0</v>
      </c>
      <c r="V415" s="0" t="s">
        <v>230</v>
      </c>
      <c r="W415" s="0" t="s">
        <v>244</v>
      </c>
      <c r="Y415" s="0" t="s">
        <v>278</v>
      </c>
      <c r="Z415" s="0" t="s">
        <v>1550</v>
      </c>
      <c r="AA415" s="0" t="s">
        <v>235</v>
      </c>
      <c r="AB415" s="32" t="n">
        <v>3100</v>
      </c>
      <c r="AC415" s="32" t="n">
        <v>3200</v>
      </c>
      <c r="AD415" s="26" t="n">
        <f aca="false">IFERROR(AB415/B415,"")</f>
        <v>3.84138785625775</v>
      </c>
      <c r="AE415" s="26" t="n">
        <f aca="false">IFERROR(AC415/B415,"")</f>
        <v>3.96530359355638</v>
      </c>
      <c r="AF415" s="0" t="s">
        <v>421</v>
      </c>
      <c r="AG415" s="0" t="s">
        <v>236</v>
      </c>
      <c r="AH415" s="0" t="s">
        <v>236</v>
      </c>
      <c r="AI415" s="0" t="s">
        <v>2106</v>
      </c>
      <c r="AJ415" s="0" t="s">
        <v>2107</v>
      </c>
      <c r="AK415" s="0" t="s">
        <v>2108</v>
      </c>
      <c r="AL415" s="0" t="s">
        <v>2109</v>
      </c>
      <c r="AM415" s="0" t="s">
        <v>94</v>
      </c>
      <c r="AN415" s="26" t="n">
        <f aca="false">IFERROR(E415*(1+IF(AM415="Apartment",Data_Summary!$C$3,0)),"")</f>
        <v>3.84138785625775</v>
      </c>
      <c r="AO415" s="4" t="n">
        <v>46195</v>
      </c>
    </row>
    <row r="416" customFormat="false" ht="15" hidden="false" customHeight="false" outlineLevel="0" collapsed="false">
      <c r="A416" s="0" t="n">
        <f aca="false">IF(AND(ISNUMBER(B416),B416&gt;0,ISNUMBER(AB416),AB416&gt;0,J416&gt;=Data_Summary!$C$1),1,0)</f>
        <v>1</v>
      </c>
      <c r="B416" s="33" t="n">
        <v>706</v>
      </c>
      <c r="C416" s="5" t="n">
        <f aca="false">IF(ISNUMBER(AB416),AB416,"")</f>
        <v>2850</v>
      </c>
      <c r="D416" s="0" t="n">
        <f aca="false">IF(ISNUMBER(C416),C416-U416*Data_Summary!$C$2,"")</f>
        <v>2850</v>
      </c>
      <c r="E416" s="34" t="n">
        <f aca="false">IFERROR(C416/B416,"")</f>
        <v>4.03682719546742</v>
      </c>
      <c r="F416" s="26" t="n">
        <f aca="false">IFERROR(D416/B416,"")</f>
        <v>4.03682719546742</v>
      </c>
      <c r="G416" s="0" t="str">
        <f aca="false">Q416</f>
        <v>2</v>
      </c>
      <c r="H416" s="0" t="str">
        <f aca="false">IFERROR(LEFT(G416,1),"")</f>
        <v>2</v>
      </c>
      <c r="I416" s="0" t="n">
        <f aca="false">IF(LEN(G416)&gt;1,1,0)</f>
        <v>0</v>
      </c>
      <c r="J416" s="4" t="n">
        <v>45858</v>
      </c>
      <c r="K416" s="0" t="s">
        <v>11</v>
      </c>
      <c r="L416" s="0" t="s">
        <v>95</v>
      </c>
      <c r="M416" s="0" t="s">
        <v>226</v>
      </c>
      <c r="N416" s="0" t="s">
        <v>97</v>
      </c>
      <c r="O416" s="0" t="s">
        <v>2110</v>
      </c>
      <c r="Q416" s="0" t="s">
        <v>251</v>
      </c>
      <c r="R416" s="0" t="n">
        <v>2</v>
      </c>
      <c r="S416" s="5" t="n">
        <v>706</v>
      </c>
      <c r="T416" s="0" t="s">
        <v>271</v>
      </c>
      <c r="U416" s="0" t="n">
        <v>0</v>
      </c>
      <c r="V416" s="0" t="s">
        <v>230</v>
      </c>
      <c r="W416" s="0" t="s">
        <v>244</v>
      </c>
      <c r="Y416" s="0" t="s">
        <v>253</v>
      </c>
      <c r="Z416" s="0" t="s">
        <v>1550</v>
      </c>
      <c r="AA416" s="0" t="s">
        <v>235</v>
      </c>
      <c r="AB416" s="32" t="n">
        <v>2850</v>
      </c>
      <c r="AC416" s="32" t="n">
        <v>2850</v>
      </c>
      <c r="AD416" s="26" t="n">
        <f aca="false">IFERROR(AB416/B416,"")</f>
        <v>4.03682719546742</v>
      </c>
      <c r="AE416" s="26" t="n">
        <f aca="false">IFERROR(AC416/B416,"")</f>
        <v>4.03682719546742</v>
      </c>
      <c r="AF416" s="0" t="s">
        <v>236</v>
      </c>
      <c r="AG416" s="0" t="s">
        <v>236</v>
      </c>
      <c r="AH416" s="0" t="s">
        <v>236</v>
      </c>
      <c r="AI416" s="0" t="s">
        <v>1031</v>
      </c>
      <c r="AJ416" s="0" t="s">
        <v>2111</v>
      </c>
      <c r="AK416" s="0" t="s">
        <v>2112</v>
      </c>
      <c r="AL416" s="0" t="s">
        <v>2113</v>
      </c>
      <c r="AM416" s="0" t="s">
        <v>94</v>
      </c>
      <c r="AN416" s="26" t="n">
        <f aca="false">IFERROR(E416*(1+IF(AM416="Apartment",Data_Summary!$C$3,0)),"")</f>
        <v>4.03682719546742</v>
      </c>
      <c r="AO416" s="4" t="n">
        <v>46195</v>
      </c>
    </row>
    <row r="417" customFormat="false" ht="15" hidden="false" customHeight="false" outlineLevel="0" collapsed="false">
      <c r="A417" s="0" t="n">
        <f aca="false">IF(AND(ISNUMBER(B417),B417&gt;0,ISNUMBER(AB417),AB417&gt;0,J417&gt;=Data_Summary!$C$1),1,0)</f>
        <v>1</v>
      </c>
      <c r="B417" s="33" t="n">
        <v>455</v>
      </c>
      <c r="C417" s="5" t="n">
        <f aca="false">IF(ISNUMBER(AB417),AB417,"")</f>
        <v>3000</v>
      </c>
      <c r="D417" s="0" t="n">
        <f aca="false">IF(ISNUMBER(C417),C417-U417*Data_Summary!$C$2,"")</f>
        <v>3000</v>
      </c>
      <c r="E417" s="34" t="n">
        <f aca="false">IFERROR(C417/B417,"")</f>
        <v>6.59340659340659</v>
      </c>
      <c r="F417" s="26" t="n">
        <f aca="false">IFERROR(D417/B417,"")</f>
        <v>6.59340659340659</v>
      </c>
      <c r="G417" s="0" t="str">
        <f aca="false">Q417</f>
        <v>2</v>
      </c>
      <c r="H417" s="0" t="str">
        <f aca="false">IFERROR(LEFT(G417,1),"")</f>
        <v>2</v>
      </c>
      <c r="I417" s="0" t="n">
        <f aca="false">IF(LEN(G417)&gt;1,1,0)</f>
        <v>0</v>
      </c>
      <c r="J417" s="4" t="n">
        <v>45856</v>
      </c>
      <c r="K417" s="0" t="s">
        <v>11</v>
      </c>
      <c r="L417" s="0" t="s">
        <v>95</v>
      </c>
      <c r="M417" s="0" t="s">
        <v>226</v>
      </c>
      <c r="N417" s="0" t="s">
        <v>97</v>
      </c>
      <c r="O417" s="0" t="s">
        <v>2114</v>
      </c>
      <c r="Q417" s="0" t="s">
        <v>251</v>
      </c>
      <c r="R417" s="0" t="n">
        <v>2</v>
      </c>
      <c r="S417" s="5" t="n">
        <v>455</v>
      </c>
      <c r="T417" s="0" t="s">
        <v>252</v>
      </c>
      <c r="U417" s="0" t="n">
        <v>0</v>
      </c>
      <c r="V417" s="0" t="s">
        <v>230</v>
      </c>
      <c r="W417" s="0" t="s">
        <v>244</v>
      </c>
      <c r="Y417" s="0" t="s">
        <v>278</v>
      </c>
      <c r="Z417" s="0" t="s">
        <v>1550</v>
      </c>
      <c r="AA417" s="0" t="s">
        <v>235</v>
      </c>
      <c r="AB417" s="32" t="n">
        <v>3000</v>
      </c>
      <c r="AC417" s="32" t="n">
        <v>3000</v>
      </c>
      <c r="AD417" s="26" t="n">
        <f aca="false">IFERROR(AB417/B417,"")</f>
        <v>6.59340659340659</v>
      </c>
      <c r="AE417" s="26" t="n">
        <f aca="false">IFERROR(AC417/B417,"")</f>
        <v>6.59340659340659</v>
      </c>
      <c r="AF417" s="0" t="s">
        <v>236</v>
      </c>
      <c r="AG417" s="0" t="s">
        <v>236</v>
      </c>
      <c r="AH417" s="0" t="s">
        <v>236</v>
      </c>
      <c r="AI417" s="0" t="s">
        <v>1049</v>
      </c>
      <c r="AJ417" s="0" t="s">
        <v>2115</v>
      </c>
      <c r="AK417" s="0" t="s">
        <v>2116</v>
      </c>
      <c r="AL417" s="0" t="s">
        <v>2117</v>
      </c>
      <c r="AM417" s="0" t="s">
        <v>94</v>
      </c>
      <c r="AN417" s="26" t="n">
        <f aca="false">IFERROR(E417*(1+IF(AM417="Apartment",Data_Summary!$C$3,0)),"")</f>
        <v>6.59340659340659</v>
      </c>
      <c r="AO417" s="4" t="n">
        <v>46195</v>
      </c>
    </row>
    <row r="418" customFormat="false" ht="15" hidden="false" customHeight="false" outlineLevel="0" collapsed="false">
      <c r="A418" s="0" t="n">
        <f aca="false">IF(AND(ISNUMBER(B418),B418&gt;0,ISNUMBER(AB418),AB418&gt;0,J418&gt;=Data_Summary!$C$1),1,0)</f>
        <v>1</v>
      </c>
      <c r="B418" s="33" t="n">
        <v>652</v>
      </c>
      <c r="C418" s="5" t="n">
        <f aca="false">IF(ISNUMBER(AB418),AB418,"")</f>
        <v>2800</v>
      </c>
      <c r="D418" s="0" t="n">
        <f aca="false">IF(ISNUMBER(C418),C418-U418*Data_Summary!$C$2,"")</f>
        <v>2800</v>
      </c>
      <c r="E418" s="34" t="n">
        <f aca="false">IFERROR(C418/B418,"")</f>
        <v>4.29447852760736</v>
      </c>
      <c r="F418" s="26" t="n">
        <f aca="false">IFERROR(D418/B418,"")</f>
        <v>4.29447852760736</v>
      </c>
      <c r="G418" s="0" t="str">
        <f aca="false">Q418</f>
        <v>2</v>
      </c>
      <c r="H418" s="0" t="str">
        <f aca="false">IFERROR(LEFT(G418,1),"")</f>
        <v>2</v>
      </c>
      <c r="I418" s="0" t="n">
        <f aca="false">IF(LEN(G418)&gt;1,1,0)</f>
        <v>0</v>
      </c>
      <c r="J418" s="4" t="n">
        <v>45854</v>
      </c>
      <c r="K418" s="0" t="s">
        <v>11</v>
      </c>
      <c r="L418" s="0" t="s">
        <v>95</v>
      </c>
      <c r="M418" s="0" t="s">
        <v>226</v>
      </c>
      <c r="N418" s="0" t="s">
        <v>97</v>
      </c>
      <c r="O418" s="0" t="s">
        <v>1161</v>
      </c>
      <c r="Q418" s="0" t="s">
        <v>251</v>
      </c>
      <c r="R418" s="0" t="n">
        <v>2</v>
      </c>
      <c r="S418" s="5" t="n">
        <v>652</v>
      </c>
      <c r="T418" s="0" t="s">
        <v>271</v>
      </c>
      <c r="U418" s="0" t="n">
        <v>0</v>
      </c>
      <c r="V418" s="0" t="s">
        <v>230</v>
      </c>
      <c r="W418" s="0" t="s">
        <v>244</v>
      </c>
      <c r="Y418" s="0" t="s">
        <v>272</v>
      </c>
      <c r="Z418" s="0" t="s">
        <v>1550</v>
      </c>
      <c r="AA418" s="0" t="s">
        <v>235</v>
      </c>
      <c r="AB418" s="32" t="n">
        <v>2800</v>
      </c>
      <c r="AC418" s="32" t="n">
        <v>2900</v>
      </c>
      <c r="AD418" s="26" t="n">
        <f aca="false">IFERROR(AB418/B418,"")</f>
        <v>4.29447852760736</v>
      </c>
      <c r="AE418" s="26" t="n">
        <f aca="false">IFERROR(AC418/B418,"")</f>
        <v>4.4478527607362</v>
      </c>
      <c r="AF418" s="0" t="s">
        <v>421</v>
      </c>
      <c r="AG418" s="0" t="s">
        <v>236</v>
      </c>
      <c r="AH418" s="0" t="s">
        <v>236</v>
      </c>
      <c r="AI418" s="0" t="s">
        <v>1074</v>
      </c>
      <c r="AJ418" s="0" t="s">
        <v>2118</v>
      </c>
      <c r="AK418" s="0" t="s">
        <v>2119</v>
      </c>
      <c r="AL418" s="0" t="s">
        <v>2120</v>
      </c>
      <c r="AM418" s="0" t="s">
        <v>94</v>
      </c>
      <c r="AN418" s="26" t="n">
        <f aca="false">IFERROR(E418*(1+IF(AM418="Apartment",Data_Summary!$C$3,0)),"")</f>
        <v>4.29447852760736</v>
      </c>
      <c r="AO418" s="4" t="n">
        <v>46195</v>
      </c>
    </row>
    <row r="419" customFormat="false" ht="15" hidden="false" customHeight="false" outlineLevel="0" collapsed="false">
      <c r="A419" s="0" t="n">
        <f aca="false">IF(AND(ISNUMBER(B419),B419&gt;0,ISNUMBER(AB419),AB419&gt;0,J419&gt;=Data_Summary!$C$1),1,0)</f>
        <v>1</v>
      </c>
      <c r="B419" s="30" t="n">
        <v>799</v>
      </c>
      <c r="C419" s="5" t="n">
        <f aca="false">IF(ISNUMBER(AB419),AB419,"")</f>
        <v>3400</v>
      </c>
      <c r="D419" s="0" t="n">
        <f aca="false">IF(ISNUMBER(C419),C419-U419*Data_Summary!$C$2,"")</f>
        <v>3250</v>
      </c>
      <c r="E419" s="31" t="n">
        <f aca="false">IFERROR(C419/B419,"")</f>
        <v>4.25531914893617</v>
      </c>
      <c r="F419" s="26" t="n">
        <f aca="false">IFERROR(D419/B419,"")</f>
        <v>4.06758448060075</v>
      </c>
      <c r="G419" s="0" t="str">
        <f aca="false">Q419</f>
        <v>2+1</v>
      </c>
      <c r="H419" s="0" t="str">
        <f aca="false">IFERROR(LEFT(G419,1),"")</f>
        <v>2</v>
      </c>
      <c r="I419" s="0" t="n">
        <f aca="false">IF(LEN(G419)&gt;1,1,0)</f>
        <v>1</v>
      </c>
      <c r="J419" s="4" t="n">
        <v>45852</v>
      </c>
      <c r="K419" s="0" t="s">
        <v>11</v>
      </c>
      <c r="L419" s="0" t="s">
        <v>95</v>
      </c>
      <c r="M419" s="0" t="s">
        <v>226</v>
      </c>
      <c r="N419" s="0" t="s">
        <v>97</v>
      </c>
      <c r="O419" s="0" t="s">
        <v>2121</v>
      </c>
      <c r="Q419" s="0" t="s">
        <v>451</v>
      </c>
      <c r="R419" s="0" t="n">
        <v>2</v>
      </c>
      <c r="S419" s="5" t="n">
        <v>799</v>
      </c>
      <c r="T419" s="0" t="s">
        <v>252</v>
      </c>
      <c r="U419" s="0" t="n">
        <v>1</v>
      </c>
      <c r="V419" s="0" t="s">
        <v>230</v>
      </c>
      <c r="W419" s="0" t="s">
        <v>244</v>
      </c>
      <c r="X419" s="0" t="s">
        <v>232</v>
      </c>
      <c r="Y419" s="0" t="s">
        <v>233</v>
      </c>
      <c r="Z419" s="0" t="s">
        <v>1550</v>
      </c>
      <c r="AA419" s="0" t="s">
        <v>235</v>
      </c>
      <c r="AB419" s="32" t="n">
        <v>3400</v>
      </c>
      <c r="AC419" s="32" t="n">
        <v>3400</v>
      </c>
      <c r="AD419" s="26" t="n">
        <f aca="false">IFERROR(AB419/B419,"")</f>
        <v>4.25531914893617</v>
      </c>
      <c r="AE419" s="26" t="n">
        <f aca="false">IFERROR(AC419/B419,"")</f>
        <v>4.25531914893617</v>
      </c>
      <c r="AF419" s="0" t="s">
        <v>236</v>
      </c>
      <c r="AG419" s="0" t="s">
        <v>236</v>
      </c>
      <c r="AH419" s="0" t="s">
        <v>236</v>
      </c>
      <c r="AI419" s="0" t="s">
        <v>1096</v>
      </c>
      <c r="AJ419" s="0" t="s">
        <v>2122</v>
      </c>
      <c r="AK419" s="0" t="s">
        <v>2123</v>
      </c>
      <c r="AL419" s="0" t="s">
        <v>2124</v>
      </c>
      <c r="AM419" s="0" t="s">
        <v>94</v>
      </c>
      <c r="AN419" s="26" t="n">
        <f aca="false">IFERROR(E419*(1+IF(AM419="Apartment",Data_Summary!$C$3,0)),"")</f>
        <v>4.25531914893617</v>
      </c>
      <c r="AO419" s="4" t="n">
        <v>46195</v>
      </c>
    </row>
    <row r="420" customFormat="false" ht="15" hidden="false" customHeight="false" outlineLevel="0" collapsed="false">
      <c r="A420" s="0" t="n">
        <f aca="false">IF(AND(ISNUMBER(B420),B420&gt;0,ISNUMBER(AB420),AB420&gt;0,J420&gt;=Data_Summary!$C$1),1,0)</f>
        <v>1</v>
      </c>
      <c r="B420" s="30" t="n">
        <v>652</v>
      </c>
      <c r="C420" s="5" t="n">
        <f aca="false">IF(ISNUMBER(AB420),AB420,"")</f>
        <v>2800</v>
      </c>
      <c r="D420" s="0" t="n">
        <f aca="false">IF(ISNUMBER(C420),C420-U420*Data_Summary!$C$2,"")</f>
        <v>2800</v>
      </c>
      <c r="E420" s="31" t="n">
        <f aca="false">IFERROR(C420/B420,"")</f>
        <v>4.29447852760736</v>
      </c>
      <c r="F420" s="26" t="n">
        <f aca="false">IFERROR(D420/B420,"")</f>
        <v>4.29447852760736</v>
      </c>
      <c r="G420" s="0" t="str">
        <f aca="false">Q420</f>
        <v>2</v>
      </c>
      <c r="H420" s="0" t="str">
        <f aca="false">IFERROR(LEFT(G420,1),"")</f>
        <v>2</v>
      </c>
      <c r="I420" s="0" t="n">
        <f aca="false">IF(LEN(G420)&gt;1,1,0)</f>
        <v>0</v>
      </c>
      <c r="J420" s="4" t="n">
        <v>45852</v>
      </c>
      <c r="K420" s="0" t="s">
        <v>11</v>
      </c>
      <c r="L420" s="0" t="s">
        <v>95</v>
      </c>
      <c r="M420" s="0" t="s">
        <v>226</v>
      </c>
      <c r="N420" s="0" t="s">
        <v>97</v>
      </c>
      <c r="O420" s="0" t="s">
        <v>2125</v>
      </c>
      <c r="Q420" s="0" t="s">
        <v>251</v>
      </c>
      <c r="R420" s="0" t="n">
        <v>2</v>
      </c>
      <c r="S420" s="5" t="n">
        <v>652</v>
      </c>
      <c r="T420" s="0" t="s">
        <v>271</v>
      </c>
      <c r="U420" s="0" t="n">
        <v>0</v>
      </c>
      <c r="V420" s="0" t="s">
        <v>230</v>
      </c>
      <c r="W420" s="0" t="s">
        <v>244</v>
      </c>
      <c r="Y420" s="0" t="s">
        <v>308</v>
      </c>
      <c r="Z420" s="0" t="s">
        <v>1550</v>
      </c>
      <c r="AA420" s="0" t="s">
        <v>235</v>
      </c>
      <c r="AB420" s="32" t="n">
        <v>2800</v>
      </c>
      <c r="AC420" s="32" t="n">
        <v>2850</v>
      </c>
      <c r="AD420" s="26" t="n">
        <f aca="false">IFERROR(AB420/B420,"")</f>
        <v>4.29447852760736</v>
      </c>
      <c r="AE420" s="26" t="n">
        <f aca="false">IFERROR(AC420/B420,"")</f>
        <v>4.37116564417178</v>
      </c>
      <c r="AF420" s="0" t="s">
        <v>236</v>
      </c>
      <c r="AG420" s="0" t="s">
        <v>236</v>
      </c>
      <c r="AH420" s="0" t="s">
        <v>236</v>
      </c>
      <c r="AI420" s="0" t="s">
        <v>1096</v>
      </c>
      <c r="AJ420" s="0" t="s">
        <v>2126</v>
      </c>
      <c r="AK420" s="0" t="s">
        <v>2127</v>
      </c>
      <c r="AL420" s="0" t="s">
        <v>2128</v>
      </c>
      <c r="AM420" s="0" t="s">
        <v>94</v>
      </c>
      <c r="AN420" s="26" t="n">
        <f aca="false">IFERROR(E420*(1+IF(AM420="Apartment",Data_Summary!$C$3,0)),"")</f>
        <v>4.29447852760736</v>
      </c>
      <c r="AO420" s="4" t="n">
        <v>46195</v>
      </c>
    </row>
    <row r="421" customFormat="false" ht="15" hidden="false" customHeight="false" outlineLevel="0" collapsed="false">
      <c r="A421" s="0" t="n">
        <f aca="false">IF(AND(ISNUMBER(B421),B421&gt;0,ISNUMBER(AB421),AB421&gt;0,J421&gt;=Data_Summary!$C$1),1,0)</f>
        <v>1</v>
      </c>
      <c r="B421" s="30" t="n">
        <v>748</v>
      </c>
      <c r="C421" s="5" t="n">
        <f aca="false">IF(ISNUMBER(AB421),AB421,"")</f>
        <v>3250</v>
      </c>
      <c r="D421" s="0" t="n">
        <f aca="false">IF(ISNUMBER(C421),C421-U421*Data_Summary!$C$2,"")</f>
        <v>3250</v>
      </c>
      <c r="E421" s="31" t="n">
        <f aca="false">IFERROR(C421/B421,"")</f>
        <v>4.34491978609626</v>
      </c>
      <c r="F421" s="26" t="n">
        <f aca="false">IFERROR(D421/B421,"")</f>
        <v>4.34491978609626</v>
      </c>
      <c r="G421" s="0" t="str">
        <f aca="false">Q421</f>
        <v>2</v>
      </c>
      <c r="H421" s="0" t="str">
        <f aca="false">IFERROR(LEFT(G421,1),"")</f>
        <v>2</v>
      </c>
      <c r="I421" s="0" t="n">
        <f aca="false">IF(LEN(G421)&gt;1,1,0)</f>
        <v>0</v>
      </c>
      <c r="J421" s="4" t="n">
        <v>45848</v>
      </c>
      <c r="K421" s="0" t="s">
        <v>11</v>
      </c>
      <c r="L421" s="0" t="s">
        <v>95</v>
      </c>
      <c r="M421" s="0" t="s">
        <v>226</v>
      </c>
      <c r="N421" s="0" t="s">
        <v>97</v>
      </c>
      <c r="O421" s="0" t="s">
        <v>400</v>
      </c>
      <c r="Q421" s="0" t="s">
        <v>251</v>
      </c>
      <c r="R421" s="0" t="n">
        <v>2</v>
      </c>
      <c r="S421" s="5" t="n">
        <v>748</v>
      </c>
      <c r="T421" s="0" t="s">
        <v>252</v>
      </c>
      <c r="U421" s="0" t="n">
        <v>0</v>
      </c>
      <c r="V421" s="0" t="s">
        <v>230</v>
      </c>
      <c r="W421" s="0" t="s">
        <v>244</v>
      </c>
      <c r="Y421" s="0" t="s">
        <v>278</v>
      </c>
      <c r="Z421" s="0" t="s">
        <v>1550</v>
      </c>
      <c r="AA421" s="0" t="s">
        <v>235</v>
      </c>
      <c r="AB421" s="32" t="n">
        <v>3250</v>
      </c>
      <c r="AC421" s="32" t="n">
        <v>3300</v>
      </c>
      <c r="AD421" s="26" t="n">
        <f aca="false">IFERROR(AB421/B421,"")</f>
        <v>4.34491978609626</v>
      </c>
      <c r="AE421" s="26" t="n">
        <f aca="false">IFERROR(AC421/B421,"")</f>
        <v>4.41176470588235</v>
      </c>
      <c r="AF421" s="0" t="s">
        <v>236</v>
      </c>
      <c r="AG421" s="0" t="s">
        <v>236</v>
      </c>
      <c r="AH421" s="0" t="s">
        <v>236</v>
      </c>
      <c r="AI421" s="0" t="s">
        <v>2129</v>
      </c>
      <c r="AJ421" s="0" t="s">
        <v>2130</v>
      </c>
      <c r="AK421" s="0" t="s">
        <v>2131</v>
      </c>
      <c r="AL421" s="0" t="s">
        <v>2132</v>
      </c>
      <c r="AM421" s="0" t="s">
        <v>94</v>
      </c>
      <c r="AN421" s="26" t="n">
        <f aca="false">IFERROR(E421*(1+IF(AM421="Apartment",Data_Summary!$C$3,0)),"")</f>
        <v>4.34491978609626</v>
      </c>
      <c r="AO421" s="4" t="n">
        <v>46195</v>
      </c>
    </row>
    <row r="422" customFormat="false" ht="15" hidden="false" customHeight="false" outlineLevel="0" collapsed="false">
      <c r="A422" s="0" t="n">
        <f aca="false">IF(AND(ISNUMBER(B422),B422&gt;0,ISNUMBER(AB422),AB422&gt;0,J422&gt;=Data_Summary!$C$1),1,0)</f>
        <v>1</v>
      </c>
      <c r="B422" s="30" t="n">
        <v>534</v>
      </c>
      <c r="C422" s="5" t="n">
        <f aca="false">IF(ISNUMBER(AB422),AB422,"")</f>
        <v>2080</v>
      </c>
      <c r="D422" s="0" t="n">
        <f aca="false">IF(ISNUMBER(C422),C422-U422*Data_Summary!$C$2,"")</f>
        <v>2080</v>
      </c>
      <c r="E422" s="31" t="n">
        <f aca="false">IFERROR(C422/B422,"")</f>
        <v>3.89513108614232</v>
      </c>
      <c r="F422" s="26" t="n">
        <f aca="false">IFERROR(D422/B422,"")</f>
        <v>3.89513108614232</v>
      </c>
      <c r="G422" s="0" t="str">
        <f aca="false">Q422</f>
        <v>1</v>
      </c>
      <c r="H422" s="0" t="str">
        <f aca="false">IFERROR(LEFT(G422,1),"")</f>
        <v>1</v>
      </c>
      <c r="I422" s="0" t="n">
        <f aca="false">IF(LEN(G422)&gt;1,1,0)</f>
        <v>0</v>
      </c>
      <c r="J422" s="4" t="n">
        <v>45847</v>
      </c>
      <c r="K422" s="0" t="s">
        <v>11</v>
      </c>
      <c r="L422" s="0" t="s">
        <v>95</v>
      </c>
      <c r="M422" s="0" t="s">
        <v>226</v>
      </c>
      <c r="N422" s="0" t="s">
        <v>97</v>
      </c>
      <c r="O422" s="0" t="s">
        <v>2133</v>
      </c>
      <c r="Q422" s="0" t="s">
        <v>242</v>
      </c>
      <c r="R422" s="0" t="n">
        <v>1</v>
      </c>
      <c r="S422" s="5" t="n">
        <v>534</v>
      </c>
      <c r="T422" s="0" t="s">
        <v>243</v>
      </c>
      <c r="U422" s="0" t="n">
        <v>0</v>
      </c>
      <c r="V422" s="0" t="s">
        <v>230</v>
      </c>
      <c r="W422" s="0" t="s">
        <v>244</v>
      </c>
      <c r="Y422" s="0" t="s">
        <v>253</v>
      </c>
      <c r="Z422" s="0" t="s">
        <v>1550</v>
      </c>
      <c r="AA422" s="0" t="s">
        <v>235</v>
      </c>
      <c r="AB422" s="32" t="n">
        <v>2080</v>
      </c>
      <c r="AC422" s="32" t="n">
        <v>2080</v>
      </c>
      <c r="AD422" s="26" t="n">
        <f aca="false">IFERROR(AB422/B422,"")</f>
        <v>3.89513108614232</v>
      </c>
      <c r="AE422" s="26" t="n">
        <f aca="false">IFERROR(AC422/B422,"")</f>
        <v>3.89513108614232</v>
      </c>
      <c r="AF422" s="0" t="s">
        <v>236</v>
      </c>
      <c r="AG422" s="0" t="s">
        <v>236</v>
      </c>
      <c r="AH422" s="0" t="s">
        <v>236</v>
      </c>
      <c r="AI422" s="0" t="s">
        <v>1123</v>
      </c>
      <c r="AJ422" s="0" t="s">
        <v>2134</v>
      </c>
      <c r="AK422" s="0" t="s">
        <v>2135</v>
      </c>
      <c r="AL422" s="0" t="s">
        <v>2136</v>
      </c>
      <c r="AM422" s="0" t="s">
        <v>94</v>
      </c>
      <c r="AN422" s="26" t="n">
        <f aca="false">IFERROR(E422*(1+IF(AM422="Apartment",Data_Summary!$C$3,0)),"")</f>
        <v>3.89513108614232</v>
      </c>
      <c r="AO422" s="4" t="n">
        <v>46195</v>
      </c>
    </row>
    <row r="423" customFormat="false" ht="15" hidden="false" customHeight="false" outlineLevel="0" collapsed="false">
      <c r="A423" s="0" t="n">
        <f aca="false">IF(AND(ISNUMBER(B423),B423&gt;0,ISNUMBER(AB423),AB423&gt;0,J423&gt;=Data_Summary!$C$1),1,0)</f>
        <v>1</v>
      </c>
      <c r="B423" s="30" t="n">
        <v>667</v>
      </c>
      <c r="C423" s="5" t="n">
        <f aca="false">IF(ISNUMBER(AB423),AB423,"")</f>
        <v>3050</v>
      </c>
      <c r="D423" s="0" t="n">
        <f aca="false">IF(ISNUMBER(C423),C423-U423*Data_Summary!$C$2,"")</f>
        <v>3050</v>
      </c>
      <c r="E423" s="31" t="n">
        <f aca="false">IFERROR(C423/B423,"")</f>
        <v>4.57271364317841</v>
      </c>
      <c r="F423" s="26" t="n">
        <f aca="false">IFERROR(D423/B423,"")</f>
        <v>4.57271364317841</v>
      </c>
      <c r="G423" s="0" t="str">
        <f aca="false">Q423</f>
        <v>2</v>
      </c>
      <c r="H423" s="0" t="str">
        <f aca="false">IFERROR(LEFT(G423,1),"")</f>
        <v>2</v>
      </c>
      <c r="I423" s="0" t="n">
        <f aca="false">IF(LEN(G423)&gt;1,1,0)</f>
        <v>0</v>
      </c>
      <c r="J423" s="4" t="n">
        <v>45846</v>
      </c>
      <c r="K423" s="0" t="s">
        <v>11</v>
      </c>
      <c r="L423" s="0" t="s">
        <v>95</v>
      </c>
      <c r="M423" s="0" t="s">
        <v>226</v>
      </c>
      <c r="N423" s="0" t="s">
        <v>97</v>
      </c>
      <c r="O423" s="0" t="s">
        <v>497</v>
      </c>
      <c r="Q423" s="0" t="s">
        <v>251</v>
      </c>
      <c r="R423" s="0" t="n">
        <v>2</v>
      </c>
      <c r="S423" s="5" t="n">
        <v>667</v>
      </c>
      <c r="T423" s="0" t="s">
        <v>271</v>
      </c>
      <c r="U423" s="0" t="n">
        <v>0</v>
      </c>
      <c r="V423" s="0" t="s">
        <v>230</v>
      </c>
      <c r="W423" s="0" t="s">
        <v>244</v>
      </c>
      <c r="Y423" s="0" t="s">
        <v>297</v>
      </c>
      <c r="Z423" s="0" t="s">
        <v>1550</v>
      </c>
      <c r="AA423" s="0" t="s">
        <v>235</v>
      </c>
      <c r="AB423" s="32" t="n">
        <v>3050</v>
      </c>
      <c r="AC423" s="32" t="n">
        <v>3050</v>
      </c>
      <c r="AD423" s="26" t="n">
        <f aca="false">IFERROR(AB423/B423,"")</f>
        <v>4.57271364317841</v>
      </c>
      <c r="AE423" s="26" t="n">
        <f aca="false">IFERROR(AC423/B423,"")</f>
        <v>4.57271364317841</v>
      </c>
      <c r="AF423" s="0" t="s">
        <v>236</v>
      </c>
      <c r="AG423" s="0" t="s">
        <v>236</v>
      </c>
      <c r="AH423" s="0" t="s">
        <v>236</v>
      </c>
      <c r="AI423" s="0" t="s">
        <v>1135</v>
      </c>
      <c r="AJ423" s="0" t="s">
        <v>2137</v>
      </c>
      <c r="AK423" s="0" t="s">
        <v>2138</v>
      </c>
      <c r="AL423" s="0" t="s">
        <v>2139</v>
      </c>
      <c r="AM423" s="0" t="s">
        <v>94</v>
      </c>
      <c r="AN423" s="26" t="n">
        <f aca="false">IFERROR(E423*(1+IF(AM423="Apartment",Data_Summary!$C$3,0)),"")</f>
        <v>4.57271364317841</v>
      </c>
      <c r="AO423" s="4" t="n">
        <v>46195</v>
      </c>
    </row>
    <row r="424" customFormat="false" ht="15" hidden="false" customHeight="false" outlineLevel="0" collapsed="false">
      <c r="A424" s="0" t="n">
        <f aca="false">IF(AND(ISNUMBER(B424),B424&gt;0,ISNUMBER(AB424),AB424&gt;0,J424&gt;=Data_Summary!$C$1),1,0)</f>
        <v>1</v>
      </c>
      <c r="B424" s="30" t="n">
        <v>862</v>
      </c>
      <c r="C424" s="5" t="n">
        <f aca="false">IF(ISNUMBER(AB424),AB424,"")</f>
        <v>3850</v>
      </c>
      <c r="D424" s="0" t="n">
        <f aca="false">IF(ISNUMBER(C424),C424-U424*Data_Summary!$C$2,"")</f>
        <v>3700</v>
      </c>
      <c r="E424" s="31" t="n">
        <f aca="false">IFERROR(C424/B424,"")</f>
        <v>4.46635730858469</v>
      </c>
      <c r="F424" s="26" t="n">
        <f aca="false">IFERROR(D424/B424,"")</f>
        <v>4.292343387471</v>
      </c>
      <c r="G424" s="0" t="str">
        <f aca="false">Q424</f>
        <v>2+1</v>
      </c>
      <c r="H424" s="0" t="str">
        <f aca="false">IFERROR(LEFT(G424,1),"")</f>
        <v>2</v>
      </c>
      <c r="I424" s="0" t="n">
        <f aca="false">IF(LEN(G424)&gt;1,1,0)</f>
        <v>1</v>
      </c>
      <c r="J424" s="4" t="n">
        <v>45840</v>
      </c>
      <c r="K424" s="0" t="s">
        <v>11</v>
      </c>
      <c r="L424" s="0" t="s">
        <v>95</v>
      </c>
      <c r="M424" s="0" t="s">
        <v>226</v>
      </c>
      <c r="N424" s="0" t="s">
        <v>97</v>
      </c>
      <c r="O424" s="0" t="s">
        <v>2140</v>
      </c>
      <c r="Q424" s="0" t="s">
        <v>451</v>
      </c>
      <c r="R424" s="0" t="n">
        <v>2</v>
      </c>
      <c r="S424" s="5" t="n">
        <v>862</v>
      </c>
      <c r="T424" s="0" t="s">
        <v>229</v>
      </c>
      <c r="U424" s="0" t="n">
        <v>1</v>
      </c>
      <c r="V424" s="0" t="s">
        <v>230</v>
      </c>
      <c r="W424" s="0" t="s">
        <v>244</v>
      </c>
      <c r="X424" s="0" t="s">
        <v>232</v>
      </c>
      <c r="Y424" s="0" t="s">
        <v>260</v>
      </c>
      <c r="Z424" s="0" t="s">
        <v>1550</v>
      </c>
      <c r="AA424" s="0" t="s">
        <v>235</v>
      </c>
      <c r="AB424" s="32" t="n">
        <v>3850</v>
      </c>
      <c r="AC424" s="32" t="n">
        <v>3850</v>
      </c>
      <c r="AD424" s="26" t="n">
        <f aca="false">IFERROR(AB424/B424,"")</f>
        <v>4.46635730858469</v>
      </c>
      <c r="AE424" s="26" t="n">
        <f aca="false">IFERROR(AC424/B424,"")</f>
        <v>4.46635730858469</v>
      </c>
      <c r="AF424" s="0" t="s">
        <v>236</v>
      </c>
      <c r="AG424" s="0" t="s">
        <v>236</v>
      </c>
      <c r="AH424" s="0" t="s">
        <v>236</v>
      </c>
      <c r="AI424" s="0" t="s">
        <v>1192</v>
      </c>
      <c r="AJ424" s="0" t="s">
        <v>2141</v>
      </c>
      <c r="AK424" s="0" t="s">
        <v>2142</v>
      </c>
      <c r="AL424" s="0" t="s">
        <v>2143</v>
      </c>
      <c r="AM424" s="0" t="s">
        <v>94</v>
      </c>
      <c r="AN424" s="26" t="n">
        <f aca="false">IFERROR(E424*(1+IF(AM424="Apartment",Data_Summary!$C$3,0)),"")</f>
        <v>4.46635730858469</v>
      </c>
      <c r="AO424" s="4" t="n">
        <v>46195</v>
      </c>
    </row>
    <row r="425" customFormat="false" ht="15" hidden="false" customHeight="false" outlineLevel="0" collapsed="false">
      <c r="A425" s="0" t="n">
        <f aca="false">IF(AND(ISNUMBER(B425),B425&gt;0,ISNUMBER(AB425),AB425&gt;0,J425&gt;=Data_Summary!$C$1),1,0)</f>
        <v>1</v>
      </c>
      <c r="B425" s="33" t="n">
        <v>652</v>
      </c>
      <c r="C425" s="5" t="n">
        <f aca="false">IF(ISNUMBER(AB425),AB425,"")</f>
        <v>3000</v>
      </c>
      <c r="D425" s="0" t="n">
        <f aca="false">IF(ISNUMBER(C425),C425-U425*Data_Summary!$C$2,"")</f>
        <v>3000</v>
      </c>
      <c r="E425" s="34" t="n">
        <f aca="false">IFERROR(C425/B425,"")</f>
        <v>4.60122699386503</v>
      </c>
      <c r="F425" s="26" t="n">
        <f aca="false">IFERROR(D425/B425,"")</f>
        <v>4.60122699386503</v>
      </c>
      <c r="G425" s="0" t="str">
        <f aca="false">Q425</f>
        <v>2</v>
      </c>
      <c r="H425" s="0" t="str">
        <f aca="false">IFERROR(LEFT(G425,1),"")</f>
        <v>2</v>
      </c>
      <c r="I425" s="0" t="n">
        <f aca="false">IF(LEN(G425)&gt;1,1,0)</f>
        <v>0</v>
      </c>
      <c r="J425" s="4" t="n">
        <v>45840</v>
      </c>
      <c r="K425" s="0" t="s">
        <v>11</v>
      </c>
      <c r="L425" s="0" t="s">
        <v>95</v>
      </c>
      <c r="M425" s="0" t="s">
        <v>226</v>
      </c>
      <c r="N425" s="0" t="s">
        <v>97</v>
      </c>
      <c r="O425" s="0" t="s">
        <v>1874</v>
      </c>
      <c r="Q425" s="0" t="s">
        <v>251</v>
      </c>
      <c r="R425" s="0" t="n">
        <v>2</v>
      </c>
      <c r="S425" s="5" t="n">
        <v>652</v>
      </c>
      <c r="T425" s="0" t="s">
        <v>271</v>
      </c>
      <c r="U425" s="0" t="n">
        <v>0</v>
      </c>
      <c r="V425" s="0" t="s">
        <v>230</v>
      </c>
      <c r="W425" s="0" t="s">
        <v>244</v>
      </c>
      <c r="Y425" s="0" t="s">
        <v>308</v>
      </c>
      <c r="Z425" s="0" t="s">
        <v>1550</v>
      </c>
      <c r="AA425" s="0" t="s">
        <v>235</v>
      </c>
      <c r="AB425" s="32" t="n">
        <v>3000</v>
      </c>
      <c r="AC425" s="32" t="n">
        <v>3000</v>
      </c>
      <c r="AD425" s="26" t="n">
        <f aca="false">IFERROR(AB425/B425,"")</f>
        <v>4.60122699386503</v>
      </c>
      <c r="AE425" s="26" t="n">
        <f aca="false">IFERROR(AC425/B425,"")</f>
        <v>4.60122699386503</v>
      </c>
      <c r="AF425" s="0" t="s">
        <v>230</v>
      </c>
      <c r="AG425" s="0" t="s">
        <v>236</v>
      </c>
      <c r="AH425" s="0" t="s">
        <v>236</v>
      </c>
      <c r="AI425" s="0" t="s">
        <v>1192</v>
      </c>
      <c r="AJ425" s="0" t="s">
        <v>2144</v>
      </c>
      <c r="AK425" s="0" t="s">
        <v>2145</v>
      </c>
      <c r="AL425" s="0" t="s">
        <v>2146</v>
      </c>
      <c r="AM425" s="0" t="s">
        <v>94</v>
      </c>
      <c r="AN425" s="26" t="n">
        <f aca="false">IFERROR(E425*(1+IF(AM425="Apartment",Data_Summary!$C$3,0)),"")</f>
        <v>4.60122699386503</v>
      </c>
      <c r="AO425" s="4" t="n">
        <v>46195</v>
      </c>
    </row>
    <row r="426" customFormat="false" ht="15" hidden="false" customHeight="false" outlineLevel="0" collapsed="false">
      <c r="A426" s="0" t="n">
        <f aca="false">IF(AND(ISNUMBER(B426),B426&gt;0,ISNUMBER(AB426),AB426&gt;0,J426&gt;=Data_Summary!$C$1),1,0)</f>
        <v>1</v>
      </c>
      <c r="B426" s="33" t="n">
        <v>799</v>
      </c>
      <c r="C426" s="5" t="n">
        <f aca="false">IF(ISNUMBER(AB426),AB426,"")</f>
        <v>3300</v>
      </c>
      <c r="D426" s="0" t="n">
        <f aca="false">IF(ISNUMBER(C426),C426-U426*Data_Summary!$C$2,"")</f>
        <v>3300</v>
      </c>
      <c r="E426" s="34" t="n">
        <f aca="false">IFERROR(C426/B426,"")</f>
        <v>4.13016270337922</v>
      </c>
      <c r="F426" s="26" t="n">
        <f aca="false">IFERROR(D426/B426,"")</f>
        <v>4.13016270337922</v>
      </c>
      <c r="G426" s="0" t="str">
        <f aca="false">Q426</f>
        <v>2+1</v>
      </c>
      <c r="H426" s="0" t="str">
        <f aca="false">IFERROR(LEFT(G426,1),"")</f>
        <v>2</v>
      </c>
      <c r="I426" s="0" t="n">
        <f aca="false">IF(LEN(G426)&gt;1,1,0)</f>
        <v>1</v>
      </c>
      <c r="J426" s="4" t="n">
        <v>45839</v>
      </c>
      <c r="K426" s="0" t="s">
        <v>11</v>
      </c>
      <c r="L426" s="0" t="s">
        <v>95</v>
      </c>
      <c r="M426" s="0" t="s">
        <v>226</v>
      </c>
      <c r="N426" s="0" t="s">
        <v>97</v>
      </c>
      <c r="O426" s="0" t="s">
        <v>2147</v>
      </c>
      <c r="Q426" s="0" t="s">
        <v>451</v>
      </c>
      <c r="R426" s="0" t="n">
        <v>2</v>
      </c>
      <c r="S426" s="5" t="n">
        <v>799</v>
      </c>
      <c r="T426" s="0" t="s">
        <v>229</v>
      </c>
      <c r="U426" s="0" t="n">
        <v>0</v>
      </c>
      <c r="V426" s="0" t="s">
        <v>230</v>
      </c>
      <c r="W426" s="0" t="s">
        <v>244</v>
      </c>
      <c r="X426" s="0" t="s">
        <v>232</v>
      </c>
      <c r="Y426" s="0" t="s">
        <v>308</v>
      </c>
      <c r="Z426" s="0" t="s">
        <v>1550</v>
      </c>
      <c r="AA426" s="0" t="s">
        <v>235</v>
      </c>
      <c r="AB426" s="32" t="n">
        <v>3300</v>
      </c>
      <c r="AC426" s="32" t="n">
        <v>3200</v>
      </c>
      <c r="AD426" s="26" t="n">
        <f aca="false">IFERROR(AB426/B426,"")</f>
        <v>4.13016270337922</v>
      </c>
      <c r="AE426" s="26" t="n">
        <f aca="false">IFERROR(AC426/B426,"")</f>
        <v>4.00500625782228</v>
      </c>
      <c r="AF426" s="0" t="s">
        <v>236</v>
      </c>
      <c r="AG426" s="0" t="s">
        <v>236</v>
      </c>
      <c r="AH426" s="0" t="s">
        <v>236</v>
      </c>
      <c r="AI426" s="0" t="s">
        <v>1205</v>
      </c>
      <c r="AJ426" s="0" t="s">
        <v>2148</v>
      </c>
      <c r="AK426" s="0" t="s">
        <v>2149</v>
      </c>
      <c r="AL426" s="0" t="s">
        <v>2150</v>
      </c>
      <c r="AM426" s="0" t="s">
        <v>94</v>
      </c>
      <c r="AN426" s="26" t="n">
        <f aca="false">IFERROR(E426*(1+IF(AM426="Apartment",Data_Summary!$C$3,0)),"")</f>
        <v>4.13016270337922</v>
      </c>
      <c r="AO426" s="4" t="n">
        <v>46195</v>
      </c>
    </row>
    <row r="427" customFormat="false" ht="15" hidden="false" customHeight="false" outlineLevel="0" collapsed="false">
      <c r="A427" s="0" t="n">
        <f aca="false">IF(AND(ISNUMBER(B427),B427&gt;0,ISNUMBER(AB427),AB427&gt;0,J427&gt;=Data_Summary!$C$1),1,0)</f>
        <v>1</v>
      </c>
      <c r="B427" s="30" t="n">
        <v>862</v>
      </c>
      <c r="C427" s="5" t="n">
        <f aca="false">IF(ISNUMBER(AB427),AB427,"")</f>
        <v>3550</v>
      </c>
      <c r="D427" s="0" t="n">
        <f aca="false">IF(ISNUMBER(C427),C427-U427*Data_Summary!$C$2,"")</f>
        <v>3400</v>
      </c>
      <c r="E427" s="31" t="n">
        <f aca="false">IFERROR(C427/B427,"")</f>
        <v>4.11832946635731</v>
      </c>
      <c r="F427" s="26" t="n">
        <f aca="false">IFERROR(D427/B427,"")</f>
        <v>3.94431554524362</v>
      </c>
      <c r="G427" s="0" t="str">
        <f aca="false">Q427</f>
        <v>2</v>
      </c>
      <c r="H427" s="0" t="str">
        <f aca="false">IFERROR(LEFT(G427,1),"")</f>
        <v>2</v>
      </c>
      <c r="I427" s="0" t="n">
        <f aca="false">IF(LEN(G427)&gt;1,1,0)</f>
        <v>0</v>
      </c>
      <c r="J427" s="4" t="n">
        <v>45836</v>
      </c>
      <c r="K427" s="0" t="s">
        <v>11</v>
      </c>
      <c r="L427" s="0" t="s">
        <v>95</v>
      </c>
      <c r="M427" s="0" t="s">
        <v>226</v>
      </c>
      <c r="N427" s="0" t="s">
        <v>97</v>
      </c>
      <c r="O427" s="0" t="s">
        <v>1496</v>
      </c>
      <c r="Q427" s="0" t="s">
        <v>251</v>
      </c>
      <c r="R427" s="0" t="n">
        <v>2</v>
      </c>
      <c r="S427" s="5" t="n">
        <v>862</v>
      </c>
      <c r="T427" s="0" t="s">
        <v>229</v>
      </c>
      <c r="U427" s="0" t="n">
        <v>1</v>
      </c>
      <c r="V427" s="0" t="s">
        <v>230</v>
      </c>
      <c r="W427" s="0" t="s">
        <v>244</v>
      </c>
      <c r="X427" s="0" t="s">
        <v>232</v>
      </c>
      <c r="Y427" s="0" t="s">
        <v>297</v>
      </c>
      <c r="Z427" s="0" t="s">
        <v>1550</v>
      </c>
      <c r="AA427" s="0" t="s">
        <v>235</v>
      </c>
      <c r="AB427" s="32" t="n">
        <v>3550</v>
      </c>
      <c r="AC427" s="32" t="n">
        <v>3550</v>
      </c>
      <c r="AD427" s="26" t="n">
        <f aca="false">IFERROR(AB427/B427,"")</f>
        <v>4.11832946635731</v>
      </c>
      <c r="AE427" s="26" t="n">
        <f aca="false">IFERROR(AC427/B427,"")</f>
        <v>4.11832946635731</v>
      </c>
      <c r="AF427" s="0" t="s">
        <v>236</v>
      </c>
      <c r="AG427" s="0" t="s">
        <v>236</v>
      </c>
      <c r="AH427" s="0" t="s">
        <v>236</v>
      </c>
      <c r="AI427" s="0" t="s">
        <v>1224</v>
      </c>
      <c r="AJ427" s="0" t="s">
        <v>2151</v>
      </c>
      <c r="AK427" s="0" t="s">
        <v>2152</v>
      </c>
      <c r="AL427" s="0" t="s">
        <v>2153</v>
      </c>
      <c r="AM427" s="0" t="s">
        <v>94</v>
      </c>
      <c r="AN427" s="26" t="n">
        <f aca="false">IFERROR(E427*(1+IF(AM427="Apartment",Data_Summary!$C$3,0)),"")</f>
        <v>4.11832946635731</v>
      </c>
      <c r="AO427" s="4" t="n">
        <v>46195</v>
      </c>
    </row>
    <row r="428" customFormat="false" ht="15" hidden="false" customHeight="false" outlineLevel="0" collapsed="false">
      <c r="A428" s="0" t="n">
        <f aca="false">IF(AND(ISNUMBER(B428),B428&gt;0,ISNUMBER(AB428),AB428&gt;0,J428&gt;=Data_Summary!$C$1),1,0)</f>
        <v>1</v>
      </c>
      <c r="B428" s="30" t="n">
        <v>652</v>
      </c>
      <c r="C428" s="5" t="n">
        <f aca="false">IF(ISNUMBER(AB428),AB428,"")</f>
        <v>2850</v>
      </c>
      <c r="D428" s="0" t="n">
        <f aca="false">IF(ISNUMBER(C428),C428-U428*Data_Summary!$C$2,"")</f>
        <v>2850</v>
      </c>
      <c r="E428" s="31" t="n">
        <f aca="false">IFERROR(C428/B428,"")</f>
        <v>4.37116564417178</v>
      </c>
      <c r="F428" s="26" t="n">
        <f aca="false">IFERROR(D428/B428,"")</f>
        <v>4.37116564417178</v>
      </c>
      <c r="G428" s="0" t="str">
        <f aca="false">Q428</f>
        <v>2</v>
      </c>
      <c r="H428" s="0" t="str">
        <f aca="false">IFERROR(LEFT(G428,1),"")</f>
        <v>2</v>
      </c>
      <c r="I428" s="0" t="n">
        <f aca="false">IF(LEN(G428)&gt;1,1,0)</f>
        <v>0</v>
      </c>
      <c r="J428" s="4" t="n">
        <v>45835</v>
      </c>
      <c r="K428" s="0" t="s">
        <v>11</v>
      </c>
      <c r="L428" s="0" t="s">
        <v>95</v>
      </c>
      <c r="M428" s="0" t="s">
        <v>226</v>
      </c>
      <c r="N428" s="0" t="s">
        <v>97</v>
      </c>
      <c r="O428" s="0" t="s">
        <v>2154</v>
      </c>
      <c r="Q428" s="0" t="s">
        <v>251</v>
      </c>
      <c r="R428" s="0" t="n">
        <v>2</v>
      </c>
      <c r="S428" s="5" t="n">
        <v>652</v>
      </c>
      <c r="T428" s="0" t="s">
        <v>271</v>
      </c>
      <c r="U428" s="0" t="n">
        <v>0</v>
      </c>
      <c r="V428" s="0" t="s">
        <v>230</v>
      </c>
      <c r="W428" s="0" t="s">
        <v>244</v>
      </c>
      <c r="Y428" s="0" t="s">
        <v>308</v>
      </c>
      <c r="Z428" s="0" t="s">
        <v>1550</v>
      </c>
      <c r="AA428" s="0" t="s">
        <v>235</v>
      </c>
      <c r="AB428" s="32" t="n">
        <v>2850</v>
      </c>
      <c r="AC428" s="32" t="n">
        <v>2850</v>
      </c>
      <c r="AD428" s="26" t="n">
        <f aca="false">IFERROR(AB428/B428,"")</f>
        <v>4.37116564417178</v>
      </c>
      <c r="AE428" s="26" t="n">
        <f aca="false">IFERROR(AC428/B428,"")</f>
        <v>4.37116564417178</v>
      </c>
      <c r="AF428" s="0" t="s">
        <v>236</v>
      </c>
      <c r="AG428" s="0" t="s">
        <v>236</v>
      </c>
      <c r="AH428" s="0" t="s">
        <v>236</v>
      </c>
      <c r="AI428" s="0" t="s">
        <v>1233</v>
      </c>
      <c r="AJ428" s="0" t="s">
        <v>2155</v>
      </c>
      <c r="AK428" s="0" t="s">
        <v>2156</v>
      </c>
      <c r="AL428" s="0" t="s">
        <v>2157</v>
      </c>
      <c r="AM428" s="0" t="s">
        <v>94</v>
      </c>
      <c r="AN428" s="26" t="n">
        <f aca="false">IFERROR(E428*(1+IF(AM428="Apartment",Data_Summary!$C$3,0)),"")</f>
        <v>4.37116564417178</v>
      </c>
      <c r="AO428" s="4" t="n">
        <v>46195</v>
      </c>
    </row>
    <row r="429" customFormat="false" ht="15" hidden="false" customHeight="false" outlineLevel="0" collapsed="false">
      <c r="A429" s="0" t="n">
        <f aca="false">IF(AND(ISNUMBER(B429),B429&gt;0,ISNUMBER(AB429),AB429&gt;0,J429&gt;=Data_Summary!$C$1),1,0)</f>
        <v>1</v>
      </c>
      <c r="B429" s="30" t="n">
        <v>692</v>
      </c>
      <c r="C429" s="5" t="n">
        <f aca="false">IF(ISNUMBER(AB429),AB429,"")</f>
        <v>3100</v>
      </c>
      <c r="D429" s="0" t="n">
        <f aca="false">IF(ISNUMBER(C429),C429-U429*Data_Summary!$C$2,"")</f>
        <v>3100</v>
      </c>
      <c r="E429" s="31" t="n">
        <f aca="false">IFERROR(C429/B429,"")</f>
        <v>4.47976878612717</v>
      </c>
      <c r="F429" s="26" t="n">
        <f aca="false">IFERROR(D429/B429,"")</f>
        <v>4.47976878612717</v>
      </c>
      <c r="G429" s="0" t="str">
        <f aca="false">Q429</f>
        <v>2</v>
      </c>
      <c r="H429" s="0" t="str">
        <f aca="false">IFERROR(LEFT(G429,1),"")</f>
        <v>2</v>
      </c>
      <c r="I429" s="0" t="n">
        <f aca="false">IF(LEN(G429)&gt;1,1,0)</f>
        <v>0</v>
      </c>
      <c r="J429" s="4" t="n">
        <v>45833</v>
      </c>
      <c r="K429" s="0" t="s">
        <v>11</v>
      </c>
      <c r="L429" s="0" t="s">
        <v>95</v>
      </c>
      <c r="M429" s="0" t="s">
        <v>226</v>
      </c>
      <c r="N429" s="0" t="s">
        <v>97</v>
      </c>
      <c r="O429" s="0" t="s">
        <v>1452</v>
      </c>
      <c r="Q429" s="0" t="s">
        <v>251</v>
      </c>
      <c r="R429" s="0" t="n">
        <v>2</v>
      </c>
      <c r="S429" s="5" t="n">
        <v>692</v>
      </c>
      <c r="T429" s="0" t="s">
        <v>271</v>
      </c>
      <c r="U429" s="0" t="n">
        <v>0</v>
      </c>
      <c r="V429" s="0" t="s">
        <v>230</v>
      </c>
      <c r="W429" s="0" t="s">
        <v>244</v>
      </c>
      <c r="Y429" s="0" t="s">
        <v>253</v>
      </c>
      <c r="Z429" s="0" t="s">
        <v>1550</v>
      </c>
      <c r="AA429" s="0" t="s">
        <v>235</v>
      </c>
      <c r="AB429" s="32" t="n">
        <v>3100</v>
      </c>
      <c r="AC429" s="32" t="n">
        <v>3100</v>
      </c>
      <c r="AD429" s="26" t="n">
        <f aca="false">IFERROR(AB429/B429,"")</f>
        <v>4.47976878612717</v>
      </c>
      <c r="AE429" s="26" t="n">
        <f aca="false">IFERROR(AC429/B429,"")</f>
        <v>4.47976878612717</v>
      </c>
      <c r="AF429" s="0" t="s">
        <v>236</v>
      </c>
      <c r="AG429" s="0" t="s">
        <v>236</v>
      </c>
      <c r="AH429" s="0" t="s">
        <v>236</v>
      </c>
      <c r="AI429" s="0" t="s">
        <v>1246</v>
      </c>
      <c r="AJ429" s="0" t="s">
        <v>2158</v>
      </c>
      <c r="AK429" s="0" t="s">
        <v>2159</v>
      </c>
      <c r="AL429" s="0" t="s">
        <v>2160</v>
      </c>
      <c r="AM429" s="0" t="s">
        <v>94</v>
      </c>
      <c r="AN429" s="26" t="n">
        <f aca="false">IFERROR(E429*(1+IF(AM429="Apartment",Data_Summary!$C$3,0)),"")</f>
        <v>4.47976878612717</v>
      </c>
      <c r="AO429" s="4" t="n">
        <v>46195</v>
      </c>
    </row>
    <row r="430" customFormat="false" ht="15" hidden="false" customHeight="false" outlineLevel="0" collapsed="false">
      <c r="A430" s="0" t="n">
        <f aca="false">IF(AND(ISNUMBER(B430),B430&gt;0,ISNUMBER(AB430),AB430&gt;0,J430&gt;=Data_Summary!$C$1),1,0)</f>
        <v>1</v>
      </c>
      <c r="B430" s="33" t="n">
        <v>689</v>
      </c>
      <c r="C430" s="5" t="n">
        <f aca="false">IF(ISNUMBER(AB430),AB430,"")</f>
        <v>2950</v>
      </c>
      <c r="D430" s="0" t="n">
        <f aca="false">IF(ISNUMBER(C430),C430-U430*Data_Summary!$C$2,"")</f>
        <v>2950</v>
      </c>
      <c r="E430" s="34" t="n">
        <f aca="false">IFERROR(C430/B430,"")</f>
        <v>4.28156748911466</v>
      </c>
      <c r="F430" s="26" t="n">
        <f aca="false">IFERROR(D430/B430,"")</f>
        <v>4.28156748911466</v>
      </c>
      <c r="G430" s="0" t="str">
        <f aca="false">Q430</f>
        <v>2</v>
      </c>
      <c r="H430" s="0" t="str">
        <f aca="false">IFERROR(LEFT(G430,1),"")</f>
        <v>2</v>
      </c>
      <c r="I430" s="0" t="n">
        <f aca="false">IF(LEN(G430)&gt;1,1,0)</f>
        <v>0</v>
      </c>
      <c r="J430" s="4" t="n">
        <v>45833</v>
      </c>
      <c r="K430" s="0" t="s">
        <v>11</v>
      </c>
      <c r="L430" s="0" t="s">
        <v>95</v>
      </c>
      <c r="M430" s="0" t="s">
        <v>226</v>
      </c>
      <c r="N430" s="0" t="s">
        <v>97</v>
      </c>
      <c r="O430" s="0" t="s">
        <v>1379</v>
      </c>
      <c r="Q430" s="0" t="s">
        <v>251</v>
      </c>
      <c r="R430" s="0" t="n">
        <v>2</v>
      </c>
      <c r="S430" s="5" t="n">
        <v>689</v>
      </c>
      <c r="T430" s="0" t="s">
        <v>271</v>
      </c>
      <c r="U430" s="0" t="n">
        <v>0</v>
      </c>
      <c r="V430" s="0" t="s">
        <v>230</v>
      </c>
      <c r="W430" s="0" t="s">
        <v>244</v>
      </c>
      <c r="Y430" s="0" t="s">
        <v>278</v>
      </c>
      <c r="Z430" s="0" t="s">
        <v>1550</v>
      </c>
      <c r="AA430" s="0" t="s">
        <v>235</v>
      </c>
      <c r="AB430" s="32" t="n">
        <v>2950</v>
      </c>
      <c r="AC430" s="32" t="n">
        <v>2950</v>
      </c>
      <c r="AD430" s="26" t="n">
        <f aca="false">IFERROR(AB430/B430,"")</f>
        <v>4.28156748911466</v>
      </c>
      <c r="AE430" s="26" t="n">
        <f aca="false">IFERROR(AC430/B430,"")</f>
        <v>4.28156748911466</v>
      </c>
      <c r="AF430" s="0" t="s">
        <v>236</v>
      </c>
      <c r="AG430" s="0" t="s">
        <v>236</v>
      </c>
      <c r="AH430" s="0" t="s">
        <v>236</v>
      </c>
      <c r="AI430" s="0" t="s">
        <v>1246</v>
      </c>
      <c r="AJ430" s="0" t="s">
        <v>2161</v>
      </c>
      <c r="AK430" s="0" t="s">
        <v>2162</v>
      </c>
      <c r="AL430" s="0" t="s">
        <v>2163</v>
      </c>
      <c r="AM430" s="0" t="s">
        <v>94</v>
      </c>
      <c r="AN430" s="26" t="n">
        <f aca="false">IFERROR(E430*(1+IF(AM430="Apartment",Data_Summary!$C$3,0)),"")</f>
        <v>4.28156748911466</v>
      </c>
      <c r="AO430" s="4" t="n">
        <v>46195</v>
      </c>
    </row>
    <row r="431" customFormat="false" ht="15" hidden="false" customHeight="false" outlineLevel="0" collapsed="false">
      <c r="A431" s="0" t="n">
        <f aca="false">IF(AND(ISNUMBER(B431),B431&gt;0,ISNUMBER(AB431),AB431&gt;0,J431&gt;=Data_Summary!$C$1),1,0)</f>
        <v>1</v>
      </c>
      <c r="B431" s="30" t="n">
        <v>417</v>
      </c>
      <c r="C431" s="5" t="n">
        <f aca="false">IF(ISNUMBER(AB431),AB431,"")</f>
        <v>2300</v>
      </c>
      <c r="D431" s="0" t="n">
        <f aca="false">IF(ISNUMBER(C431),C431-U431*Data_Summary!$C$2,"")</f>
        <v>2300</v>
      </c>
      <c r="E431" s="31" t="n">
        <f aca="false">IFERROR(C431/B431,"")</f>
        <v>5.51558752997602</v>
      </c>
      <c r="F431" s="26" t="n">
        <f aca="false">IFERROR(D431/B431,"")</f>
        <v>5.51558752997602</v>
      </c>
      <c r="G431" s="0" t="str">
        <f aca="false">Q431</f>
        <v>1</v>
      </c>
      <c r="H431" s="0" t="str">
        <f aca="false">IFERROR(LEFT(G431,1),"")</f>
        <v>1</v>
      </c>
      <c r="I431" s="0" t="n">
        <f aca="false">IF(LEN(G431)&gt;1,1,0)</f>
        <v>0</v>
      </c>
      <c r="J431" s="4" t="n">
        <v>45832</v>
      </c>
      <c r="K431" s="0" t="s">
        <v>11</v>
      </c>
      <c r="L431" s="0" t="s">
        <v>95</v>
      </c>
      <c r="M431" s="0" t="s">
        <v>226</v>
      </c>
      <c r="N431" s="0" t="s">
        <v>97</v>
      </c>
      <c r="O431" s="0" t="s">
        <v>1687</v>
      </c>
      <c r="Q431" s="0" t="s">
        <v>242</v>
      </c>
      <c r="R431" s="0" t="n">
        <v>1</v>
      </c>
      <c r="S431" s="5" t="n">
        <v>417</v>
      </c>
      <c r="T431" s="0" t="s">
        <v>303</v>
      </c>
      <c r="U431" s="0" t="n">
        <v>0</v>
      </c>
      <c r="V431" s="0" t="s">
        <v>230</v>
      </c>
      <c r="W431" s="0" t="s">
        <v>244</v>
      </c>
      <c r="Y431" s="0" t="s">
        <v>272</v>
      </c>
      <c r="Z431" s="0" t="s">
        <v>1550</v>
      </c>
      <c r="AA431" s="0" t="s">
        <v>235</v>
      </c>
      <c r="AB431" s="32" t="n">
        <v>2300</v>
      </c>
      <c r="AC431" s="32" t="n">
        <v>2250</v>
      </c>
      <c r="AD431" s="26" t="n">
        <f aca="false">IFERROR(AB431/B431,"")</f>
        <v>5.51558752997602</v>
      </c>
      <c r="AE431" s="26" t="n">
        <f aca="false">IFERROR(AC431/B431,"")</f>
        <v>5.39568345323741</v>
      </c>
      <c r="AF431" s="0" t="s">
        <v>236</v>
      </c>
      <c r="AG431" s="0" t="s">
        <v>236</v>
      </c>
      <c r="AH431" s="0" t="s">
        <v>236</v>
      </c>
      <c r="AI431" s="0" t="s">
        <v>1269</v>
      </c>
      <c r="AJ431" s="0" t="s">
        <v>2164</v>
      </c>
      <c r="AK431" s="0" t="s">
        <v>2165</v>
      </c>
      <c r="AL431" s="0" t="s">
        <v>2166</v>
      </c>
      <c r="AM431" s="0" t="s">
        <v>94</v>
      </c>
      <c r="AN431" s="26" t="n">
        <f aca="false">IFERROR(E431*(1+IF(AM431="Apartment",Data_Summary!$C$3,0)),"")</f>
        <v>5.51558752997602</v>
      </c>
      <c r="AO431" s="4" t="n">
        <v>46195</v>
      </c>
    </row>
    <row r="432" customFormat="false" ht="15" hidden="false" customHeight="false" outlineLevel="0" collapsed="false">
      <c r="A432" s="0" t="n">
        <f aca="false">IF(AND(ISNUMBER(B432),B432&gt;0,ISNUMBER(AB432),AB432&gt;0,J432&gt;=Data_Summary!$C$1),1,0)</f>
        <v>1</v>
      </c>
      <c r="B432" s="30" t="n">
        <v>667</v>
      </c>
      <c r="C432" s="5" t="n">
        <f aca="false">IF(ISNUMBER(AB432),AB432,"")</f>
        <v>3000</v>
      </c>
      <c r="D432" s="0" t="n">
        <f aca="false">IF(ISNUMBER(C432),C432-U432*Data_Summary!$C$2,"")</f>
        <v>3000</v>
      </c>
      <c r="E432" s="31" t="n">
        <f aca="false">IFERROR(C432/B432,"")</f>
        <v>4.49775112443778</v>
      </c>
      <c r="F432" s="26" t="n">
        <f aca="false">IFERROR(D432/B432,"")</f>
        <v>4.49775112443778</v>
      </c>
      <c r="G432" s="0" t="str">
        <f aca="false">Q432</f>
        <v>2</v>
      </c>
      <c r="H432" s="0" t="str">
        <f aca="false">IFERROR(LEFT(G432,1),"")</f>
        <v>2</v>
      </c>
      <c r="I432" s="0" t="n">
        <f aca="false">IF(LEN(G432)&gt;1,1,0)</f>
        <v>0</v>
      </c>
      <c r="J432" s="4" t="n">
        <v>45832</v>
      </c>
      <c r="K432" s="0" t="s">
        <v>11</v>
      </c>
      <c r="L432" s="0" t="s">
        <v>95</v>
      </c>
      <c r="M432" s="0" t="s">
        <v>226</v>
      </c>
      <c r="N432" s="0" t="s">
        <v>97</v>
      </c>
      <c r="O432" s="0" t="s">
        <v>477</v>
      </c>
      <c r="Q432" s="0" t="s">
        <v>251</v>
      </c>
      <c r="R432" s="0" t="n">
        <v>2</v>
      </c>
      <c r="S432" s="5" t="n">
        <v>667</v>
      </c>
      <c r="T432" s="0" t="s">
        <v>271</v>
      </c>
      <c r="U432" s="0" t="n">
        <v>0</v>
      </c>
      <c r="V432" s="0" t="s">
        <v>230</v>
      </c>
      <c r="W432" s="0" t="s">
        <v>244</v>
      </c>
      <c r="Y432" s="0" t="s">
        <v>297</v>
      </c>
      <c r="Z432" s="0" t="s">
        <v>1550</v>
      </c>
      <c r="AA432" s="0" t="s">
        <v>235</v>
      </c>
      <c r="AB432" s="32" t="n">
        <v>3000</v>
      </c>
      <c r="AC432" s="32" t="n">
        <v>3000</v>
      </c>
      <c r="AD432" s="26" t="n">
        <f aca="false">IFERROR(AB432/B432,"")</f>
        <v>4.49775112443778</v>
      </c>
      <c r="AE432" s="26" t="n">
        <f aca="false">IFERROR(AC432/B432,"")</f>
        <v>4.49775112443778</v>
      </c>
      <c r="AF432" s="0" t="s">
        <v>236</v>
      </c>
      <c r="AG432" s="0" t="s">
        <v>236</v>
      </c>
      <c r="AH432" s="0" t="s">
        <v>236</v>
      </c>
      <c r="AI432" s="0" t="s">
        <v>1269</v>
      </c>
      <c r="AJ432" s="0" t="s">
        <v>2167</v>
      </c>
      <c r="AK432" s="0" t="s">
        <v>2168</v>
      </c>
      <c r="AL432" s="0" t="s">
        <v>2169</v>
      </c>
      <c r="AM432" s="0" t="s">
        <v>94</v>
      </c>
      <c r="AN432" s="26" t="n">
        <f aca="false">IFERROR(E432*(1+IF(AM432="Apartment",Data_Summary!$C$3,0)),"")</f>
        <v>4.49775112443778</v>
      </c>
      <c r="AO432" s="4" t="n">
        <v>46195</v>
      </c>
    </row>
    <row r="433" customFormat="false" ht="15" hidden="false" customHeight="false" outlineLevel="0" collapsed="false">
      <c r="A433" s="0" t="n">
        <f aca="false">IF(AND(ISNUMBER(B433),B433&gt;0,ISNUMBER(AB433),AB433&gt;0,J433&gt;=Data_Summary!$C$1),1,0)</f>
        <v>1</v>
      </c>
      <c r="B433" s="30" t="n">
        <v>652</v>
      </c>
      <c r="C433" s="5" t="n">
        <f aca="false">IF(ISNUMBER(AB433),AB433,"")</f>
        <v>2750</v>
      </c>
      <c r="D433" s="0" t="n">
        <f aca="false">IF(ISNUMBER(C433),C433-U433*Data_Summary!$C$2,"")</f>
        <v>2750</v>
      </c>
      <c r="E433" s="31" t="n">
        <f aca="false">IFERROR(C433/B433,"")</f>
        <v>4.21779141104295</v>
      </c>
      <c r="F433" s="26" t="n">
        <f aca="false">IFERROR(D433/B433,"")</f>
        <v>4.21779141104295</v>
      </c>
      <c r="G433" s="0" t="str">
        <f aca="false">Q433</f>
        <v>2</v>
      </c>
      <c r="H433" s="0" t="str">
        <f aca="false">IFERROR(LEFT(G433,1),"")</f>
        <v>2</v>
      </c>
      <c r="I433" s="0" t="n">
        <f aca="false">IF(LEN(G433)&gt;1,1,0)</f>
        <v>0</v>
      </c>
      <c r="J433" s="4" t="n">
        <v>45831</v>
      </c>
      <c r="K433" s="0" t="s">
        <v>11</v>
      </c>
      <c r="L433" s="0" t="s">
        <v>95</v>
      </c>
      <c r="M433" s="0" t="s">
        <v>226</v>
      </c>
      <c r="N433" s="0" t="s">
        <v>97</v>
      </c>
      <c r="O433" s="0" t="s">
        <v>1517</v>
      </c>
      <c r="Q433" s="0" t="s">
        <v>251</v>
      </c>
      <c r="R433" s="0" t="n">
        <v>2</v>
      </c>
      <c r="S433" s="5" t="n">
        <v>652</v>
      </c>
      <c r="T433" s="0" t="s">
        <v>271</v>
      </c>
      <c r="U433" s="0" t="n">
        <v>0</v>
      </c>
      <c r="V433" s="0" t="s">
        <v>230</v>
      </c>
      <c r="W433" s="0" t="s">
        <v>244</v>
      </c>
      <c r="Y433" s="0" t="s">
        <v>272</v>
      </c>
      <c r="Z433" s="0" t="s">
        <v>1550</v>
      </c>
      <c r="AA433" s="0" t="s">
        <v>235</v>
      </c>
      <c r="AB433" s="32" t="n">
        <v>2750</v>
      </c>
      <c r="AC433" s="32" t="n">
        <v>2750</v>
      </c>
      <c r="AD433" s="26" t="n">
        <f aca="false">IFERROR(AB433/B433,"")</f>
        <v>4.21779141104295</v>
      </c>
      <c r="AE433" s="26" t="n">
        <f aca="false">IFERROR(AC433/B433,"")</f>
        <v>4.21779141104295</v>
      </c>
      <c r="AF433" s="0" t="s">
        <v>236</v>
      </c>
      <c r="AG433" s="0" t="s">
        <v>236</v>
      </c>
      <c r="AH433" s="0" t="s">
        <v>236</v>
      </c>
      <c r="AI433" s="0" t="s">
        <v>1281</v>
      </c>
      <c r="AJ433" s="0" t="s">
        <v>2170</v>
      </c>
      <c r="AK433" s="0" t="s">
        <v>2171</v>
      </c>
      <c r="AL433" s="0" t="s">
        <v>2172</v>
      </c>
      <c r="AM433" s="0" t="s">
        <v>94</v>
      </c>
      <c r="AN433" s="26" t="n">
        <f aca="false">IFERROR(E433*(1+IF(AM433="Apartment",Data_Summary!$C$3,0)),"")</f>
        <v>4.21779141104295</v>
      </c>
      <c r="AO433" s="4" t="n">
        <v>46195</v>
      </c>
    </row>
    <row r="434" customFormat="false" ht="15" hidden="false" customHeight="false" outlineLevel="0" collapsed="false">
      <c r="A434" s="0" t="n">
        <f aca="false">IF(AND(ISNUMBER(B434),B434&gt;0,ISNUMBER(AB434),AB434&gt;0,J434&gt;=Data_Summary!$C$1),1,0)</f>
        <v>1</v>
      </c>
      <c r="B434" s="33" t="n">
        <v>719</v>
      </c>
      <c r="C434" s="5" t="n">
        <f aca="false">IF(ISNUMBER(AB434),AB434,"")</f>
        <v>3100</v>
      </c>
      <c r="D434" s="0" t="n">
        <f aca="false">IF(ISNUMBER(C434),C434-U434*Data_Summary!$C$2,"")</f>
        <v>3100</v>
      </c>
      <c r="E434" s="34" t="n">
        <f aca="false">IFERROR(C434/B434,"")</f>
        <v>4.3115438108484</v>
      </c>
      <c r="F434" s="26" t="n">
        <f aca="false">IFERROR(D434/B434,"")</f>
        <v>4.3115438108484</v>
      </c>
      <c r="G434" s="0" t="str">
        <f aca="false">Q434</f>
        <v>2</v>
      </c>
      <c r="H434" s="0" t="str">
        <f aca="false">IFERROR(LEFT(G434,1),"")</f>
        <v>2</v>
      </c>
      <c r="I434" s="0" t="n">
        <f aca="false">IF(LEN(G434)&gt;1,1,0)</f>
        <v>0</v>
      </c>
      <c r="J434" s="4" t="n">
        <v>45828</v>
      </c>
      <c r="K434" s="0" t="s">
        <v>11</v>
      </c>
      <c r="L434" s="0" t="s">
        <v>95</v>
      </c>
      <c r="M434" s="0" t="s">
        <v>226</v>
      </c>
      <c r="N434" s="0" t="s">
        <v>97</v>
      </c>
      <c r="O434" s="0" t="s">
        <v>599</v>
      </c>
      <c r="Q434" s="0" t="s">
        <v>251</v>
      </c>
      <c r="R434" s="0" t="n">
        <v>2</v>
      </c>
      <c r="S434" s="5" t="n">
        <v>719</v>
      </c>
      <c r="T434" s="0" t="s">
        <v>252</v>
      </c>
      <c r="U434" s="0" t="n">
        <v>0</v>
      </c>
      <c r="V434" s="0" t="s">
        <v>230</v>
      </c>
      <c r="W434" s="0" t="s">
        <v>244</v>
      </c>
      <c r="Y434" s="0" t="s">
        <v>253</v>
      </c>
      <c r="Z434" s="0" t="s">
        <v>1550</v>
      </c>
      <c r="AA434" s="0" t="s">
        <v>235</v>
      </c>
      <c r="AB434" s="32" t="n">
        <v>3100</v>
      </c>
      <c r="AC434" s="32" t="n">
        <v>3100</v>
      </c>
      <c r="AD434" s="26" t="n">
        <f aca="false">IFERROR(AB434/B434,"")</f>
        <v>4.3115438108484</v>
      </c>
      <c r="AE434" s="26" t="n">
        <f aca="false">IFERROR(AC434/B434,"")</f>
        <v>4.3115438108484</v>
      </c>
      <c r="AF434" s="0" t="s">
        <v>230</v>
      </c>
      <c r="AG434" s="0" t="s">
        <v>236</v>
      </c>
      <c r="AH434" s="0" t="s">
        <v>236</v>
      </c>
      <c r="AI434" s="0" t="s">
        <v>1315</v>
      </c>
      <c r="AJ434" s="0" t="s">
        <v>2173</v>
      </c>
      <c r="AK434" s="0" t="s">
        <v>2174</v>
      </c>
      <c r="AL434" s="0" t="s">
        <v>2175</v>
      </c>
      <c r="AM434" s="0" t="s">
        <v>94</v>
      </c>
      <c r="AN434" s="26" t="n">
        <f aca="false">IFERROR(E434*(1+IF(AM434="Apartment",Data_Summary!$C$3,0)),"")</f>
        <v>4.3115438108484</v>
      </c>
      <c r="AO434" s="4" t="n">
        <v>46195</v>
      </c>
    </row>
    <row r="435" customFormat="false" ht="15" hidden="false" customHeight="false" outlineLevel="0" collapsed="false">
      <c r="A435" s="0" t="n">
        <f aca="false">IF(AND(ISNUMBER(B435),B435&gt;0,ISNUMBER(AB435),AB435&gt;0,J435&gt;=Data_Summary!$C$1),1,0)</f>
        <v>1</v>
      </c>
      <c r="B435" s="33" t="n">
        <v>427</v>
      </c>
      <c r="C435" s="5" t="n">
        <f aca="false">IF(ISNUMBER(AB435),AB435,"")</f>
        <v>2050</v>
      </c>
      <c r="D435" s="0" t="n">
        <f aca="false">IF(ISNUMBER(C435),C435-U435*Data_Summary!$C$2,"")</f>
        <v>2050</v>
      </c>
      <c r="E435" s="34" t="n">
        <f aca="false">IFERROR(C435/B435,"")</f>
        <v>4.80093676814988</v>
      </c>
      <c r="F435" s="26" t="n">
        <f aca="false">IFERROR(D435/B435,"")</f>
        <v>4.80093676814988</v>
      </c>
      <c r="G435" s="0" t="str">
        <f aca="false">Q435</f>
        <v>1</v>
      </c>
      <c r="H435" s="0" t="str">
        <f aca="false">IFERROR(LEFT(G435,1),"")</f>
        <v>1</v>
      </c>
      <c r="I435" s="0" t="n">
        <f aca="false">IF(LEN(G435)&gt;1,1,0)</f>
        <v>0</v>
      </c>
      <c r="J435" s="4" t="n">
        <v>45828</v>
      </c>
      <c r="K435" s="0" t="s">
        <v>11</v>
      </c>
      <c r="L435" s="0" t="s">
        <v>95</v>
      </c>
      <c r="M435" s="0" t="s">
        <v>226</v>
      </c>
      <c r="N435" s="0" t="s">
        <v>97</v>
      </c>
      <c r="O435" s="0" t="s">
        <v>1581</v>
      </c>
      <c r="Q435" s="0" t="s">
        <v>242</v>
      </c>
      <c r="R435" s="0" t="n">
        <v>1</v>
      </c>
      <c r="S435" s="5" t="n">
        <v>427</v>
      </c>
      <c r="T435" s="0" t="s">
        <v>303</v>
      </c>
      <c r="U435" s="0" t="n">
        <v>0</v>
      </c>
      <c r="V435" s="0" t="s">
        <v>230</v>
      </c>
      <c r="W435" s="0" t="s">
        <v>244</v>
      </c>
      <c r="Y435" s="0" t="s">
        <v>245</v>
      </c>
      <c r="Z435" s="0" t="s">
        <v>1550</v>
      </c>
      <c r="AA435" s="0" t="s">
        <v>235</v>
      </c>
      <c r="AB435" s="32" t="n">
        <v>2050</v>
      </c>
      <c r="AC435" s="32" t="n">
        <v>2050</v>
      </c>
      <c r="AD435" s="26" t="n">
        <f aca="false">IFERROR(AB435/B435,"")</f>
        <v>4.80093676814988</v>
      </c>
      <c r="AE435" s="26" t="n">
        <f aca="false">IFERROR(AC435/B435,"")</f>
        <v>4.80093676814988</v>
      </c>
      <c r="AF435" s="0" t="s">
        <v>236</v>
      </c>
      <c r="AG435" s="0" t="s">
        <v>236</v>
      </c>
      <c r="AH435" s="0" t="s">
        <v>236</v>
      </c>
      <c r="AI435" s="0" t="s">
        <v>1315</v>
      </c>
      <c r="AJ435" s="0" t="s">
        <v>2176</v>
      </c>
      <c r="AK435" s="0" t="s">
        <v>2177</v>
      </c>
      <c r="AL435" s="0" t="s">
        <v>2178</v>
      </c>
      <c r="AM435" s="0" t="s">
        <v>94</v>
      </c>
      <c r="AN435" s="26" t="n">
        <f aca="false">IFERROR(E435*(1+IF(AM435="Apartment",Data_Summary!$C$3,0)),"")</f>
        <v>4.80093676814988</v>
      </c>
      <c r="AO435" s="4" t="n">
        <v>46195</v>
      </c>
    </row>
    <row r="436" customFormat="false" ht="15" hidden="false" customHeight="false" outlineLevel="0" collapsed="false">
      <c r="A436" s="0" t="n">
        <f aca="false">IF(AND(ISNUMBER(B436),B436&gt;0,ISNUMBER(AB436),AB436&gt;0,J436&gt;=Data_Summary!$C$1),1,0)</f>
        <v>1</v>
      </c>
      <c r="B436" s="33" t="n">
        <v>581</v>
      </c>
      <c r="C436" s="5" t="n">
        <f aca="false">IF(ISNUMBER(AB436),AB436,"")</f>
        <v>2300</v>
      </c>
      <c r="D436" s="0" t="n">
        <f aca="false">IF(ISNUMBER(C436),C436-U436*Data_Summary!$C$2,"")</f>
        <v>2300</v>
      </c>
      <c r="E436" s="34" t="n">
        <f aca="false">IFERROR(C436/B436,"")</f>
        <v>3.95869191049914</v>
      </c>
      <c r="F436" s="26" t="n">
        <f aca="false">IFERROR(D436/B436,"")</f>
        <v>3.95869191049914</v>
      </c>
      <c r="G436" s="0" t="str">
        <f aca="false">Q436</f>
        <v>1</v>
      </c>
      <c r="H436" s="0" t="str">
        <f aca="false">IFERROR(LEFT(G436,1),"")</f>
        <v>1</v>
      </c>
      <c r="I436" s="0" t="n">
        <f aca="false">IF(LEN(G436)&gt;1,1,0)</f>
        <v>0</v>
      </c>
      <c r="J436" s="4" t="n">
        <v>45827</v>
      </c>
      <c r="K436" s="0" t="s">
        <v>11</v>
      </c>
      <c r="L436" s="0" t="s">
        <v>95</v>
      </c>
      <c r="M436" s="0" t="s">
        <v>226</v>
      </c>
      <c r="N436" s="0" t="s">
        <v>97</v>
      </c>
      <c r="O436" s="0" t="s">
        <v>2179</v>
      </c>
      <c r="Q436" s="0" t="s">
        <v>242</v>
      </c>
      <c r="R436" s="0" t="n">
        <v>1</v>
      </c>
      <c r="S436" s="5" t="n">
        <v>581</v>
      </c>
      <c r="T436" s="0" t="s">
        <v>243</v>
      </c>
      <c r="U436" s="0" t="n">
        <v>0</v>
      </c>
      <c r="V436" s="0" t="s">
        <v>230</v>
      </c>
      <c r="W436" s="0" t="s">
        <v>244</v>
      </c>
      <c r="Y436" s="0" t="s">
        <v>253</v>
      </c>
      <c r="Z436" s="0" t="s">
        <v>1550</v>
      </c>
      <c r="AA436" s="0" t="s">
        <v>235</v>
      </c>
      <c r="AB436" s="32" t="n">
        <v>2300</v>
      </c>
      <c r="AC436" s="32" t="n">
        <v>2350</v>
      </c>
      <c r="AD436" s="26" t="n">
        <f aca="false">IFERROR(AB436/B436,"")</f>
        <v>3.95869191049914</v>
      </c>
      <c r="AE436" s="26" t="n">
        <f aca="false">IFERROR(AC436/B436,"")</f>
        <v>4.0447504302926</v>
      </c>
      <c r="AF436" s="0" t="s">
        <v>230</v>
      </c>
      <c r="AG436" s="0" t="s">
        <v>236</v>
      </c>
      <c r="AH436" s="0" t="s">
        <v>236</v>
      </c>
      <c r="AI436" s="0" t="s">
        <v>1334</v>
      </c>
      <c r="AJ436" s="0" t="s">
        <v>2180</v>
      </c>
      <c r="AK436" s="0" t="s">
        <v>2181</v>
      </c>
      <c r="AL436" s="0" t="s">
        <v>2182</v>
      </c>
      <c r="AM436" s="0" t="s">
        <v>94</v>
      </c>
      <c r="AN436" s="26" t="n">
        <f aca="false">IFERROR(E436*(1+IF(AM436="Apartment",Data_Summary!$C$3,0)),"")</f>
        <v>3.95869191049914</v>
      </c>
      <c r="AO436" s="4" t="n">
        <v>46195</v>
      </c>
    </row>
    <row r="437" customFormat="false" ht="15" hidden="false" customHeight="false" outlineLevel="0" collapsed="false">
      <c r="A437" s="0" t="n">
        <f aca="false">IF(AND(ISNUMBER(B437),B437&gt;0,ISNUMBER(AB437),AB437&gt;0,J437&gt;=Data_Summary!$C$1),1,0)</f>
        <v>1</v>
      </c>
      <c r="B437" s="30" t="n">
        <v>667</v>
      </c>
      <c r="C437" s="5" t="n">
        <f aca="false">IF(ISNUMBER(AB437),AB437,"")</f>
        <v>3200</v>
      </c>
      <c r="D437" s="0" t="n">
        <f aca="false">IF(ISNUMBER(C437),C437-U437*Data_Summary!$C$2,"")</f>
        <v>3200</v>
      </c>
      <c r="E437" s="31" t="n">
        <f aca="false">IFERROR(C437/B437,"")</f>
        <v>4.7976011994003</v>
      </c>
      <c r="F437" s="26" t="n">
        <f aca="false">IFERROR(D437/B437,"")</f>
        <v>4.7976011994003</v>
      </c>
      <c r="G437" s="0" t="str">
        <f aca="false">Q437</f>
        <v>2</v>
      </c>
      <c r="H437" s="0" t="str">
        <f aca="false">IFERROR(LEFT(G437,1),"")</f>
        <v>2</v>
      </c>
      <c r="I437" s="0" t="n">
        <f aca="false">IF(LEN(G437)&gt;1,1,0)</f>
        <v>0</v>
      </c>
      <c r="J437" s="4" t="n">
        <v>45827</v>
      </c>
      <c r="K437" s="0" t="s">
        <v>11</v>
      </c>
      <c r="L437" s="0" t="s">
        <v>95</v>
      </c>
      <c r="M437" s="0" t="s">
        <v>226</v>
      </c>
      <c r="N437" s="0" t="s">
        <v>97</v>
      </c>
      <c r="O437" s="0" t="s">
        <v>2183</v>
      </c>
      <c r="Q437" s="0" t="s">
        <v>251</v>
      </c>
      <c r="R437" s="0" t="n">
        <v>2</v>
      </c>
      <c r="S437" s="5" t="n">
        <v>667</v>
      </c>
      <c r="T437" s="0" t="s">
        <v>271</v>
      </c>
      <c r="U437" s="0" t="n">
        <v>0</v>
      </c>
      <c r="V437" s="0" t="s">
        <v>230</v>
      </c>
      <c r="W437" s="0" t="s">
        <v>244</v>
      </c>
      <c r="Y437" s="0" t="s">
        <v>278</v>
      </c>
      <c r="Z437" s="0" t="s">
        <v>1550</v>
      </c>
      <c r="AA437" s="0" t="s">
        <v>235</v>
      </c>
      <c r="AB437" s="32" t="n">
        <v>3200</v>
      </c>
      <c r="AC437" s="32" t="n">
        <v>3200</v>
      </c>
      <c r="AD437" s="26" t="n">
        <f aca="false">IFERROR(AB437/B437,"")</f>
        <v>4.7976011994003</v>
      </c>
      <c r="AE437" s="26" t="n">
        <f aca="false">IFERROR(AC437/B437,"")</f>
        <v>4.7976011994003</v>
      </c>
      <c r="AF437" s="0" t="s">
        <v>236</v>
      </c>
      <c r="AG437" s="0" t="s">
        <v>236</v>
      </c>
      <c r="AH437" s="0" t="s">
        <v>236</v>
      </c>
      <c r="AI437" s="0" t="s">
        <v>1334</v>
      </c>
      <c r="AJ437" s="0" t="s">
        <v>2184</v>
      </c>
      <c r="AK437" s="0" t="s">
        <v>2185</v>
      </c>
      <c r="AL437" s="0" t="s">
        <v>2186</v>
      </c>
      <c r="AM437" s="0" t="s">
        <v>94</v>
      </c>
      <c r="AN437" s="26" t="n">
        <f aca="false">IFERROR(E437*(1+IF(AM437="Apartment",Data_Summary!$C$3,0)),"")</f>
        <v>4.7976011994003</v>
      </c>
      <c r="AO437" s="4" t="n">
        <v>46195</v>
      </c>
    </row>
    <row r="438" customFormat="false" ht="15" hidden="false" customHeight="false" outlineLevel="0" collapsed="false">
      <c r="A438" s="0" t="n">
        <f aca="false">IF(AND(ISNUMBER(B438),B438&gt;0,ISNUMBER(AB438),AB438&gt;0,J438&gt;=Data_Summary!$C$1),1,0)</f>
        <v>1</v>
      </c>
      <c r="B438" s="30" t="n">
        <v>814</v>
      </c>
      <c r="C438" s="5" t="n">
        <f aca="false">IF(ISNUMBER(AB438),AB438,"")</f>
        <v>3100</v>
      </c>
      <c r="D438" s="0" t="n">
        <f aca="false">IF(ISNUMBER(C438),C438-U438*Data_Summary!$C$2,"")</f>
        <v>3100</v>
      </c>
      <c r="E438" s="31" t="n">
        <f aca="false">IFERROR(C438/B438,"")</f>
        <v>3.80835380835381</v>
      </c>
      <c r="F438" s="26" t="n">
        <f aca="false">IFERROR(D438/B438,"")</f>
        <v>3.80835380835381</v>
      </c>
      <c r="G438" s="0" t="str">
        <f aca="false">Q438</f>
        <v>2+1</v>
      </c>
      <c r="H438" s="0" t="str">
        <f aca="false">IFERROR(LEFT(G438,1),"")</f>
        <v>2</v>
      </c>
      <c r="I438" s="0" t="n">
        <f aca="false">IF(LEN(G438)&gt;1,1,0)</f>
        <v>1</v>
      </c>
      <c r="J438" s="4" t="n">
        <v>45825</v>
      </c>
      <c r="K438" s="0" t="s">
        <v>11</v>
      </c>
      <c r="L438" s="0" t="s">
        <v>95</v>
      </c>
      <c r="M438" s="0" t="s">
        <v>226</v>
      </c>
      <c r="N438" s="0" t="s">
        <v>97</v>
      </c>
      <c r="O438" s="0" t="s">
        <v>2187</v>
      </c>
      <c r="Q438" s="0" t="s">
        <v>451</v>
      </c>
      <c r="R438" s="0" t="n">
        <v>2</v>
      </c>
      <c r="S438" s="5" t="n">
        <v>814</v>
      </c>
      <c r="T438" s="0" t="s">
        <v>229</v>
      </c>
      <c r="U438" s="0" t="n">
        <v>0</v>
      </c>
      <c r="V438" s="0" t="s">
        <v>230</v>
      </c>
      <c r="W438" s="0" t="s">
        <v>244</v>
      </c>
      <c r="Y438" s="0" t="s">
        <v>233</v>
      </c>
      <c r="Z438" s="0" t="s">
        <v>1550</v>
      </c>
      <c r="AA438" s="0" t="s">
        <v>235</v>
      </c>
      <c r="AB438" s="32" t="n">
        <v>3100</v>
      </c>
      <c r="AC438" s="32" t="n">
        <v>3150</v>
      </c>
      <c r="AD438" s="26" t="n">
        <f aca="false">IFERROR(AB438/B438,"")</f>
        <v>3.80835380835381</v>
      </c>
      <c r="AE438" s="26" t="n">
        <f aca="false">IFERROR(AC438/B438,"")</f>
        <v>3.86977886977887</v>
      </c>
      <c r="AF438" s="0" t="s">
        <v>236</v>
      </c>
      <c r="AG438" s="0" t="s">
        <v>236</v>
      </c>
      <c r="AH438" s="0" t="s">
        <v>236</v>
      </c>
      <c r="AI438" s="0" t="s">
        <v>1356</v>
      </c>
      <c r="AJ438" s="0" t="s">
        <v>2188</v>
      </c>
      <c r="AK438" s="0" t="s">
        <v>2189</v>
      </c>
      <c r="AL438" s="0" t="s">
        <v>2190</v>
      </c>
      <c r="AM438" s="0" t="s">
        <v>94</v>
      </c>
      <c r="AN438" s="26" t="n">
        <f aca="false">IFERROR(E438*(1+IF(AM438="Apartment",Data_Summary!$C$3,0)),"")</f>
        <v>3.80835380835381</v>
      </c>
      <c r="AO438" s="4" t="n">
        <v>46195</v>
      </c>
    </row>
    <row r="439" customFormat="false" ht="15" hidden="false" customHeight="false" outlineLevel="0" collapsed="false">
      <c r="A439" s="0" t="n">
        <f aca="false">IF(AND(ISNUMBER(B439),B439&gt;0,ISNUMBER(AB439),AB439&gt;0,J439&gt;=Data_Summary!$C$1),1,0)</f>
        <v>1</v>
      </c>
      <c r="B439" s="30" t="n">
        <v>756</v>
      </c>
      <c r="C439" s="5" t="n">
        <f aca="false">IF(ISNUMBER(AB439),AB439,"")</f>
        <v>3290</v>
      </c>
      <c r="D439" s="0" t="n">
        <f aca="false">IF(ISNUMBER(C439),C439-U439*Data_Summary!$C$2,"")</f>
        <v>3290</v>
      </c>
      <c r="E439" s="31" t="n">
        <f aca="false">IFERROR(C439/B439,"")</f>
        <v>4.35185185185185</v>
      </c>
      <c r="F439" s="26" t="n">
        <f aca="false">IFERROR(D439/B439,"")</f>
        <v>4.35185185185185</v>
      </c>
      <c r="G439" s="0" t="str">
        <f aca="false">Q439</f>
        <v>2+1</v>
      </c>
      <c r="H439" s="0" t="str">
        <f aca="false">IFERROR(LEFT(G439,1),"")</f>
        <v>2</v>
      </c>
      <c r="I439" s="0" t="n">
        <f aca="false">IF(LEN(G439)&gt;1,1,0)</f>
        <v>1</v>
      </c>
      <c r="J439" s="4" t="n">
        <v>45822</v>
      </c>
      <c r="K439" s="0" t="s">
        <v>11</v>
      </c>
      <c r="L439" s="0" t="s">
        <v>95</v>
      </c>
      <c r="M439" s="0" t="s">
        <v>226</v>
      </c>
      <c r="N439" s="0" t="s">
        <v>97</v>
      </c>
      <c r="O439" s="0" t="s">
        <v>2191</v>
      </c>
      <c r="Q439" s="0" t="s">
        <v>451</v>
      </c>
      <c r="R439" s="0" t="n">
        <v>2</v>
      </c>
      <c r="S439" s="5" t="n">
        <v>756</v>
      </c>
      <c r="T439" s="0" t="s">
        <v>252</v>
      </c>
      <c r="U439" s="0" t="n">
        <v>0</v>
      </c>
      <c r="V439" s="0" t="s">
        <v>230</v>
      </c>
      <c r="W439" s="0" t="s">
        <v>244</v>
      </c>
      <c r="X439" s="0" t="s">
        <v>232</v>
      </c>
      <c r="Y439" s="0" t="s">
        <v>308</v>
      </c>
      <c r="Z439" s="0" t="s">
        <v>1550</v>
      </c>
      <c r="AA439" s="0" t="s">
        <v>235</v>
      </c>
      <c r="AB439" s="32" t="n">
        <v>3290</v>
      </c>
      <c r="AC439" s="32" t="n">
        <v>3290</v>
      </c>
      <c r="AD439" s="26" t="n">
        <f aca="false">IFERROR(AB439/B439,"")</f>
        <v>4.35185185185185</v>
      </c>
      <c r="AE439" s="26" t="n">
        <f aca="false">IFERROR(AC439/B439,"")</f>
        <v>4.35185185185185</v>
      </c>
      <c r="AF439" s="0" t="s">
        <v>236</v>
      </c>
      <c r="AG439" s="0" t="s">
        <v>236</v>
      </c>
      <c r="AH439" s="0" t="s">
        <v>236</v>
      </c>
      <c r="AI439" s="0" t="s">
        <v>1375</v>
      </c>
      <c r="AJ439" s="0" t="s">
        <v>2192</v>
      </c>
      <c r="AK439" s="0" t="s">
        <v>2193</v>
      </c>
      <c r="AL439" s="0" t="s">
        <v>2194</v>
      </c>
      <c r="AM439" s="0" t="s">
        <v>94</v>
      </c>
      <c r="AN439" s="26" t="n">
        <f aca="false">IFERROR(E439*(1+IF(AM439="Apartment",Data_Summary!$C$3,0)),"")</f>
        <v>4.35185185185185</v>
      </c>
      <c r="AO439" s="4" t="n">
        <v>46195</v>
      </c>
    </row>
    <row r="440" customFormat="false" ht="15" hidden="false" customHeight="false" outlineLevel="0" collapsed="false">
      <c r="A440" s="0" t="n">
        <f aca="false">IF(AND(ISNUMBER(B440),B440&gt;0,ISNUMBER(AB440),AB440&gt;0,J440&gt;=Data_Summary!$C$1),1,0)</f>
        <v>1</v>
      </c>
      <c r="B440" s="33" t="n">
        <v>827</v>
      </c>
      <c r="C440" s="5" t="n">
        <f aca="false">IF(ISNUMBER(AB440),AB440,"")</f>
        <v>3050</v>
      </c>
      <c r="D440" s="0" t="n">
        <f aca="false">IF(ISNUMBER(C440),C440-U440*Data_Summary!$C$2,"")</f>
        <v>3050</v>
      </c>
      <c r="E440" s="34" t="n">
        <f aca="false">IFERROR(C440/B440,"")</f>
        <v>3.68802902055623</v>
      </c>
      <c r="F440" s="26" t="n">
        <f aca="false">IFERROR(D440/B440,"")</f>
        <v>3.68802902055623</v>
      </c>
      <c r="G440" s="0" t="str">
        <f aca="false">Q440</f>
        <v>2</v>
      </c>
      <c r="H440" s="0" t="str">
        <f aca="false">IFERROR(LEFT(G440,1),"")</f>
        <v>2</v>
      </c>
      <c r="I440" s="0" t="n">
        <f aca="false">IF(LEN(G440)&gt;1,1,0)</f>
        <v>0</v>
      </c>
      <c r="J440" s="4" t="n">
        <v>45822</v>
      </c>
      <c r="K440" s="0" t="s">
        <v>11</v>
      </c>
      <c r="L440" s="0" t="s">
        <v>95</v>
      </c>
      <c r="M440" s="0" t="s">
        <v>226</v>
      </c>
      <c r="N440" s="0" t="s">
        <v>97</v>
      </c>
      <c r="O440" s="0" t="s">
        <v>2195</v>
      </c>
      <c r="Q440" s="0" t="s">
        <v>251</v>
      </c>
      <c r="R440" s="0" t="n">
        <v>2</v>
      </c>
      <c r="S440" s="5" t="n">
        <v>827</v>
      </c>
      <c r="T440" s="0" t="s">
        <v>229</v>
      </c>
      <c r="U440" s="0" t="n">
        <v>0</v>
      </c>
      <c r="V440" s="0" t="s">
        <v>230</v>
      </c>
      <c r="W440" s="0" t="s">
        <v>244</v>
      </c>
      <c r="Y440" s="0" t="s">
        <v>253</v>
      </c>
      <c r="Z440" s="0" t="s">
        <v>1550</v>
      </c>
      <c r="AA440" s="0" t="s">
        <v>235</v>
      </c>
      <c r="AB440" s="32" t="n">
        <v>3050</v>
      </c>
      <c r="AC440" s="32" t="n">
        <v>3050</v>
      </c>
      <c r="AD440" s="26" t="n">
        <f aca="false">IFERROR(AB440/B440,"")</f>
        <v>3.68802902055623</v>
      </c>
      <c r="AE440" s="26" t="n">
        <f aca="false">IFERROR(AC440/B440,"")</f>
        <v>3.68802902055623</v>
      </c>
      <c r="AF440" s="0" t="s">
        <v>236</v>
      </c>
      <c r="AG440" s="0" t="s">
        <v>236</v>
      </c>
      <c r="AH440" s="0" t="s">
        <v>236</v>
      </c>
      <c r="AI440" s="0" t="s">
        <v>1375</v>
      </c>
      <c r="AJ440" s="0" t="s">
        <v>2196</v>
      </c>
      <c r="AK440" s="0" t="s">
        <v>2197</v>
      </c>
      <c r="AL440" s="0" t="s">
        <v>2198</v>
      </c>
      <c r="AM440" s="0" t="s">
        <v>94</v>
      </c>
      <c r="AN440" s="26" t="n">
        <f aca="false">IFERROR(E440*(1+IF(AM440="Apartment",Data_Summary!$C$3,0)),"")</f>
        <v>3.68802902055623</v>
      </c>
      <c r="AO440" s="4" t="n">
        <v>46195</v>
      </c>
    </row>
    <row r="441" customFormat="false" ht="15" hidden="false" customHeight="false" outlineLevel="0" collapsed="false">
      <c r="A441" s="0" t="n">
        <f aca="false">IF(AND(ISNUMBER(B441),B441&gt;0,ISNUMBER(AB441),AB441&gt;0,J441&gt;=Data_Summary!$C$1),1,0)</f>
        <v>1</v>
      </c>
      <c r="B441" s="30" t="n">
        <v>799</v>
      </c>
      <c r="C441" s="5" t="n">
        <f aca="false">IF(ISNUMBER(AB441),AB441,"")</f>
        <v>3220</v>
      </c>
      <c r="D441" s="0" t="n">
        <f aca="false">IF(ISNUMBER(C441),C441-U441*Data_Summary!$C$2,"")</f>
        <v>3220</v>
      </c>
      <c r="E441" s="31" t="n">
        <f aca="false">IFERROR(C441/B441,"")</f>
        <v>4.03003754693367</v>
      </c>
      <c r="F441" s="26" t="n">
        <f aca="false">IFERROR(D441/B441,"")</f>
        <v>4.03003754693367</v>
      </c>
      <c r="G441" s="0" t="str">
        <f aca="false">Q441</f>
        <v>2</v>
      </c>
      <c r="H441" s="0" t="str">
        <f aca="false">IFERROR(LEFT(G441,1),"")</f>
        <v>2</v>
      </c>
      <c r="I441" s="0" t="n">
        <f aca="false">IF(LEN(G441)&gt;1,1,0)</f>
        <v>0</v>
      </c>
      <c r="J441" s="4" t="n">
        <v>45821</v>
      </c>
      <c r="K441" s="0" t="s">
        <v>11</v>
      </c>
      <c r="L441" s="0" t="s">
        <v>95</v>
      </c>
      <c r="M441" s="0" t="s">
        <v>226</v>
      </c>
      <c r="N441" s="0" t="s">
        <v>97</v>
      </c>
      <c r="O441" s="0" t="s">
        <v>2199</v>
      </c>
      <c r="Q441" s="0" t="s">
        <v>251</v>
      </c>
      <c r="R441" s="0" t="n">
        <v>2</v>
      </c>
      <c r="S441" s="5" t="n">
        <v>799</v>
      </c>
      <c r="T441" s="0" t="s">
        <v>252</v>
      </c>
      <c r="U441" s="0" t="n">
        <v>0</v>
      </c>
      <c r="V441" s="0" t="s">
        <v>230</v>
      </c>
      <c r="W441" s="0" t="s">
        <v>244</v>
      </c>
      <c r="X441" s="0" t="s">
        <v>232</v>
      </c>
      <c r="Y441" s="0" t="s">
        <v>297</v>
      </c>
      <c r="Z441" s="0" t="s">
        <v>1550</v>
      </c>
      <c r="AA441" s="0" t="s">
        <v>235</v>
      </c>
      <c r="AB441" s="32" t="n">
        <v>3220</v>
      </c>
      <c r="AC441" s="32" t="n">
        <v>3100</v>
      </c>
      <c r="AD441" s="26" t="n">
        <f aca="false">IFERROR(AB441/B441,"")</f>
        <v>4.03003754693367</v>
      </c>
      <c r="AE441" s="26" t="n">
        <f aca="false">IFERROR(AC441/B441,"")</f>
        <v>3.87984981226533</v>
      </c>
      <c r="AF441" s="0" t="s">
        <v>236</v>
      </c>
      <c r="AG441" s="0" t="s">
        <v>236</v>
      </c>
      <c r="AH441" s="0" t="s">
        <v>236</v>
      </c>
      <c r="AI441" s="0" t="s">
        <v>1384</v>
      </c>
      <c r="AJ441" s="0" t="s">
        <v>2200</v>
      </c>
      <c r="AK441" s="0" t="s">
        <v>2201</v>
      </c>
      <c r="AL441" s="0" t="s">
        <v>2202</v>
      </c>
      <c r="AM441" s="0" t="s">
        <v>94</v>
      </c>
      <c r="AN441" s="26" t="n">
        <f aca="false">IFERROR(E441*(1+IF(AM441="Apartment",Data_Summary!$C$3,0)),"")</f>
        <v>4.03003754693367</v>
      </c>
      <c r="AO441" s="4" t="n">
        <v>46195</v>
      </c>
    </row>
    <row r="442" customFormat="false" ht="15" hidden="false" customHeight="false" outlineLevel="0" collapsed="false">
      <c r="A442" s="0" t="n">
        <f aca="false">IF(AND(ISNUMBER(B442),B442&gt;0,ISNUMBER(AB442),AB442&gt;0,J442&gt;=Data_Summary!$C$1),1,0)</f>
        <v>1</v>
      </c>
      <c r="B442" s="30" t="n">
        <v>890</v>
      </c>
      <c r="C442" s="5" t="n">
        <f aca="false">IF(ISNUMBER(AB442),AB442,"")</f>
        <v>3200</v>
      </c>
      <c r="D442" s="0" t="n">
        <f aca="false">IF(ISNUMBER(C442),C442-U442*Data_Summary!$C$2,"")</f>
        <v>3200</v>
      </c>
      <c r="E442" s="31" t="n">
        <f aca="false">IFERROR(C442/B442,"")</f>
        <v>3.59550561797753</v>
      </c>
      <c r="F442" s="26" t="n">
        <f aca="false">IFERROR(D442/B442,"")</f>
        <v>3.59550561797753</v>
      </c>
      <c r="G442" s="0" t="str">
        <f aca="false">Q442</f>
        <v>2+1</v>
      </c>
      <c r="H442" s="0" t="str">
        <f aca="false">IFERROR(LEFT(G442,1),"")</f>
        <v>2</v>
      </c>
      <c r="I442" s="0" t="n">
        <f aca="false">IF(LEN(G442)&gt;1,1,0)</f>
        <v>1</v>
      </c>
      <c r="J442" s="4" t="n">
        <v>45817</v>
      </c>
      <c r="K442" s="0" t="s">
        <v>11</v>
      </c>
      <c r="L442" s="0" t="s">
        <v>95</v>
      </c>
      <c r="M442" s="0" t="s">
        <v>226</v>
      </c>
      <c r="N442" s="0" t="s">
        <v>97</v>
      </c>
      <c r="O442" s="0" t="s">
        <v>662</v>
      </c>
      <c r="Q442" s="0" t="s">
        <v>451</v>
      </c>
      <c r="R442" s="0" t="n">
        <v>2</v>
      </c>
      <c r="S442" s="5" t="n">
        <v>890</v>
      </c>
      <c r="T442" s="0" t="s">
        <v>229</v>
      </c>
      <c r="U442" s="0" t="n">
        <v>0</v>
      </c>
      <c r="V442" s="0" t="s">
        <v>230</v>
      </c>
      <c r="W442" s="0" t="s">
        <v>244</v>
      </c>
      <c r="Y442" s="0" t="s">
        <v>260</v>
      </c>
      <c r="Z442" s="0" t="s">
        <v>1550</v>
      </c>
      <c r="AA442" s="0" t="s">
        <v>235</v>
      </c>
      <c r="AB442" s="32" t="n">
        <v>3200</v>
      </c>
      <c r="AC442" s="32" t="n">
        <v>3300</v>
      </c>
      <c r="AD442" s="26" t="n">
        <f aca="false">IFERROR(AB442/B442,"")</f>
        <v>3.59550561797753</v>
      </c>
      <c r="AE442" s="26" t="n">
        <f aca="false">IFERROR(AC442/B442,"")</f>
        <v>3.70786516853933</v>
      </c>
      <c r="AF442" s="0" t="s">
        <v>236</v>
      </c>
      <c r="AG442" s="0" t="s">
        <v>236</v>
      </c>
      <c r="AH442" s="0" t="s">
        <v>236</v>
      </c>
      <c r="AI442" s="0" t="s">
        <v>1425</v>
      </c>
      <c r="AJ442" s="0" t="s">
        <v>2203</v>
      </c>
      <c r="AK442" s="0" t="s">
        <v>2204</v>
      </c>
      <c r="AL442" s="0" t="s">
        <v>2205</v>
      </c>
      <c r="AM442" s="0" t="s">
        <v>94</v>
      </c>
      <c r="AN442" s="26" t="n">
        <f aca="false">IFERROR(E442*(1+IF(AM442="Apartment",Data_Summary!$C$3,0)),"")</f>
        <v>3.59550561797753</v>
      </c>
      <c r="AO442" s="4" t="n">
        <v>46195</v>
      </c>
    </row>
    <row r="443" customFormat="false" ht="15" hidden="false" customHeight="false" outlineLevel="0" collapsed="false">
      <c r="A443" s="0" t="n">
        <f aca="false">IF(AND(ISNUMBER(B443),B443&gt;0,ISNUMBER(AB443),AB443&gt;0,J443&gt;=Data_Summary!$C$1),1,0)</f>
        <v>1</v>
      </c>
      <c r="B443" s="30" t="n">
        <v>545</v>
      </c>
      <c r="C443" s="5" t="n">
        <f aca="false">IF(ISNUMBER(AB443),AB443,"")</f>
        <v>2100</v>
      </c>
      <c r="D443" s="0" t="n">
        <f aca="false">IF(ISNUMBER(C443),C443-U443*Data_Summary!$C$2,"")</f>
        <v>2100</v>
      </c>
      <c r="E443" s="31" t="n">
        <f aca="false">IFERROR(C443/B443,"")</f>
        <v>3.85321100917431</v>
      </c>
      <c r="F443" s="26" t="n">
        <f aca="false">IFERROR(D443/B443,"")</f>
        <v>3.85321100917431</v>
      </c>
      <c r="G443" s="0" t="str">
        <f aca="false">Q443</f>
        <v>1</v>
      </c>
      <c r="H443" s="0" t="str">
        <f aca="false">IFERROR(LEFT(G443,1),"")</f>
        <v>1</v>
      </c>
      <c r="I443" s="0" t="n">
        <f aca="false">IF(LEN(G443)&gt;1,1,0)</f>
        <v>0</v>
      </c>
      <c r="J443" s="4" t="n">
        <v>45797</v>
      </c>
      <c r="K443" s="0" t="s">
        <v>11</v>
      </c>
      <c r="L443" s="0" t="s">
        <v>95</v>
      </c>
      <c r="M443" s="0" t="s">
        <v>226</v>
      </c>
      <c r="N443" s="0" t="s">
        <v>97</v>
      </c>
      <c r="O443" s="0" t="s">
        <v>2206</v>
      </c>
      <c r="Q443" s="0" t="s">
        <v>242</v>
      </c>
      <c r="R443" s="0" t="n">
        <v>1</v>
      </c>
      <c r="S443" s="5" t="n">
        <v>545</v>
      </c>
      <c r="T443" s="0" t="s">
        <v>243</v>
      </c>
      <c r="U443" s="0" t="n">
        <v>0</v>
      </c>
      <c r="V443" s="0" t="s">
        <v>230</v>
      </c>
      <c r="W443" s="0" t="s">
        <v>244</v>
      </c>
      <c r="Y443" s="0" t="s">
        <v>253</v>
      </c>
      <c r="Z443" s="0" t="s">
        <v>1550</v>
      </c>
      <c r="AA443" s="0" t="s">
        <v>235</v>
      </c>
      <c r="AB443" s="32" t="n">
        <v>2100</v>
      </c>
      <c r="AC443" s="32" t="n">
        <v>2100</v>
      </c>
      <c r="AD443" s="26" t="n">
        <f aca="false">IFERROR(AB443/B443,"")</f>
        <v>3.85321100917431</v>
      </c>
      <c r="AE443" s="26" t="n">
        <f aca="false">IFERROR(AC443/B443,"")</f>
        <v>3.85321100917431</v>
      </c>
      <c r="AF443" s="0" t="s">
        <v>236</v>
      </c>
      <c r="AG443" s="0" t="s">
        <v>236</v>
      </c>
      <c r="AH443" s="0" t="s">
        <v>236</v>
      </c>
      <c r="AI443" s="0" t="s">
        <v>2207</v>
      </c>
      <c r="AJ443" s="0" t="s">
        <v>2208</v>
      </c>
      <c r="AK443" s="0" t="s">
        <v>2209</v>
      </c>
      <c r="AL443" s="0" t="s">
        <v>2210</v>
      </c>
      <c r="AM443" s="0" t="s">
        <v>94</v>
      </c>
      <c r="AN443" s="26" t="n">
        <f aca="false">IFERROR(E443*(1+IF(AM443="Apartment",Data_Summary!$C$3,0)),"")</f>
        <v>3.85321100917431</v>
      </c>
      <c r="AO443" s="4" t="n">
        <v>46195</v>
      </c>
    </row>
    <row r="444" customFormat="false" ht="15" hidden="false" customHeight="false" outlineLevel="0" collapsed="false">
      <c r="A444" s="0" t="n">
        <f aca="false">IF(AND(ISNUMBER(B444),B444&gt;0,ISNUMBER(AB444),AB444&gt;0,J444&gt;=Data_Summary!$C$1),1,0)</f>
        <v>1</v>
      </c>
      <c r="B444" s="30" t="n">
        <v>427</v>
      </c>
      <c r="C444" s="5" t="n">
        <f aca="false">IF(ISNUMBER(AB444),AB444,"")</f>
        <v>2100</v>
      </c>
      <c r="D444" s="0" t="n">
        <f aca="false">IF(ISNUMBER(C444),C444-U444*Data_Summary!$C$2,"")</f>
        <v>2100</v>
      </c>
      <c r="E444" s="31" t="n">
        <f aca="false">IFERROR(C444/B444,"")</f>
        <v>4.91803278688525</v>
      </c>
      <c r="F444" s="26" t="n">
        <f aca="false">IFERROR(D444/B444,"")</f>
        <v>4.91803278688525</v>
      </c>
      <c r="G444" s="0" t="str">
        <f aca="false">Q444</f>
        <v>1</v>
      </c>
      <c r="H444" s="0" t="str">
        <f aca="false">IFERROR(LEFT(G444,1),"")</f>
        <v>1</v>
      </c>
      <c r="I444" s="0" t="n">
        <f aca="false">IF(LEN(G444)&gt;1,1,0)</f>
        <v>0</v>
      </c>
      <c r="J444" s="4" t="n">
        <v>45791</v>
      </c>
      <c r="K444" s="0" t="s">
        <v>11</v>
      </c>
      <c r="L444" s="0" t="s">
        <v>95</v>
      </c>
      <c r="M444" s="0" t="s">
        <v>226</v>
      </c>
      <c r="N444" s="0" t="s">
        <v>97</v>
      </c>
      <c r="O444" s="0" t="s">
        <v>832</v>
      </c>
      <c r="Q444" s="0" t="s">
        <v>242</v>
      </c>
      <c r="R444" s="0" t="n">
        <v>1</v>
      </c>
      <c r="S444" s="5" t="n">
        <v>427</v>
      </c>
      <c r="T444" s="0" t="s">
        <v>303</v>
      </c>
      <c r="U444" s="0" t="n">
        <v>0</v>
      </c>
      <c r="V444" s="0" t="s">
        <v>230</v>
      </c>
      <c r="W444" s="0" t="s">
        <v>244</v>
      </c>
      <c r="Y444" s="0" t="s">
        <v>245</v>
      </c>
      <c r="Z444" s="0" t="s">
        <v>1550</v>
      </c>
      <c r="AA444" s="0" t="s">
        <v>235</v>
      </c>
      <c r="AB444" s="32" t="n">
        <v>2100</v>
      </c>
      <c r="AC444" s="32" t="n">
        <v>2100</v>
      </c>
      <c r="AD444" s="26" t="n">
        <f aca="false">IFERROR(AB444/B444,"")</f>
        <v>4.91803278688525</v>
      </c>
      <c r="AE444" s="26" t="n">
        <f aca="false">IFERROR(AC444/B444,"")</f>
        <v>4.91803278688525</v>
      </c>
      <c r="AF444" s="0" t="s">
        <v>236</v>
      </c>
      <c r="AG444" s="0" t="s">
        <v>236</v>
      </c>
      <c r="AH444" s="0" t="s">
        <v>236</v>
      </c>
      <c r="AI444" s="0" t="s">
        <v>2211</v>
      </c>
      <c r="AJ444" s="0" t="s">
        <v>2212</v>
      </c>
      <c r="AK444" s="0" t="s">
        <v>2213</v>
      </c>
      <c r="AL444" s="0" t="s">
        <v>2214</v>
      </c>
      <c r="AM444" s="0" t="s">
        <v>94</v>
      </c>
      <c r="AN444" s="26" t="n">
        <f aca="false">IFERROR(E444*(1+IF(AM444="Apartment",Data_Summary!$C$3,0)),"")</f>
        <v>4.91803278688525</v>
      </c>
      <c r="AO444" s="4" t="n">
        <v>46195</v>
      </c>
    </row>
    <row r="445" customFormat="false" ht="15" hidden="false" customHeight="false" outlineLevel="0" collapsed="false">
      <c r="A445" s="0" t="n">
        <f aca="false">IF(AND(ISNUMBER(B445),B445&gt;0,ISNUMBER(AB445),AB445&gt;0,J445&gt;=Data_Summary!$C$1),1,0)</f>
        <v>1</v>
      </c>
      <c r="B445" s="30" t="n">
        <v>527</v>
      </c>
      <c r="C445" s="5" t="n">
        <f aca="false">IF(ISNUMBER(AB445),AB445,"")</f>
        <v>2350</v>
      </c>
      <c r="D445" s="0" t="n">
        <f aca="false">IF(ISNUMBER(C445),C445-U445*Data_Summary!$C$2,"")</f>
        <v>2350</v>
      </c>
      <c r="E445" s="31" t="n">
        <f aca="false">IFERROR(C445/B445,"")</f>
        <v>4.45920303605313</v>
      </c>
      <c r="F445" s="26" t="n">
        <f aca="false">IFERROR(D445/B445,"")</f>
        <v>4.45920303605313</v>
      </c>
      <c r="G445" s="0" t="str">
        <f aca="false">Q445</f>
        <v>1</v>
      </c>
      <c r="H445" s="0" t="str">
        <f aca="false">IFERROR(LEFT(G445,1),"")</f>
        <v>1</v>
      </c>
      <c r="I445" s="0" t="n">
        <f aca="false">IF(LEN(G445)&gt;1,1,0)</f>
        <v>0</v>
      </c>
      <c r="J445" s="4" t="n">
        <v>45789</v>
      </c>
      <c r="K445" s="0" t="s">
        <v>11</v>
      </c>
      <c r="L445" s="0" t="s">
        <v>95</v>
      </c>
      <c r="M445" s="0" t="s">
        <v>226</v>
      </c>
      <c r="N445" s="0" t="s">
        <v>97</v>
      </c>
      <c r="O445" s="0" t="s">
        <v>1621</v>
      </c>
      <c r="Q445" s="0" t="s">
        <v>242</v>
      </c>
      <c r="R445" s="0" t="n">
        <v>1</v>
      </c>
      <c r="S445" s="5" t="n">
        <v>527</v>
      </c>
      <c r="T445" s="0" t="s">
        <v>243</v>
      </c>
      <c r="U445" s="0" t="n">
        <v>0</v>
      </c>
      <c r="V445" s="0" t="s">
        <v>230</v>
      </c>
      <c r="W445" s="0" t="s">
        <v>244</v>
      </c>
      <c r="Y445" s="0" t="s">
        <v>245</v>
      </c>
      <c r="Z445" s="0" t="s">
        <v>1550</v>
      </c>
      <c r="AA445" s="0" t="s">
        <v>235</v>
      </c>
      <c r="AB445" s="32" t="n">
        <v>2350</v>
      </c>
      <c r="AC445" s="32" t="n">
        <v>2350</v>
      </c>
      <c r="AD445" s="26" t="n">
        <f aca="false">IFERROR(AB445/B445,"")</f>
        <v>4.45920303605313</v>
      </c>
      <c r="AE445" s="26" t="n">
        <f aca="false">IFERROR(AC445/B445,"")</f>
        <v>4.45920303605313</v>
      </c>
      <c r="AF445" s="0" t="s">
        <v>236</v>
      </c>
      <c r="AG445" s="0" t="s">
        <v>236</v>
      </c>
      <c r="AH445" s="0" t="s">
        <v>236</v>
      </c>
      <c r="AI445" s="0" t="s">
        <v>2215</v>
      </c>
      <c r="AJ445" s="0" t="s">
        <v>2216</v>
      </c>
      <c r="AK445" s="0" t="s">
        <v>2217</v>
      </c>
      <c r="AL445" s="0" t="s">
        <v>2218</v>
      </c>
      <c r="AM445" s="0" t="s">
        <v>94</v>
      </c>
      <c r="AN445" s="26" t="n">
        <f aca="false">IFERROR(E445*(1+IF(AM445="Apartment",Data_Summary!$C$3,0)),"")</f>
        <v>4.45920303605313</v>
      </c>
      <c r="AO445" s="4" t="n">
        <v>46195</v>
      </c>
    </row>
    <row r="446" customFormat="false" ht="15" hidden="false" customHeight="false" outlineLevel="0" collapsed="false">
      <c r="A446" s="0" t="n">
        <f aca="false">IF(AND(ISNUMBER(B446),B446&gt;0,ISNUMBER(AB446),AB446&gt;0,J446&gt;=Data_Summary!$C$1),1,0)</f>
        <v>1</v>
      </c>
      <c r="B446" s="33" t="n">
        <v>799</v>
      </c>
      <c r="C446" s="5" t="n">
        <f aca="false">IF(ISNUMBER(AB446),AB446,"")</f>
        <v>3400</v>
      </c>
      <c r="D446" s="0" t="n">
        <f aca="false">IF(ISNUMBER(C446),C446-U446*Data_Summary!$C$2,"")</f>
        <v>3400</v>
      </c>
      <c r="E446" s="34" t="n">
        <f aca="false">IFERROR(C446/B446,"")</f>
        <v>4.25531914893617</v>
      </c>
      <c r="F446" s="26" t="n">
        <f aca="false">IFERROR(D446/B446,"")</f>
        <v>4.25531914893617</v>
      </c>
      <c r="G446" s="0" t="str">
        <f aca="false">Q446</f>
        <v>2</v>
      </c>
      <c r="H446" s="0" t="str">
        <f aca="false">IFERROR(LEFT(G446,1),"")</f>
        <v>2</v>
      </c>
      <c r="I446" s="0" t="n">
        <f aca="false">IF(LEN(G446)&gt;1,1,0)</f>
        <v>0</v>
      </c>
      <c r="J446" s="4" t="n">
        <v>45787</v>
      </c>
      <c r="K446" s="0" t="s">
        <v>11</v>
      </c>
      <c r="L446" s="0" t="s">
        <v>95</v>
      </c>
      <c r="M446" s="0" t="s">
        <v>226</v>
      </c>
      <c r="N446" s="0" t="s">
        <v>97</v>
      </c>
      <c r="O446" s="0" t="s">
        <v>2219</v>
      </c>
      <c r="Q446" s="0" t="s">
        <v>251</v>
      </c>
      <c r="R446" s="0" t="n">
        <v>2</v>
      </c>
      <c r="S446" s="5" t="n">
        <v>799</v>
      </c>
      <c r="T446" s="0" t="s">
        <v>259</v>
      </c>
      <c r="U446" s="0" t="n">
        <v>0</v>
      </c>
      <c r="V446" s="0" t="s">
        <v>230</v>
      </c>
      <c r="W446" s="0" t="s">
        <v>244</v>
      </c>
      <c r="X446" s="0" t="s">
        <v>232</v>
      </c>
      <c r="Y446" s="0" t="s">
        <v>278</v>
      </c>
      <c r="Z446" s="0" t="s">
        <v>1550</v>
      </c>
      <c r="AA446" s="0" t="s">
        <v>235</v>
      </c>
      <c r="AB446" s="32" t="n">
        <v>3400</v>
      </c>
      <c r="AC446" s="32" t="n">
        <v>3450</v>
      </c>
      <c r="AD446" s="26" t="n">
        <f aca="false">IFERROR(AB446/B446,"")</f>
        <v>4.25531914893617</v>
      </c>
      <c r="AE446" s="26" t="n">
        <f aca="false">IFERROR(AC446/B446,"")</f>
        <v>4.31789737171464</v>
      </c>
      <c r="AF446" s="0" t="s">
        <v>236</v>
      </c>
      <c r="AG446" s="0" t="s">
        <v>236</v>
      </c>
      <c r="AH446" s="0" t="s">
        <v>236</v>
      </c>
      <c r="AI446" s="0" t="s">
        <v>2220</v>
      </c>
      <c r="AJ446" s="0" t="s">
        <v>2221</v>
      </c>
      <c r="AK446" s="0" t="s">
        <v>2222</v>
      </c>
      <c r="AL446" s="0" t="s">
        <v>2223</v>
      </c>
      <c r="AM446" s="0" t="s">
        <v>94</v>
      </c>
      <c r="AN446" s="26" t="n">
        <f aca="false">IFERROR(E446*(1+IF(AM446="Apartment",Data_Summary!$C$3,0)),"")</f>
        <v>4.25531914893617</v>
      </c>
      <c r="AO446" s="4" t="n">
        <v>46195</v>
      </c>
    </row>
    <row r="447" customFormat="false" ht="15" hidden="false" customHeight="false" outlineLevel="0" collapsed="false">
      <c r="A447" s="0" t="n">
        <f aca="false">IF(AND(ISNUMBER(B447),B447&gt;0,ISNUMBER(AB447),AB447&gt;0,J447&gt;=Data_Summary!$C$1),1,0)</f>
        <v>1</v>
      </c>
      <c r="B447" s="30" t="n">
        <v>527</v>
      </c>
      <c r="C447" s="5" t="n">
        <f aca="false">IF(ISNUMBER(AB447),AB447,"")</f>
        <v>2300</v>
      </c>
      <c r="D447" s="0" t="n">
        <f aca="false">IF(ISNUMBER(C447),C447-U447*Data_Summary!$C$2,"")</f>
        <v>2300</v>
      </c>
      <c r="E447" s="31" t="n">
        <f aca="false">IFERROR(C447/B447,"")</f>
        <v>4.36432637571158</v>
      </c>
      <c r="F447" s="26" t="n">
        <f aca="false">IFERROR(D447/B447,"")</f>
        <v>4.36432637571158</v>
      </c>
      <c r="G447" s="0" t="str">
        <f aca="false">Q447</f>
        <v>1</v>
      </c>
      <c r="H447" s="0" t="str">
        <f aca="false">IFERROR(LEFT(G447,1),"")</f>
        <v>1</v>
      </c>
      <c r="I447" s="0" t="n">
        <f aca="false">IF(LEN(G447)&gt;1,1,0)</f>
        <v>0</v>
      </c>
      <c r="J447" s="4" t="n">
        <v>45784</v>
      </c>
      <c r="K447" s="0" t="s">
        <v>11</v>
      </c>
      <c r="L447" s="0" t="s">
        <v>95</v>
      </c>
      <c r="M447" s="0" t="s">
        <v>226</v>
      </c>
      <c r="N447" s="0" t="s">
        <v>97</v>
      </c>
      <c r="O447" s="0" t="s">
        <v>2224</v>
      </c>
      <c r="Q447" s="0" t="s">
        <v>242</v>
      </c>
      <c r="R447" s="0" t="n">
        <v>1</v>
      </c>
      <c r="S447" s="5" t="n">
        <v>527</v>
      </c>
      <c r="T447" s="0" t="s">
        <v>243</v>
      </c>
      <c r="U447" s="0" t="n">
        <v>0</v>
      </c>
      <c r="V447" s="0" t="s">
        <v>230</v>
      </c>
      <c r="W447" s="0" t="s">
        <v>244</v>
      </c>
      <c r="X447" s="0" t="s">
        <v>232</v>
      </c>
      <c r="Y447" s="0" t="s">
        <v>233</v>
      </c>
      <c r="Z447" s="0" t="s">
        <v>1550</v>
      </c>
      <c r="AA447" s="0" t="s">
        <v>235</v>
      </c>
      <c r="AB447" s="32" t="n">
        <v>2300</v>
      </c>
      <c r="AC447" s="32" t="n">
        <v>2300</v>
      </c>
      <c r="AD447" s="26" t="n">
        <f aca="false">IFERROR(AB447/B447,"")</f>
        <v>4.36432637571158</v>
      </c>
      <c r="AE447" s="26" t="n">
        <f aca="false">IFERROR(AC447/B447,"")</f>
        <v>4.36432637571158</v>
      </c>
      <c r="AF447" s="0" t="s">
        <v>236</v>
      </c>
      <c r="AG447" s="0" t="s">
        <v>236</v>
      </c>
      <c r="AH447" s="0" t="s">
        <v>236</v>
      </c>
      <c r="AI447" s="0" t="s">
        <v>2225</v>
      </c>
      <c r="AJ447" s="0" t="s">
        <v>2226</v>
      </c>
      <c r="AK447" s="0" t="s">
        <v>2227</v>
      </c>
      <c r="AL447" s="0" t="s">
        <v>2228</v>
      </c>
      <c r="AM447" s="0" t="s">
        <v>94</v>
      </c>
      <c r="AN447" s="26" t="n">
        <f aca="false">IFERROR(E447*(1+IF(AM447="Apartment",Data_Summary!$C$3,0)),"")</f>
        <v>4.36432637571158</v>
      </c>
      <c r="AO447" s="4" t="n">
        <v>46195</v>
      </c>
    </row>
    <row r="448" customFormat="false" ht="15" hidden="false" customHeight="false" outlineLevel="0" collapsed="false">
      <c r="A448" s="0" t="n">
        <f aca="false">IF(AND(ISNUMBER(B448),B448&gt;0,ISNUMBER(AB448),AB448&gt;0,J448&gt;=Data_Summary!$C$1),1,0)</f>
        <v>1</v>
      </c>
      <c r="B448" s="33" t="n">
        <v>692</v>
      </c>
      <c r="C448" s="5" t="n">
        <f aca="false">IF(ISNUMBER(AB448),AB448,"")</f>
        <v>2900</v>
      </c>
      <c r="D448" s="0" t="n">
        <f aca="false">IF(ISNUMBER(C448),C448-U448*Data_Summary!$C$2,"")</f>
        <v>2900</v>
      </c>
      <c r="E448" s="34" t="n">
        <f aca="false">IFERROR(C448/B448,"")</f>
        <v>4.19075144508671</v>
      </c>
      <c r="F448" s="26" t="n">
        <f aca="false">IFERROR(D448/B448,"")</f>
        <v>4.19075144508671</v>
      </c>
      <c r="G448" s="0" t="str">
        <f aca="false">Q448</f>
        <v>2</v>
      </c>
      <c r="H448" s="0" t="str">
        <f aca="false">IFERROR(LEFT(G448,1),"")</f>
        <v>2</v>
      </c>
      <c r="I448" s="0" t="n">
        <f aca="false">IF(LEN(G448)&gt;1,1,0)</f>
        <v>0</v>
      </c>
      <c r="J448" s="4" t="n">
        <v>45782</v>
      </c>
      <c r="K448" s="0" t="s">
        <v>11</v>
      </c>
      <c r="L448" s="0" t="s">
        <v>95</v>
      </c>
      <c r="M448" s="0" t="s">
        <v>226</v>
      </c>
      <c r="N448" s="0" t="s">
        <v>97</v>
      </c>
      <c r="O448" s="0" t="s">
        <v>2229</v>
      </c>
      <c r="Q448" s="0" t="s">
        <v>251</v>
      </c>
      <c r="R448" s="0" t="n">
        <v>2</v>
      </c>
      <c r="S448" s="5" t="n">
        <v>692</v>
      </c>
      <c r="T448" s="0" t="s">
        <v>243</v>
      </c>
      <c r="U448" s="0" t="n">
        <v>0</v>
      </c>
      <c r="V448" s="0" t="s">
        <v>230</v>
      </c>
      <c r="W448" s="0" t="s">
        <v>244</v>
      </c>
      <c r="Y448" s="0" t="s">
        <v>253</v>
      </c>
      <c r="Z448" s="0" t="s">
        <v>1550</v>
      </c>
      <c r="AA448" s="0" t="s">
        <v>235</v>
      </c>
      <c r="AB448" s="32" t="n">
        <v>2900</v>
      </c>
      <c r="AC448" s="32" t="n">
        <v>2900</v>
      </c>
      <c r="AD448" s="26" t="n">
        <f aca="false">IFERROR(AB448/B448,"")</f>
        <v>4.19075144508671</v>
      </c>
      <c r="AE448" s="26" t="n">
        <f aca="false">IFERROR(AC448/B448,"")</f>
        <v>4.19075144508671</v>
      </c>
      <c r="AF448" s="0" t="s">
        <v>236</v>
      </c>
      <c r="AG448" s="0" t="s">
        <v>236</v>
      </c>
      <c r="AH448" s="0" t="s">
        <v>236</v>
      </c>
      <c r="AI448" s="0" t="s">
        <v>2230</v>
      </c>
      <c r="AJ448" s="0" t="s">
        <v>2231</v>
      </c>
      <c r="AK448" s="0" t="s">
        <v>2232</v>
      </c>
      <c r="AL448" s="0" t="s">
        <v>2233</v>
      </c>
      <c r="AM448" s="0" t="s">
        <v>94</v>
      </c>
      <c r="AN448" s="26" t="n">
        <f aca="false">IFERROR(E448*(1+IF(AM448="Apartment",Data_Summary!$C$3,0)),"")</f>
        <v>4.19075144508671</v>
      </c>
      <c r="AO448" s="4" t="n">
        <v>46195</v>
      </c>
    </row>
    <row r="449" customFormat="false" ht="15" hidden="false" customHeight="false" outlineLevel="0" collapsed="false">
      <c r="A449" s="0" t="n">
        <f aca="false">IF(AND(ISNUMBER(B449),B449&gt;0,ISNUMBER(AB449),AB449&gt;0,J449&gt;=Data_Summary!$C$1),1,0)</f>
        <v>1</v>
      </c>
      <c r="B449" s="33" t="n">
        <v>599</v>
      </c>
      <c r="C449" s="5" t="n">
        <f aca="false">IF(ISNUMBER(AB449),AB449,"")</f>
        <v>2800</v>
      </c>
      <c r="D449" s="0" t="n">
        <f aca="false">IF(ISNUMBER(C449),C449-U449*Data_Summary!$C$2,"")</f>
        <v>2800</v>
      </c>
      <c r="E449" s="34" t="n">
        <f aca="false">IFERROR(C449/B449,"")</f>
        <v>4.67445742904841</v>
      </c>
      <c r="F449" s="26" t="n">
        <f aca="false">IFERROR(D449/B449,"")</f>
        <v>4.67445742904841</v>
      </c>
      <c r="G449" s="0" t="str">
        <f aca="false">Q449</f>
        <v>1+1</v>
      </c>
      <c r="H449" s="0" t="str">
        <f aca="false">IFERROR(LEFT(G449,1),"")</f>
        <v>1</v>
      </c>
      <c r="I449" s="0" t="n">
        <f aca="false">IF(LEN(G449)&gt;1,1,0)</f>
        <v>1</v>
      </c>
      <c r="J449" s="4" t="n">
        <v>45778</v>
      </c>
      <c r="K449" s="0" t="s">
        <v>11</v>
      </c>
      <c r="L449" s="0" t="s">
        <v>95</v>
      </c>
      <c r="M449" s="0" t="s">
        <v>226</v>
      </c>
      <c r="N449" s="0" t="s">
        <v>97</v>
      </c>
      <c r="O449" s="0" t="s">
        <v>2234</v>
      </c>
      <c r="Q449" s="0" t="s">
        <v>270</v>
      </c>
      <c r="R449" s="0" t="n">
        <v>2</v>
      </c>
      <c r="S449" s="5" t="n">
        <v>599</v>
      </c>
      <c r="T449" s="0" t="s">
        <v>243</v>
      </c>
      <c r="U449" s="0" t="n">
        <v>0</v>
      </c>
      <c r="V449" s="0" t="s">
        <v>230</v>
      </c>
      <c r="W449" s="0" t="s">
        <v>244</v>
      </c>
      <c r="Y449" s="0" t="s">
        <v>253</v>
      </c>
      <c r="Z449" s="0" t="s">
        <v>1550</v>
      </c>
      <c r="AA449" s="0" t="s">
        <v>235</v>
      </c>
      <c r="AB449" s="32" t="n">
        <v>2800</v>
      </c>
      <c r="AC449" s="32" t="n">
        <v>2800</v>
      </c>
      <c r="AD449" s="26" t="n">
        <f aca="false">IFERROR(AB449/B449,"")</f>
        <v>4.67445742904841</v>
      </c>
      <c r="AE449" s="26" t="n">
        <f aca="false">IFERROR(AC449/B449,"")</f>
        <v>4.67445742904841</v>
      </c>
      <c r="AF449" s="0" t="s">
        <v>230</v>
      </c>
      <c r="AG449" s="0" t="s">
        <v>236</v>
      </c>
      <c r="AH449" s="0" t="s">
        <v>236</v>
      </c>
      <c r="AI449" s="0" t="s">
        <v>2235</v>
      </c>
      <c r="AJ449" s="0" t="s">
        <v>2236</v>
      </c>
      <c r="AK449" s="0" t="s">
        <v>2237</v>
      </c>
      <c r="AL449" s="0" t="s">
        <v>2238</v>
      </c>
      <c r="AM449" s="0" t="s">
        <v>94</v>
      </c>
      <c r="AN449" s="26" t="n">
        <f aca="false">IFERROR(E449*(1+IF(AM449="Apartment",Data_Summary!$C$3,0)),"")</f>
        <v>4.67445742904841</v>
      </c>
      <c r="AO449" s="4" t="n">
        <v>46195</v>
      </c>
    </row>
    <row r="450" customFormat="false" ht="15" hidden="false" customHeight="false" outlineLevel="0" collapsed="false">
      <c r="A450" s="0" t="n">
        <f aca="false">IF(AND(ISNUMBER(B450),B450&gt;0,ISNUMBER(AB450),AB450&gt;0,J450&gt;=Data_Summary!$C$1),1,0)</f>
        <v>1</v>
      </c>
      <c r="B450" s="33" t="n">
        <v>799</v>
      </c>
      <c r="C450" s="5" t="n">
        <f aca="false">IF(ISNUMBER(AB450),AB450,"")</f>
        <v>3200</v>
      </c>
      <c r="D450" s="0" t="n">
        <f aca="false">IF(ISNUMBER(C450),C450-U450*Data_Summary!$C$2,"")</f>
        <v>3200</v>
      </c>
      <c r="E450" s="34" t="n">
        <f aca="false">IFERROR(C450/B450,"")</f>
        <v>4.00500625782228</v>
      </c>
      <c r="F450" s="26" t="n">
        <f aca="false">IFERROR(D450/B450,"")</f>
        <v>4.00500625782228</v>
      </c>
      <c r="G450" s="0" t="str">
        <f aca="false">Q450</f>
        <v>2+1</v>
      </c>
      <c r="H450" s="0" t="str">
        <f aca="false">IFERROR(LEFT(G450,1),"")</f>
        <v>2</v>
      </c>
      <c r="I450" s="0" t="n">
        <f aca="false">IF(LEN(G450)&gt;1,1,0)</f>
        <v>1</v>
      </c>
      <c r="J450" s="4" t="n">
        <v>45777</v>
      </c>
      <c r="K450" s="0" t="s">
        <v>11</v>
      </c>
      <c r="L450" s="0" t="s">
        <v>95</v>
      </c>
      <c r="M450" s="0" t="s">
        <v>226</v>
      </c>
      <c r="N450" s="0" t="s">
        <v>97</v>
      </c>
      <c r="O450" s="0" t="s">
        <v>405</v>
      </c>
      <c r="Q450" s="0" t="s">
        <v>451</v>
      </c>
      <c r="R450" s="0" t="n">
        <v>2</v>
      </c>
      <c r="S450" s="5" t="n">
        <v>799</v>
      </c>
      <c r="T450" s="0" t="s">
        <v>229</v>
      </c>
      <c r="U450" s="0" t="n">
        <v>0</v>
      </c>
      <c r="V450" s="0" t="s">
        <v>230</v>
      </c>
      <c r="W450" s="0" t="s">
        <v>244</v>
      </c>
      <c r="X450" s="0" t="s">
        <v>232</v>
      </c>
      <c r="Y450" s="0" t="s">
        <v>308</v>
      </c>
      <c r="Z450" s="0" t="s">
        <v>1550</v>
      </c>
      <c r="AA450" s="0" t="s">
        <v>235</v>
      </c>
      <c r="AB450" s="32" t="n">
        <v>3200</v>
      </c>
      <c r="AC450" s="32" t="n">
        <v>3300</v>
      </c>
      <c r="AD450" s="26" t="n">
        <f aca="false">IFERROR(AB450/B450,"")</f>
        <v>4.00500625782228</v>
      </c>
      <c r="AE450" s="26" t="n">
        <f aca="false">IFERROR(AC450/B450,"")</f>
        <v>4.13016270337922</v>
      </c>
      <c r="AF450" s="0" t="s">
        <v>236</v>
      </c>
      <c r="AG450" s="0" t="s">
        <v>236</v>
      </c>
      <c r="AH450" s="0" t="s">
        <v>236</v>
      </c>
      <c r="AI450" s="0" t="s">
        <v>2239</v>
      </c>
      <c r="AJ450" s="0" t="s">
        <v>2240</v>
      </c>
      <c r="AK450" s="0" t="s">
        <v>2241</v>
      </c>
      <c r="AL450" s="0" t="s">
        <v>2242</v>
      </c>
      <c r="AM450" s="0" t="s">
        <v>94</v>
      </c>
      <c r="AN450" s="26" t="n">
        <f aca="false">IFERROR(E450*(1+IF(AM450="Apartment",Data_Summary!$C$3,0)),"")</f>
        <v>4.00500625782228</v>
      </c>
      <c r="AO450" s="4" t="n">
        <v>46195</v>
      </c>
    </row>
    <row r="451" customFormat="false" ht="15" hidden="false" customHeight="false" outlineLevel="0" collapsed="false">
      <c r="A451" s="0" t="n">
        <f aca="false">IF(AND(ISNUMBER(B451),B451&gt;0,ISNUMBER(AB451),AB451&gt;0,J451&gt;=Data_Summary!$C$1),1,0)</f>
        <v>1</v>
      </c>
      <c r="B451" s="33" t="n">
        <v>799</v>
      </c>
      <c r="C451" s="5" t="n">
        <f aca="false">IF(ISNUMBER(AB451),AB451,"")</f>
        <v>3300</v>
      </c>
      <c r="D451" s="0" t="n">
        <f aca="false">IF(ISNUMBER(C451),C451-U451*Data_Summary!$C$2,"")</f>
        <v>3300</v>
      </c>
      <c r="E451" s="34" t="n">
        <f aca="false">IFERROR(C451/B451,"")</f>
        <v>4.13016270337922</v>
      </c>
      <c r="F451" s="26" t="n">
        <f aca="false">IFERROR(D451/B451,"")</f>
        <v>4.13016270337922</v>
      </c>
      <c r="G451" s="0" t="str">
        <f aca="false">Q451</f>
        <v>2+1</v>
      </c>
      <c r="H451" s="0" t="str">
        <f aca="false">IFERROR(LEFT(G451,1),"")</f>
        <v>2</v>
      </c>
      <c r="I451" s="0" t="n">
        <f aca="false">IF(LEN(G451)&gt;1,1,0)</f>
        <v>1</v>
      </c>
      <c r="J451" s="4" t="n">
        <v>45776</v>
      </c>
      <c r="K451" s="0" t="s">
        <v>11</v>
      </c>
      <c r="L451" s="0" t="s">
        <v>95</v>
      </c>
      <c r="M451" s="0" t="s">
        <v>226</v>
      </c>
      <c r="N451" s="0" t="s">
        <v>97</v>
      </c>
      <c r="O451" s="0" t="s">
        <v>1383</v>
      </c>
      <c r="Q451" s="0" t="s">
        <v>451</v>
      </c>
      <c r="R451" s="0" t="n">
        <v>2</v>
      </c>
      <c r="S451" s="5" t="n">
        <v>799</v>
      </c>
      <c r="T451" s="0" t="s">
        <v>229</v>
      </c>
      <c r="U451" s="0" t="n">
        <v>0</v>
      </c>
      <c r="V451" s="0" t="s">
        <v>230</v>
      </c>
      <c r="W451" s="0" t="s">
        <v>244</v>
      </c>
      <c r="X451" s="0" t="s">
        <v>232</v>
      </c>
      <c r="Y451" s="0" t="s">
        <v>308</v>
      </c>
      <c r="Z451" s="0" t="s">
        <v>1550</v>
      </c>
      <c r="AA451" s="0" t="s">
        <v>235</v>
      </c>
      <c r="AB451" s="32" t="n">
        <v>3300</v>
      </c>
      <c r="AC451" s="32" t="n">
        <v>3250</v>
      </c>
      <c r="AD451" s="26" t="n">
        <f aca="false">IFERROR(AB451/B451,"")</f>
        <v>4.13016270337922</v>
      </c>
      <c r="AE451" s="26" t="n">
        <f aca="false">IFERROR(AC451/B451,"")</f>
        <v>4.06758448060075</v>
      </c>
      <c r="AF451" s="0" t="s">
        <v>236</v>
      </c>
      <c r="AG451" s="0" t="s">
        <v>236</v>
      </c>
      <c r="AH451" s="0" t="s">
        <v>236</v>
      </c>
      <c r="AI451" s="0" t="s">
        <v>2243</v>
      </c>
      <c r="AJ451" s="0" t="s">
        <v>2244</v>
      </c>
      <c r="AK451" s="0" t="s">
        <v>2245</v>
      </c>
      <c r="AL451" s="0" t="s">
        <v>2246</v>
      </c>
      <c r="AM451" s="0" t="s">
        <v>94</v>
      </c>
      <c r="AN451" s="26" t="n">
        <f aca="false">IFERROR(E451*(1+IF(AM451="Apartment",Data_Summary!$C$3,0)),"")</f>
        <v>4.13016270337922</v>
      </c>
      <c r="AO451" s="4" t="n">
        <v>46195</v>
      </c>
    </row>
    <row r="452" customFormat="false" ht="15" hidden="false" customHeight="false" outlineLevel="0" collapsed="false">
      <c r="A452" s="0" t="n">
        <f aca="false">IF(AND(ISNUMBER(B452),B452&gt;0,ISNUMBER(AB452),AB452&gt;0,J452&gt;=Data_Summary!$C$1),1,0)</f>
        <v>1</v>
      </c>
      <c r="B452" s="30" t="n">
        <v>701</v>
      </c>
      <c r="C452" s="5" t="n">
        <f aca="false">IF(ISNUMBER(AB452),AB452,"")</f>
        <v>2900</v>
      </c>
      <c r="D452" s="0" t="n">
        <f aca="false">IF(ISNUMBER(C452),C452-U452*Data_Summary!$C$2,"")</f>
        <v>2900</v>
      </c>
      <c r="E452" s="31" t="n">
        <f aca="false">IFERROR(C452/B452,"")</f>
        <v>4.13694721825963</v>
      </c>
      <c r="F452" s="26" t="n">
        <f aca="false">IFERROR(D452/B452,"")</f>
        <v>4.13694721825963</v>
      </c>
      <c r="G452" s="0" t="str">
        <f aca="false">Q452</f>
        <v>2</v>
      </c>
      <c r="H452" s="0" t="str">
        <f aca="false">IFERROR(LEFT(G452,1),"")</f>
        <v>2</v>
      </c>
      <c r="I452" s="0" t="n">
        <f aca="false">IF(LEN(G452)&gt;1,1,0)</f>
        <v>0</v>
      </c>
      <c r="J452" s="4" t="n">
        <v>45775</v>
      </c>
      <c r="K452" s="0" t="s">
        <v>11</v>
      </c>
      <c r="L452" s="0" t="s">
        <v>95</v>
      </c>
      <c r="M452" s="0" t="s">
        <v>226</v>
      </c>
      <c r="N452" s="0" t="s">
        <v>97</v>
      </c>
      <c r="O452" s="0" t="s">
        <v>882</v>
      </c>
      <c r="Q452" s="0" t="s">
        <v>251</v>
      </c>
      <c r="R452" s="0" t="n">
        <v>2</v>
      </c>
      <c r="S452" s="5" t="n">
        <v>701</v>
      </c>
      <c r="T452" s="0" t="s">
        <v>252</v>
      </c>
      <c r="U452" s="0" t="n">
        <v>0</v>
      </c>
      <c r="V452" s="0" t="s">
        <v>230</v>
      </c>
      <c r="W452" s="0" t="s">
        <v>244</v>
      </c>
      <c r="Y452" s="0" t="s">
        <v>233</v>
      </c>
      <c r="Z452" s="0" t="s">
        <v>1550</v>
      </c>
      <c r="AA452" s="0" t="s">
        <v>235</v>
      </c>
      <c r="AB452" s="32" t="n">
        <v>2900</v>
      </c>
      <c r="AC452" s="32" t="n">
        <v>2900</v>
      </c>
      <c r="AD452" s="26" t="n">
        <f aca="false">IFERROR(AB452/B452,"")</f>
        <v>4.13694721825963</v>
      </c>
      <c r="AE452" s="26" t="n">
        <f aca="false">IFERROR(AC452/B452,"")</f>
        <v>4.13694721825963</v>
      </c>
      <c r="AF452" s="0" t="s">
        <v>236</v>
      </c>
      <c r="AG452" s="0" t="s">
        <v>236</v>
      </c>
      <c r="AH452" s="0" t="s">
        <v>236</v>
      </c>
      <c r="AI452" s="0" t="s">
        <v>2247</v>
      </c>
      <c r="AJ452" s="0" t="s">
        <v>2248</v>
      </c>
      <c r="AK452" s="0" t="s">
        <v>2249</v>
      </c>
      <c r="AL452" s="0" t="s">
        <v>2250</v>
      </c>
      <c r="AM452" s="0" t="s">
        <v>94</v>
      </c>
      <c r="AN452" s="26" t="n">
        <f aca="false">IFERROR(E452*(1+IF(AM452="Apartment",Data_Summary!$C$3,0)),"")</f>
        <v>4.13694721825963</v>
      </c>
      <c r="AO452" s="4" t="n">
        <v>46195</v>
      </c>
    </row>
    <row r="453" customFormat="false" ht="15" hidden="false" customHeight="false" outlineLevel="0" collapsed="false">
      <c r="A453" s="0" t="n">
        <f aca="false">IF(AND(ISNUMBER(B453),B453&gt;0,ISNUMBER(AB453),AB453&gt;0,J453&gt;=Data_Summary!$C$1),1,0)</f>
        <v>1</v>
      </c>
      <c r="B453" s="30" t="n">
        <v>862</v>
      </c>
      <c r="C453" s="5" t="n">
        <f aca="false">IF(ISNUMBER(AB453),AB453,"")</f>
        <v>3550</v>
      </c>
      <c r="D453" s="0" t="n">
        <f aca="false">IF(ISNUMBER(C453),C453-U453*Data_Summary!$C$2,"")</f>
        <v>3400</v>
      </c>
      <c r="E453" s="31" t="n">
        <f aca="false">IFERROR(C453/B453,"")</f>
        <v>4.11832946635731</v>
      </c>
      <c r="F453" s="26" t="n">
        <f aca="false">IFERROR(D453/B453,"")</f>
        <v>3.94431554524362</v>
      </c>
      <c r="G453" s="0" t="str">
        <f aca="false">Q453</f>
        <v>2</v>
      </c>
      <c r="H453" s="0" t="str">
        <f aca="false">IFERROR(LEFT(G453,1),"")</f>
        <v>2</v>
      </c>
      <c r="I453" s="0" t="n">
        <f aca="false">IF(LEN(G453)&gt;1,1,0)</f>
        <v>0</v>
      </c>
      <c r="J453" s="4" t="n">
        <v>45775</v>
      </c>
      <c r="K453" s="0" t="s">
        <v>11</v>
      </c>
      <c r="L453" s="0" t="s">
        <v>95</v>
      </c>
      <c r="M453" s="0" t="s">
        <v>226</v>
      </c>
      <c r="N453" s="0" t="s">
        <v>97</v>
      </c>
      <c r="O453" s="0" t="s">
        <v>2251</v>
      </c>
      <c r="Q453" s="0" t="s">
        <v>251</v>
      </c>
      <c r="R453" s="0" t="n">
        <v>2</v>
      </c>
      <c r="S453" s="5" t="n">
        <v>862</v>
      </c>
      <c r="T453" s="0" t="s">
        <v>229</v>
      </c>
      <c r="U453" s="0" t="n">
        <v>1</v>
      </c>
      <c r="V453" s="0" t="s">
        <v>230</v>
      </c>
      <c r="W453" s="0" t="s">
        <v>244</v>
      </c>
      <c r="X453" s="0" t="s">
        <v>232</v>
      </c>
      <c r="Y453" s="0" t="s">
        <v>260</v>
      </c>
      <c r="Z453" s="0" t="s">
        <v>1550</v>
      </c>
      <c r="AA453" s="0" t="s">
        <v>235</v>
      </c>
      <c r="AB453" s="32" t="n">
        <v>3550</v>
      </c>
      <c r="AC453" s="32" t="n">
        <v>3550</v>
      </c>
      <c r="AD453" s="26" t="n">
        <f aca="false">IFERROR(AB453/B453,"")</f>
        <v>4.11832946635731</v>
      </c>
      <c r="AE453" s="26" t="n">
        <f aca="false">IFERROR(AC453/B453,"")</f>
        <v>4.11832946635731</v>
      </c>
      <c r="AF453" s="0" t="s">
        <v>236</v>
      </c>
      <c r="AG453" s="0" t="s">
        <v>236</v>
      </c>
      <c r="AH453" s="0" t="s">
        <v>236</v>
      </c>
      <c r="AI453" s="0" t="s">
        <v>2247</v>
      </c>
      <c r="AJ453" s="0" t="s">
        <v>2252</v>
      </c>
      <c r="AK453" s="0" t="s">
        <v>2253</v>
      </c>
      <c r="AL453" s="0" t="s">
        <v>2254</v>
      </c>
      <c r="AM453" s="0" t="s">
        <v>94</v>
      </c>
      <c r="AN453" s="26" t="n">
        <f aca="false">IFERROR(E453*(1+IF(AM453="Apartment",Data_Summary!$C$3,0)),"")</f>
        <v>4.11832946635731</v>
      </c>
      <c r="AO453" s="4" t="n">
        <v>46195</v>
      </c>
    </row>
    <row r="454" customFormat="false" ht="15" hidden="false" customHeight="false" outlineLevel="0" collapsed="false">
      <c r="A454" s="0" t="n">
        <f aca="false">IF(AND(ISNUMBER(B454),B454&gt;0,ISNUMBER(AB454),AB454&gt;0,J454&gt;=Data_Summary!$C$1),1,0)</f>
        <v>1</v>
      </c>
      <c r="B454" s="33" t="n">
        <v>694</v>
      </c>
      <c r="C454" s="5" t="n">
        <f aca="false">IF(ISNUMBER(AB454),AB454,"")</f>
        <v>1550</v>
      </c>
      <c r="D454" s="0" t="n">
        <f aca="false">IF(ISNUMBER(C454),C454-U454*Data_Summary!$C$2,"")</f>
        <v>1550</v>
      </c>
      <c r="E454" s="34" t="n">
        <f aca="false">IFERROR(C454/B454,"")</f>
        <v>2.23342939481268</v>
      </c>
      <c r="F454" s="26" t="n">
        <f aca="false">IFERROR(D454/B454,"")</f>
        <v>2.23342939481268</v>
      </c>
      <c r="G454" s="0" t="str">
        <f aca="false">Q454</f>
        <v>2</v>
      </c>
      <c r="H454" s="0" t="str">
        <f aca="false">IFERROR(LEFT(G454,1),"")</f>
        <v>2</v>
      </c>
      <c r="I454" s="0" t="n">
        <f aca="false">IF(LEN(G454)&gt;1,1,0)</f>
        <v>0</v>
      </c>
      <c r="J454" s="4" t="n">
        <v>45775</v>
      </c>
      <c r="K454" s="0" t="s">
        <v>11</v>
      </c>
      <c r="L454" s="0" t="s">
        <v>95</v>
      </c>
      <c r="M454" s="0" t="s">
        <v>226</v>
      </c>
      <c r="N454" s="0" t="s">
        <v>97</v>
      </c>
      <c r="O454" s="0" t="s">
        <v>617</v>
      </c>
      <c r="Q454" s="0" t="s">
        <v>251</v>
      </c>
      <c r="R454" s="0" t="n">
        <v>2</v>
      </c>
      <c r="S454" s="5" t="n">
        <v>694</v>
      </c>
      <c r="T454" s="0" t="s">
        <v>271</v>
      </c>
      <c r="U454" s="0" t="n">
        <v>0</v>
      </c>
      <c r="V454" s="0" t="s">
        <v>230</v>
      </c>
      <c r="W454" s="0" t="s">
        <v>244</v>
      </c>
      <c r="Y454" s="0" t="s">
        <v>233</v>
      </c>
      <c r="Z454" s="0" t="s">
        <v>1550</v>
      </c>
      <c r="AA454" s="0" t="s">
        <v>235</v>
      </c>
      <c r="AB454" s="32" t="n">
        <v>1550</v>
      </c>
      <c r="AC454" s="32" t="n">
        <v>1600</v>
      </c>
      <c r="AD454" s="26" t="n">
        <f aca="false">IFERROR(AB454/B454,"")</f>
        <v>2.23342939481268</v>
      </c>
      <c r="AE454" s="26" t="n">
        <f aca="false">IFERROR(AC454/B454,"")</f>
        <v>2.30547550432277</v>
      </c>
      <c r="AF454" s="0" t="s">
        <v>421</v>
      </c>
      <c r="AG454" s="0" t="s">
        <v>236</v>
      </c>
      <c r="AH454" s="0" t="s">
        <v>236</v>
      </c>
      <c r="AI454" s="0" t="s">
        <v>2247</v>
      </c>
      <c r="AJ454" s="0" t="s">
        <v>2255</v>
      </c>
      <c r="AK454" s="0" t="s">
        <v>2256</v>
      </c>
      <c r="AL454" s="0" t="s">
        <v>2257</v>
      </c>
      <c r="AM454" s="0" t="s">
        <v>94</v>
      </c>
      <c r="AN454" s="26" t="n">
        <f aca="false">IFERROR(E454*(1+IF(AM454="Apartment",Data_Summary!$C$3,0)),"")</f>
        <v>2.23342939481268</v>
      </c>
      <c r="AO454" s="4" t="n">
        <v>46195</v>
      </c>
    </row>
    <row r="455" customFormat="false" ht="15" hidden="false" customHeight="false" outlineLevel="0" collapsed="false">
      <c r="A455" s="0" t="n">
        <f aca="false">IF(AND(ISNUMBER(B455),B455&gt;0,ISNUMBER(AB455),AB455&gt;0,J455&gt;=Data_Summary!$C$1),1,0)</f>
        <v>1</v>
      </c>
      <c r="B455" s="30" t="n">
        <v>1015</v>
      </c>
      <c r="C455" s="5" t="n">
        <f aca="false">IF(ISNUMBER(AB455),AB455,"")</f>
        <v>4500</v>
      </c>
      <c r="D455" s="0" t="n">
        <f aca="false">IF(ISNUMBER(C455),C455-U455*Data_Summary!$C$2,"")</f>
        <v>4350</v>
      </c>
      <c r="E455" s="31" t="n">
        <f aca="false">IFERROR(C455/B455,"")</f>
        <v>4.43349753694581</v>
      </c>
      <c r="F455" s="26" t="n">
        <f aca="false">IFERROR(D455/B455,"")</f>
        <v>4.28571428571429</v>
      </c>
      <c r="G455" s="0" t="str">
        <f aca="false">Q455</f>
        <v>3</v>
      </c>
      <c r="H455" s="0" t="str">
        <f aca="false">IFERROR(LEFT(G455,1),"")</f>
        <v>3</v>
      </c>
      <c r="I455" s="0" t="n">
        <f aca="false">IF(LEN(G455)&gt;1,1,0)</f>
        <v>0</v>
      </c>
      <c r="J455" s="4" t="n">
        <v>45771</v>
      </c>
      <c r="K455" s="0" t="s">
        <v>11</v>
      </c>
      <c r="L455" s="0" t="s">
        <v>95</v>
      </c>
      <c r="M455" s="0" t="s">
        <v>226</v>
      </c>
      <c r="N455" s="0" t="s">
        <v>97</v>
      </c>
      <c r="O455" s="0" t="s">
        <v>415</v>
      </c>
      <c r="Q455" s="0" t="s">
        <v>228</v>
      </c>
      <c r="R455" s="0" t="n">
        <v>2</v>
      </c>
      <c r="S455" s="5" t="n">
        <v>1015</v>
      </c>
      <c r="T455" s="0" t="s">
        <v>265</v>
      </c>
      <c r="U455" s="0" t="n">
        <v>1</v>
      </c>
      <c r="V455" s="0" t="s">
        <v>230</v>
      </c>
      <c r="W455" s="0" t="s">
        <v>244</v>
      </c>
      <c r="X455" s="0" t="s">
        <v>232</v>
      </c>
      <c r="Y455" s="0" t="s">
        <v>308</v>
      </c>
      <c r="Z455" s="0" t="s">
        <v>1550</v>
      </c>
      <c r="AA455" s="0" t="s">
        <v>235</v>
      </c>
      <c r="AB455" s="32" t="n">
        <v>4500</v>
      </c>
      <c r="AC455" s="32" t="n">
        <v>5000</v>
      </c>
      <c r="AD455" s="26" t="n">
        <f aca="false">IFERROR(AB455/B455,"")</f>
        <v>4.43349753694581</v>
      </c>
      <c r="AE455" s="26" t="n">
        <f aca="false">IFERROR(AC455/B455,"")</f>
        <v>4.92610837438424</v>
      </c>
      <c r="AF455" s="0" t="s">
        <v>236</v>
      </c>
      <c r="AG455" s="0" t="s">
        <v>236</v>
      </c>
      <c r="AH455" s="0" t="s">
        <v>236</v>
      </c>
      <c r="AI455" s="0" t="s">
        <v>2258</v>
      </c>
      <c r="AJ455" s="0" t="s">
        <v>2259</v>
      </c>
      <c r="AK455" s="0" t="s">
        <v>2260</v>
      </c>
      <c r="AL455" s="0" t="s">
        <v>2261</v>
      </c>
      <c r="AM455" s="0" t="s">
        <v>94</v>
      </c>
      <c r="AN455" s="26" t="n">
        <f aca="false">IFERROR(E455*(1+IF(AM455="Apartment",Data_Summary!$C$3,0)),"")</f>
        <v>4.43349753694581</v>
      </c>
      <c r="AO455" s="4" t="n">
        <v>46195</v>
      </c>
    </row>
    <row r="456" customFormat="false" ht="15" hidden="false" customHeight="false" outlineLevel="0" collapsed="false">
      <c r="A456" s="0" t="n">
        <f aca="false">IF(AND(ISNUMBER(B456),B456&gt;0,ISNUMBER(AB456),AB456&gt;0,J456&gt;=Data_Summary!$C$1),1,0)</f>
        <v>1</v>
      </c>
      <c r="B456" s="30" t="n">
        <v>707</v>
      </c>
      <c r="C456" s="5" t="n">
        <f aca="false">IF(ISNUMBER(AB456),AB456,"")</f>
        <v>2600</v>
      </c>
      <c r="D456" s="0" t="n">
        <f aca="false">IF(ISNUMBER(C456),C456-U456*Data_Summary!$C$2,"")</f>
        <v>2600</v>
      </c>
      <c r="E456" s="31" t="n">
        <f aca="false">IFERROR(C456/B456,"")</f>
        <v>3.67751060820368</v>
      </c>
      <c r="F456" s="26" t="n">
        <f aca="false">IFERROR(D456/B456,"")</f>
        <v>3.67751060820368</v>
      </c>
      <c r="G456" s="0" t="str">
        <f aca="false">Q456</f>
        <v>2</v>
      </c>
      <c r="H456" s="0" t="str">
        <f aca="false">IFERROR(LEFT(G456,1),"")</f>
        <v>2</v>
      </c>
      <c r="I456" s="0" t="n">
        <f aca="false">IF(LEN(G456)&gt;1,1,0)</f>
        <v>0</v>
      </c>
      <c r="J456" s="4" t="n">
        <v>45770</v>
      </c>
      <c r="K456" s="0" t="s">
        <v>11</v>
      </c>
      <c r="L456" s="0" t="s">
        <v>95</v>
      </c>
      <c r="M456" s="0" t="s">
        <v>226</v>
      </c>
      <c r="N456" s="0" t="s">
        <v>97</v>
      </c>
      <c r="O456" s="0" t="s">
        <v>2262</v>
      </c>
      <c r="Q456" s="0" t="s">
        <v>251</v>
      </c>
      <c r="R456" s="0" t="n">
        <v>2</v>
      </c>
      <c r="S456" s="5" t="n">
        <v>707</v>
      </c>
      <c r="T456" s="0" t="s">
        <v>252</v>
      </c>
      <c r="U456" s="0" t="n">
        <v>0</v>
      </c>
      <c r="V456" s="0" t="s">
        <v>230</v>
      </c>
      <c r="W456" s="0" t="s">
        <v>244</v>
      </c>
      <c r="Y456" s="0" t="s">
        <v>253</v>
      </c>
      <c r="Z456" s="0" t="s">
        <v>1550</v>
      </c>
      <c r="AA456" s="0" t="s">
        <v>235</v>
      </c>
      <c r="AB456" s="32" t="n">
        <v>2600</v>
      </c>
      <c r="AC456" s="32" t="n">
        <v>2600</v>
      </c>
      <c r="AD456" s="26" t="n">
        <f aca="false">IFERROR(AB456/B456,"")</f>
        <v>3.67751060820368</v>
      </c>
      <c r="AE456" s="26" t="n">
        <f aca="false">IFERROR(AC456/B456,"")</f>
        <v>3.67751060820368</v>
      </c>
      <c r="AF456" s="0" t="s">
        <v>236</v>
      </c>
      <c r="AG456" s="0" t="s">
        <v>236</v>
      </c>
      <c r="AH456" s="0" t="s">
        <v>230</v>
      </c>
      <c r="AI456" s="0" t="s">
        <v>2263</v>
      </c>
      <c r="AJ456" s="0" t="s">
        <v>2264</v>
      </c>
      <c r="AK456" s="0" t="s">
        <v>2265</v>
      </c>
      <c r="AL456" s="0" t="s">
        <v>2266</v>
      </c>
      <c r="AM456" s="0" t="s">
        <v>94</v>
      </c>
      <c r="AN456" s="26" t="n">
        <f aca="false">IFERROR(E456*(1+IF(AM456="Apartment",Data_Summary!$C$3,0)),"")</f>
        <v>3.67751060820368</v>
      </c>
      <c r="AO456" s="4" t="n">
        <v>46195</v>
      </c>
    </row>
    <row r="457" customFormat="false" ht="15" hidden="false" customHeight="false" outlineLevel="0" collapsed="false">
      <c r="A457" s="0" t="n">
        <f aca="false">IF(AND(ISNUMBER(B457),B457&gt;0,ISNUMBER(AB457),AB457&gt;0,J457&gt;=Data_Summary!$C$1),1,0)</f>
        <v>1</v>
      </c>
      <c r="B457" s="33" t="n">
        <v>799</v>
      </c>
      <c r="C457" s="5" t="n">
        <f aca="false">IF(ISNUMBER(AB457),AB457,"")</f>
        <v>3200</v>
      </c>
      <c r="D457" s="0" t="n">
        <f aca="false">IF(ISNUMBER(C457),C457-U457*Data_Summary!$C$2,"")</f>
        <v>3200</v>
      </c>
      <c r="E457" s="34" t="n">
        <f aca="false">IFERROR(C457/B457,"")</f>
        <v>4.00500625782228</v>
      </c>
      <c r="F457" s="26" t="n">
        <f aca="false">IFERROR(D457/B457,"")</f>
        <v>4.00500625782228</v>
      </c>
      <c r="G457" s="0" t="str">
        <f aca="false">Q457</f>
        <v>2+1</v>
      </c>
      <c r="H457" s="0" t="str">
        <f aca="false">IFERROR(LEFT(G457,1),"")</f>
        <v>2</v>
      </c>
      <c r="I457" s="0" t="n">
        <f aca="false">IF(LEN(G457)&gt;1,1,0)</f>
        <v>1</v>
      </c>
      <c r="J457" s="4" t="n">
        <v>45769</v>
      </c>
      <c r="K457" s="0" t="s">
        <v>11</v>
      </c>
      <c r="L457" s="0" t="s">
        <v>95</v>
      </c>
      <c r="M457" s="0" t="s">
        <v>226</v>
      </c>
      <c r="N457" s="0" t="s">
        <v>97</v>
      </c>
      <c r="O457" s="0" t="s">
        <v>2267</v>
      </c>
      <c r="Q457" s="0" t="s">
        <v>451</v>
      </c>
      <c r="R457" s="0" t="n">
        <v>2</v>
      </c>
      <c r="S457" s="5" t="n">
        <v>799</v>
      </c>
      <c r="T457" s="0" t="s">
        <v>229</v>
      </c>
      <c r="U457" s="0" t="n">
        <v>0</v>
      </c>
      <c r="V457" s="0" t="s">
        <v>230</v>
      </c>
      <c r="W457" s="0" t="s">
        <v>244</v>
      </c>
      <c r="X457" s="0" t="s">
        <v>232</v>
      </c>
      <c r="Y457" s="0" t="s">
        <v>308</v>
      </c>
      <c r="Z457" s="0" t="s">
        <v>1550</v>
      </c>
      <c r="AA457" s="0" t="s">
        <v>235</v>
      </c>
      <c r="AB457" s="32" t="n">
        <v>3200</v>
      </c>
      <c r="AC457" s="32" t="n">
        <v>3200</v>
      </c>
      <c r="AD457" s="26" t="n">
        <f aca="false">IFERROR(AB457/B457,"")</f>
        <v>4.00500625782228</v>
      </c>
      <c r="AE457" s="26" t="n">
        <f aca="false">IFERROR(AC457/B457,"")</f>
        <v>4.00500625782228</v>
      </c>
      <c r="AF457" s="0" t="s">
        <v>236</v>
      </c>
      <c r="AG457" s="0" t="s">
        <v>236</v>
      </c>
      <c r="AH457" s="0" t="s">
        <v>236</v>
      </c>
      <c r="AI457" s="0" t="s">
        <v>2268</v>
      </c>
      <c r="AJ457" s="0" t="s">
        <v>2269</v>
      </c>
      <c r="AK457" s="0" t="s">
        <v>2270</v>
      </c>
      <c r="AL457" s="0" t="s">
        <v>2271</v>
      </c>
      <c r="AM457" s="0" t="s">
        <v>94</v>
      </c>
      <c r="AN457" s="26" t="n">
        <f aca="false">IFERROR(E457*(1+IF(AM457="Apartment",Data_Summary!$C$3,0)),"")</f>
        <v>4.00500625782228</v>
      </c>
      <c r="AO457" s="4" t="n">
        <v>46195</v>
      </c>
    </row>
    <row r="458" customFormat="false" ht="15" hidden="false" customHeight="false" outlineLevel="0" collapsed="false">
      <c r="A458" s="0" t="n">
        <f aca="false">IF(AND(ISNUMBER(B458),B458&gt;0,ISNUMBER(AB458),AB458&gt;0,J458&gt;=Data_Summary!$C$1),1,0)</f>
        <v>1</v>
      </c>
      <c r="B458" s="30" t="n">
        <v>888</v>
      </c>
      <c r="C458" s="5" t="n">
        <f aca="false">IF(ISNUMBER(AB458),AB458,"")</f>
        <v>3800</v>
      </c>
      <c r="D458" s="0" t="n">
        <f aca="false">IF(ISNUMBER(C458),C458-U458*Data_Summary!$C$2,"")</f>
        <v>3650</v>
      </c>
      <c r="E458" s="31" t="n">
        <f aca="false">IFERROR(C458/B458,"")</f>
        <v>4.27927927927928</v>
      </c>
      <c r="F458" s="26" t="n">
        <f aca="false">IFERROR(D458/B458,"")</f>
        <v>4.11036036036036</v>
      </c>
      <c r="G458" s="0" t="str">
        <f aca="false">Q458</f>
        <v>3</v>
      </c>
      <c r="H458" s="0" t="str">
        <f aca="false">IFERROR(LEFT(G458,1),"")</f>
        <v>3</v>
      </c>
      <c r="I458" s="0" t="n">
        <f aca="false">IF(LEN(G458)&gt;1,1,0)</f>
        <v>0</v>
      </c>
      <c r="J458" s="4" t="n">
        <v>45764</v>
      </c>
      <c r="K458" s="0" t="s">
        <v>11</v>
      </c>
      <c r="L458" s="0" t="s">
        <v>95</v>
      </c>
      <c r="M458" s="0" t="s">
        <v>226</v>
      </c>
      <c r="N458" s="0" t="s">
        <v>97</v>
      </c>
      <c r="O458" s="0" t="s">
        <v>544</v>
      </c>
      <c r="Q458" s="0" t="s">
        <v>228</v>
      </c>
      <c r="R458" s="0" t="n">
        <v>2</v>
      </c>
      <c r="S458" s="5" t="n">
        <v>888</v>
      </c>
      <c r="T458" s="0" t="s">
        <v>229</v>
      </c>
      <c r="U458" s="0" t="n">
        <v>1</v>
      </c>
      <c r="V458" s="0" t="s">
        <v>230</v>
      </c>
      <c r="W458" s="0" t="s">
        <v>244</v>
      </c>
      <c r="Y458" s="0" t="s">
        <v>233</v>
      </c>
      <c r="Z458" s="0" t="s">
        <v>1550</v>
      </c>
      <c r="AA458" s="0" t="s">
        <v>235</v>
      </c>
      <c r="AB458" s="32" t="n">
        <v>3800</v>
      </c>
      <c r="AC458" s="32" t="n">
        <v>3750</v>
      </c>
      <c r="AD458" s="26" t="n">
        <f aca="false">IFERROR(AB458/B458,"")</f>
        <v>4.27927927927928</v>
      </c>
      <c r="AE458" s="26" t="n">
        <f aca="false">IFERROR(AC458/B458,"")</f>
        <v>4.22297297297297</v>
      </c>
      <c r="AF458" s="0" t="s">
        <v>236</v>
      </c>
      <c r="AG458" s="0" t="s">
        <v>236</v>
      </c>
      <c r="AH458" s="0" t="s">
        <v>230</v>
      </c>
      <c r="AI458" s="0" t="s">
        <v>2272</v>
      </c>
      <c r="AJ458" s="0" t="s">
        <v>2273</v>
      </c>
      <c r="AK458" s="0" t="s">
        <v>2274</v>
      </c>
      <c r="AL458" s="0" t="s">
        <v>2275</v>
      </c>
      <c r="AM458" s="0" t="s">
        <v>94</v>
      </c>
      <c r="AN458" s="26" t="n">
        <f aca="false">IFERROR(E458*(1+IF(AM458="Apartment",Data_Summary!$C$3,0)),"")</f>
        <v>4.27927927927928</v>
      </c>
      <c r="AO458" s="4" t="n">
        <v>46195</v>
      </c>
    </row>
    <row r="459" customFormat="false" ht="15" hidden="false" customHeight="false" outlineLevel="0" collapsed="false">
      <c r="A459" s="0" t="n">
        <f aca="false">IF(AND(ISNUMBER(B459),B459&gt;0,ISNUMBER(AB459),AB459&gt;0,J459&gt;=Data_Summary!$C$1),1,0)</f>
        <v>1</v>
      </c>
      <c r="B459" s="30" t="n">
        <v>692</v>
      </c>
      <c r="C459" s="5" t="n">
        <f aca="false">IF(ISNUMBER(AB459),AB459,"")</f>
        <v>2950</v>
      </c>
      <c r="D459" s="0" t="n">
        <f aca="false">IF(ISNUMBER(C459),C459-U459*Data_Summary!$C$2,"")</f>
        <v>2950</v>
      </c>
      <c r="E459" s="31" t="n">
        <f aca="false">IFERROR(C459/B459,"")</f>
        <v>4.26300578034682</v>
      </c>
      <c r="F459" s="26" t="n">
        <f aca="false">IFERROR(D459/B459,"")</f>
        <v>4.26300578034682</v>
      </c>
      <c r="G459" s="0" t="str">
        <f aca="false">Q459</f>
        <v>2</v>
      </c>
      <c r="H459" s="0" t="str">
        <f aca="false">IFERROR(LEFT(G459,1),"")</f>
        <v>2</v>
      </c>
      <c r="I459" s="0" t="n">
        <f aca="false">IF(LEN(G459)&gt;1,1,0)</f>
        <v>0</v>
      </c>
      <c r="J459" s="4" t="n">
        <v>45763</v>
      </c>
      <c r="K459" s="0" t="s">
        <v>11</v>
      </c>
      <c r="L459" s="0" t="s">
        <v>95</v>
      </c>
      <c r="M459" s="0" t="s">
        <v>226</v>
      </c>
      <c r="N459" s="0" t="s">
        <v>97</v>
      </c>
      <c r="O459" s="0" t="s">
        <v>2276</v>
      </c>
      <c r="Q459" s="0" t="s">
        <v>251</v>
      </c>
      <c r="R459" s="0" t="n">
        <v>2</v>
      </c>
      <c r="S459" s="5" t="n">
        <v>692</v>
      </c>
      <c r="T459" s="0" t="s">
        <v>271</v>
      </c>
      <c r="U459" s="0" t="n">
        <v>0</v>
      </c>
      <c r="V459" s="0" t="s">
        <v>230</v>
      </c>
      <c r="W459" s="0" t="s">
        <v>244</v>
      </c>
      <c r="Y459" s="0" t="s">
        <v>253</v>
      </c>
      <c r="Z459" s="0" t="s">
        <v>1550</v>
      </c>
      <c r="AA459" s="0" t="s">
        <v>235</v>
      </c>
      <c r="AB459" s="32" t="n">
        <v>2950</v>
      </c>
      <c r="AC459" s="32" t="n">
        <v>2950</v>
      </c>
      <c r="AD459" s="26" t="n">
        <f aca="false">IFERROR(AB459/B459,"")</f>
        <v>4.26300578034682</v>
      </c>
      <c r="AE459" s="26" t="n">
        <f aca="false">IFERROR(AC459/B459,"")</f>
        <v>4.26300578034682</v>
      </c>
      <c r="AF459" s="0" t="s">
        <v>236</v>
      </c>
      <c r="AG459" s="0" t="s">
        <v>236</v>
      </c>
      <c r="AH459" s="0" t="s">
        <v>236</v>
      </c>
      <c r="AI459" s="0" t="s">
        <v>2277</v>
      </c>
      <c r="AJ459" s="0" t="s">
        <v>2278</v>
      </c>
      <c r="AK459" s="0" t="s">
        <v>2279</v>
      </c>
      <c r="AL459" s="0" t="s">
        <v>2280</v>
      </c>
      <c r="AM459" s="0" t="s">
        <v>94</v>
      </c>
      <c r="AN459" s="26" t="n">
        <f aca="false">IFERROR(E459*(1+IF(AM459="Apartment",Data_Summary!$C$3,0)),"")</f>
        <v>4.26300578034682</v>
      </c>
      <c r="AO459" s="4" t="n">
        <v>46195</v>
      </c>
    </row>
    <row r="460" customFormat="false" ht="15" hidden="false" customHeight="false" outlineLevel="0" collapsed="false">
      <c r="A460" s="0" t="n">
        <f aca="false">IF(AND(ISNUMBER(B460),B460&gt;0,ISNUMBER(AB460),AB460&gt;0,J460&gt;=Data_Summary!$C$1),1,0)</f>
        <v>1</v>
      </c>
      <c r="B460" s="33" t="n">
        <v>594</v>
      </c>
      <c r="C460" s="5" t="n">
        <f aca="false">IF(ISNUMBER(AB460),AB460,"")</f>
        <v>2350</v>
      </c>
      <c r="D460" s="0" t="n">
        <f aca="false">IF(ISNUMBER(C460),C460-U460*Data_Summary!$C$2,"")</f>
        <v>2200</v>
      </c>
      <c r="E460" s="34" t="n">
        <f aca="false">IFERROR(C460/B460,"")</f>
        <v>3.95622895622896</v>
      </c>
      <c r="F460" s="26" t="n">
        <f aca="false">IFERROR(D460/B460,"")</f>
        <v>3.7037037037037</v>
      </c>
      <c r="G460" s="0" t="str">
        <f aca="false">Q460</f>
        <v>1+1</v>
      </c>
      <c r="H460" s="0" t="str">
        <f aca="false">IFERROR(LEFT(G460,1),"")</f>
        <v>1</v>
      </c>
      <c r="I460" s="0" t="n">
        <f aca="false">IF(LEN(G460)&gt;1,1,0)</f>
        <v>1</v>
      </c>
      <c r="J460" s="4" t="n">
        <v>45763</v>
      </c>
      <c r="K460" s="0" t="s">
        <v>11</v>
      </c>
      <c r="L460" s="0" t="s">
        <v>95</v>
      </c>
      <c r="M460" s="0" t="s">
        <v>226</v>
      </c>
      <c r="N460" s="0" t="s">
        <v>97</v>
      </c>
      <c r="O460" s="0" t="s">
        <v>632</v>
      </c>
      <c r="Q460" s="0" t="s">
        <v>270</v>
      </c>
      <c r="R460" s="0" t="n">
        <v>2</v>
      </c>
      <c r="S460" s="5" t="n">
        <v>594</v>
      </c>
      <c r="T460" s="0" t="s">
        <v>271</v>
      </c>
      <c r="U460" s="0" t="n">
        <v>1</v>
      </c>
      <c r="V460" s="0" t="s">
        <v>230</v>
      </c>
      <c r="W460" s="0" t="s">
        <v>244</v>
      </c>
      <c r="Y460" s="0" t="s">
        <v>278</v>
      </c>
      <c r="Z460" s="0" t="s">
        <v>1550</v>
      </c>
      <c r="AA460" s="0" t="s">
        <v>235</v>
      </c>
      <c r="AB460" s="32" t="n">
        <v>2350</v>
      </c>
      <c r="AC460" s="32" t="n">
        <v>2400</v>
      </c>
      <c r="AD460" s="26" t="n">
        <f aca="false">IFERROR(AB460/B460,"")</f>
        <v>3.95622895622896</v>
      </c>
      <c r="AE460" s="26" t="n">
        <f aca="false">IFERROR(AC460/B460,"")</f>
        <v>4.04040404040404</v>
      </c>
      <c r="AF460" s="0" t="s">
        <v>236</v>
      </c>
      <c r="AG460" s="0" t="s">
        <v>236</v>
      </c>
      <c r="AH460" s="0" t="s">
        <v>236</v>
      </c>
      <c r="AI460" s="0" t="s">
        <v>2277</v>
      </c>
      <c r="AJ460" s="0" t="s">
        <v>2281</v>
      </c>
      <c r="AK460" s="0" t="s">
        <v>2282</v>
      </c>
      <c r="AL460" s="0" t="s">
        <v>2283</v>
      </c>
      <c r="AM460" s="0" t="s">
        <v>94</v>
      </c>
      <c r="AN460" s="26" t="n">
        <f aca="false">IFERROR(E460*(1+IF(AM460="Apartment",Data_Summary!$C$3,0)),"")</f>
        <v>3.95622895622896</v>
      </c>
      <c r="AO460" s="4" t="n">
        <v>46195</v>
      </c>
    </row>
    <row r="461" customFormat="false" ht="15" hidden="false" customHeight="false" outlineLevel="0" collapsed="false">
      <c r="A461" s="0" t="n">
        <f aca="false">IF(AND(ISNUMBER(B461),B461&gt;0,ISNUMBER(AB461),AB461&gt;0,J461&gt;=Data_Summary!$C$1),1,0)</f>
        <v>1</v>
      </c>
      <c r="B461" s="30" t="n">
        <v>667</v>
      </c>
      <c r="C461" s="5" t="n">
        <f aca="false">IF(ISNUMBER(AB461),AB461,"")</f>
        <v>3000</v>
      </c>
      <c r="D461" s="0" t="n">
        <f aca="false">IF(ISNUMBER(C461),C461-U461*Data_Summary!$C$2,"")</f>
        <v>3000</v>
      </c>
      <c r="E461" s="31" t="n">
        <f aca="false">IFERROR(C461/B461,"")</f>
        <v>4.49775112443778</v>
      </c>
      <c r="F461" s="26" t="n">
        <f aca="false">IFERROR(D461/B461,"")</f>
        <v>4.49775112443778</v>
      </c>
      <c r="G461" s="0" t="str">
        <f aca="false">Q461</f>
        <v>2</v>
      </c>
      <c r="H461" s="0" t="str">
        <f aca="false">IFERROR(LEFT(G461,1),"")</f>
        <v>2</v>
      </c>
      <c r="I461" s="0" t="n">
        <f aca="false">IF(LEN(G461)&gt;1,1,0)</f>
        <v>0</v>
      </c>
      <c r="J461" s="4" t="n">
        <v>45761</v>
      </c>
      <c r="K461" s="0" t="s">
        <v>11</v>
      </c>
      <c r="L461" s="0" t="s">
        <v>95</v>
      </c>
      <c r="M461" s="0" t="s">
        <v>226</v>
      </c>
      <c r="N461" s="0" t="s">
        <v>97</v>
      </c>
      <c r="O461" s="0" t="s">
        <v>2284</v>
      </c>
      <c r="Q461" s="0" t="s">
        <v>251</v>
      </c>
      <c r="R461" s="0" t="n">
        <v>2</v>
      </c>
      <c r="S461" s="5" t="n">
        <v>667</v>
      </c>
      <c r="T461" s="0" t="s">
        <v>271</v>
      </c>
      <c r="U461" s="0" t="n">
        <v>0</v>
      </c>
      <c r="V461" s="0" t="s">
        <v>230</v>
      </c>
      <c r="W461" s="0" t="s">
        <v>244</v>
      </c>
      <c r="Y461" s="0" t="s">
        <v>260</v>
      </c>
      <c r="Z461" s="0" t="s">
        <v>1550</v>
      </c>
      <c r="AA461" s="0" t="s">
        <v>235</v>
      </c>
      <c r="AB461" s="32" t="n">
        <v>3000</v>
      </c>
      <c r="AC461" s="32" t="n">
        <v>3000</v>
      </c>
      <c r="AD461" s="26" t="n">
        <f aca="false">IFERROR(AB461/B461,"")</f>
        <v>4.49775112443778</v>
      </c>
      <c r="AE461" s="26" t="n">
        <f aca="false">IFERROR(AC461/B461,"")</f>
        <v>4.49775112443778</v>
      </c>
      <c r="AF461" s="0" t="s">
        <v>236</v>
      </c>
      <c r="AG461" s="0" t="s">
        <v>236</v>
      </c>
      <c r="AH461" s="0" t="s">
        <v>236</v>
      </c>
      <c r="AI461" s="0" t="s">
        <v>2285</v>
      </c>
      <c r="AJ461" s="0" t="s">
        <v>2286</v>
      </c>
      <c r="AK461" s="0" t="s">
        <v>2287</v>
      </c>
      <c r="AL461" s="0" t="s">
        <v>2288</v>
      </c>
      <c r="AM461" s="0" t="s">
        <v>94</v>
      </c>
      <c r="AN461" s="26" t="n">
        <f aca="false">IFERROR(E461*(1+IF(AM461="Apartment",Data_Summary!$C$3,0)),"")</f>
        <v>4.49775112443778</v>
      </c>
      <c r="AO461" s="4" t="n">
        <v>46195</v>
      </c>
    </row>
    <row r="462" customFormat="false" ht="15" hidden="false" customHeight="false" outlineLevel="0" collapsed="false">
      <c r="A462" s="0" t="n">
        <f aca="false">IF(AND(ISNUMBER(B462),B462&gt;0,ISNUMBER(AB462),AB462&gt;0,J462&gt;=Data_Summary!$C$1),1,0)</f>
        <v>1</v>
      </c>
      <c r="B462" s="30" t="n">
        <v>652</v>
      </c>
      <c r="C462" s="5" t="n">
        <f aca="false">IF(ISNUMBER(AB462),AB462,"")</f>
        <v>2500</v>
      </c>
      <c r="D462" s="0" t="n">
        <f aca="false">IF(ISNUMBER(C462),C462-U462*Data_Summary!$C$2,"")</f>
        <v>2500</v>
      </c>
      <c r="E462" s="31" t="n">
        <f aca="false">IFERROR(C462/B462,"")</f>
        <v>3.83435582822086</v>
      </c>
      <c r="F462" s="26" t="n">
        <f aca="false">IFERROR(D462/B462,"")</f>
        <v>3.83435582822086</v>
      </c>
      <c r="G462" s="0" t="str">
        <f aca="false">Q462</f>
        <v>2</v>
      </c>
      <c r="H462" s="0" t="str">
        <f aca="false">IFERROR(LEFT(G462,1),"")</f>
        <v>2</v>
      </c>
      <c r="I462" s="0" t="n">
        <f aca="false">IF(LEN(G462)&gt;1,1,0)</f>
        <v>0</v>
      </c>
      <c r="J462" s="4" t="n">
        <v>45756</v>
      </c>
      <c r="K462" s="0" t="s">
        <v>11</v>
      </c>
      <c r="L462" s="0" t="s">
        <v>95</v>
      </c>
      <c r="M462" s="0" t="s">
        <v>226</v>
      </c>
      <c r="N462" s="0" t="s">
        <v>97</v>
      </c>
      <c r="O462" s="0" t="s">
        <v>2289</v>
      </c>
      <c r="Q462" s="0" t="s">
        <v>251</v>
      </c>
      <c r="R462" s="0" t="n">
        <v>2</v>
      </c>
      <c r="S462" s="5" t="n">
        <v>652</v>
      </c>
      <c r="T462" s="0" t="s">
        <v>271</v>
      </c>
      <c r="U462" s="0" t="n">
        <v>0</v>
      </c>
      <c r="V462" s="0" t="s">
        <v>230</v>
      </c>
      <c r="W462" s="0" t="s">
        <v>244</v>
      </c>
      <c r="Y462" s="0" t="s">
        <v>272</v>
      </c>
      <c r="Z462" s="0" t="s">
        <v>1550</v>
      </c>
      <c r="AA462" s="0" t="s">
        <v>235</v>
      </c>
      <c r="AB462" s="32" t="n">
        <v>2500</v>
      </c>
      <c r="AC462" s="32" t="n">
        <v>2600</v>
      </c>
      <c r="AD462" s="26" t="n">
        <f aca="false">IFERROR(AB462/B462,"")</f>
        <v>3.83435582822086</v>
      </c>
      <c r="AE462" s="26" t="n">
        <f aca="false">IFERROR(AC462/B462,"")</f>
        <v>3.98773006134969</v>
      </c>
      <c r="AF462" s="0" t="s">
        <v>236</v>
      </c>
      <c r="AG462" s="0" t="s">
        <v>236</v>
      </c>
      <c r="AH462" s="0" t="s">
        <v>236</v>
      </c>
      <c r="AI462" s="0" t="s">
        <v>2290</v>
      </c>
      <c r="AJ462" s="0" t="s">
        <v>2291</v>
      </c>
      <c r="AK462" s="0" t="s">
        <v>2292</v>
      </c>
      <c r="AL462" s="0" t="s">
        <v>2293</v>
      </c>
      <c r="AM462" s="0" t="s">
        <v>94</v>
      </c>
      <c r="AN462" s="26" t="n">
        <f aca="false">IFERROR(E462*(1+IF(AM462="Apartment",Data_Summary!$C$3,0)),"")</f>
        <v>3.83435582822086</v>
      </c>
      <c r="AO462" s="4" t="n">
        <v>46195</v>
      </c>
    </row>
    <row r="463" customFormat="false" ht="15" hidden="false" customHeight="false" outlineLevel="0" collapsed="false">
      <c r="A463" s="0" t="n">
        <f aca="false">IF(AND(ISNUMBER(B463),B463&gt;0,ISNUMBER(AB463),AB463&gt;0,J463&gt;=Data_Summary!$C$1),1,0)</f>
        <v>1</v>
      </c>
      <c r="B463" s="33" t="n">
        <v>594</v>
      </c>
      <c r="C463" s="5" t="n">
        <f aca="false">IF(ISNUMBER(AB463),AB463,"")</f>
        <v>2550</v>
      </c>
      <c r="D463" s="0" t="n">
        <f aca="false">IF(ISNUMBER(C463),C463-U463*Data_Summary!$C$2,"")</f>
        <v>2400</v>
      </c>
      <c r="E463" s="34" t="n">
        <f aca="false">IFERROR(C463/B463,"")</f>
        <v>4.29292929292929</v>
      </c>
      <c r="F463" s="26" t="n">
        <f aca="false">IFERROR(D463/B463,"")</f>
        <v>4.04040404040404</v>
      </c>
      <c r="G463" s="0" t="str">
        <f aca="false">Q463</f>
        <v>1+1</v>
      </c>
      <c r="H463" s="0" t="str">
        <f aca="false">IFERROR(LEFT(G463,1),"")</f>
        <v>1</v>
      </c>
      <c r="I463" s="0" t="n">
        <f aca="false">IF(LEN(G463)&gt;1,1,0)</f>
        <v>1</v>
      </c>
      <c r="J463" s="4" t="n">
        <v>45754</v>
      </c>
      <c r="K463" s="0" t="s">
        <v>11</v>
      </c>
      <c r="L463" s="0" t="s">
        <v>95</v>
      </c>
      <c r="M463" s="0" t="s">
        <v>226</v>
      </c>
      <c r="N463" s="0" t="s">
        <v>97</v>
      </c>
      <c r="O463" s="0" t="s">
        <v>2294</v>
      </c>
      <c r="Q463" s="0" t="s">
        <v>270</v>
      </c>
      <c r="R463" s="0" t="n">
        <v>2</v>
      </c>
      <c r="S463" s="5" t="n">
        <v>594</v>
      </c>
      <c r="T463" s="0" t="s">
        <v>271</v>
      </c>
      <c r="U463" s="0" t="n">
        <v>1</v>
      </c>
      <c r="V463" s="0" t="s">
        <v>230</v>
      </c>
      <c r="W463" s="0" t="s">
        <v>244</v>
      </c>
      <c r="Y463" s="0" t="s">
        <v>253</v>
      </c>
      <c r="Z463" s="0" t="s">
        <v>1550</v>
      </c>
      <c r="AA463" s="0" t="s">
        <v>235</v>
      </c>
      <c r="AB463" s="32" t="n">
        <v>2550</v>
      </c>
      <c r="AC463" s="32" t="n">
        <v>2600</v>
      </c>
      <c r="AD463" s="26" t="n">
        <f aca="false">IFERROR(AB463/B463,"")</f>
        <v>4.29292929292929</v>
      </c>
      <c r="AE463" s="26" t="n">
        <f aca="false">IFERROR(AC463/B463,"")</f>
        <v>4.37710437710438</v>
      </c>
      <c r="AF463" s="0" t="s">
        <v>236</v>
      </c>
      <c r="AG463" s="0" t="s">
        <v>236</v>
      </c>
      <c r="AH463" s="0" t="s">
        <v>236</v>
      </c>
      <c r="AI463" s="0" t="s">
        <v>2295</v>
      </c>
      <c r="AJ463" s="0" t="s">
        <v>2296</v>
      </c>
      <c r="AK463" s="0" t="s">
        <v>2297</v>
      </c>
      <c r="AL463" s="0" t="s">
        <v>2298</v>
      </c>
      <c r="AM463" s="0" t="s">
        <v>94</v>
      </c>
      <c r="AN463" s="26" t="n">
        <f aca="false">IFERROR(E463*(1+IF(AM463="Apartment",Data_Summary!$C$3,0)),"")</f>
        <v>4.29292929292929</v>
      </c>
      <c r="AO463" s="4" t="n">
        <v>46195</v>
      </c>
    </row>
    <row r="464" customFormat="false" ht="15" hidden="false" customHeight="false" outlineLevel="0" collapsed="false">
      <c r="A464" s="0" t="n">
        <f aca="false">IF(AND(ISNUMBER(B464),B464&gt;0,ISNUMBER(AB464),AB464&gt;0,J464&gt;=Data_Summary!$C$1),1,0)</f>
        <v>1</v>
      </c>
      <c r="B464" s="30" t="n">
        <v>862</v>
      </c>
      <c r="C464" s="5" t="n">
        <f aca="false">IF(ISNUMBER(AB464),AB464,"")</f>
        <v>3300</v>
      </c>
      <c r="D464" s="0" t="n">
        <f aca="false">IF(ISNUMBER(C464),C464-U464*Data_Summary!$C$2,"")</f>
        <v>3300</v>
      </c>
      <c r="E464" s="31" t="n">
        <f aca="false">IFERROR(C464/B464,"")</f>
        <v>3.82830626450116</v>
      </c>
      <c r="F464" s="26" t="n">
        <f aca="false">IFERROR(D464/B464,"")</f>
        <v>3.82830626450116</v>
      </c>
      <c r="G464" s="0" t="str">
        <f aca="false">Q464</f>
        <v>2+1</v>
      </c>
      <c r="H464" s="0" t="str">
        <f aca="false">IFERROR(LEFT(G464,1),"")</f>
        <v>2</v>
      </c>
      <c r="I464" s="0" t="n">
        <f aca="false">IF(LEN(G464)&gt;1,1,0)</f>
        <v>1</v>
      </c>
      <c r="J464" s="4" t="n">
        <v>45751</v>
      </c>
      <c r="K464" s="0" t="s">
        <v>11</v>
      </c>
      <c r="L464" s="0" t="s">
        <v>95</v>
      </c>
      <c r="M464" s="0" t="s">
        <v>226</v>
      </c>
      <c r="N464" s="0" t="s">
        <v>97</v>
      </c>
      <c r="O464" s="0" t="s">
        <v>594</v>
      </c>
      <c r="Q464" s="0" t="s">
        <v>451</v>
      </c>
      <c r="R464" s="0" t="n">
        <v>2</v>
      </c>
      <c r="S464" s="5" t="n">
        <v>862</v>
      </c>
      <c r="T464" s="0" t="s">
        <v>229</v>
      </c>
      <c r="U464" s="0" t="n">
        <v>0</v>
      </c>
      <c r="V464" s="0" t="s">
        <v>230</v>
      </c>
      <c r="W464" s="0" t="s">
        <v>244</v>
      </c>
      <c r="X464" s="0" t="s">
        <v>232</v>
      </c>
      <c r="Y464" s="0" t="s">
        <v>260</v>
      </c>
      <c r="Z464" s="0" t="s">
        <v>1550</v>
      </c>
      <c r="AA464" s="0" t="s">
        <v>235</v>
      </c>
      <c r="AB464" s="32" t="n">
        <v>3300</v>
      </c>
      <c r="AC464" s="32" t="n">
        <v>3300</v>
      </c>
      <c r="AD464" s="26" t="n">
        <f aca="false">IFERROR(AB464/B464,"")</f>
        <v>3.82830626450116</v>
      </c>
      <c r="AE464" s="26" t="n">
        <f aca="false">IFERROR(AC464/B464,"")</f>
        <v>3.82830626450116</v>
      </c>
      <c r="AF464" s="0" t="s">
        <v>236</v>
      </c>
      <c r="AG464" s="0" t="s">
        <v>236</v>
      </c>
      <c r="AH464" s="0" t="s">
        <v>236</v>
      </c>
      <c r="AI464" s="0" t="s">
        <v>2299</v>
      </c>
      <c r="AJ464" s="0" t="s">
        <v>2300</v>
      </c>
      <c r="AK464" s="0" t="s">
        <v>2301</v>
      </c>
      <c r="AL464" s="0" t="s">
        <v>2302</v>
      </c>
      <c r="AM464" s="0" t="s">
        <v>94</v>
      </c>
      <c r="AN464" s="26" t="n">
        <f aca="false">IFERROR(E464*(1+IF(AM464="Apartment",Data_Summary!$C$3,0)),"")</f>
        <v>3.82830626450116</v>
      </c>
      <c r="AO464" s="4" t="n">
        <v>46195</v>
      </c>
    </row>
    <row r="465" customFormat="false" ht="15" hidden="false" customHeight="false" outlineLevel="0" collapsed="false">
      <c r="A465" s="0" t="n">
        <f aca="false">IF(AND(ISNUMBER(B465),B465&gt;0,ISNUMBER(AB465),AB465&gt;0,J465&gt;=Data_Summary!$C$1),1,0)</f>
        <v>1</v>
      </c>
      <c r="B465" s="30" t="n">
        <v>1015</v>
      </c>
      <c r="C465" s="5" t="n">
        <f aca="false">IF(ISNUMBER(AB465),AB465,"")</f>
        <v>4400</v>
      </c>
      <c r="D465" s="0" t="n">
        <f aca="false">IF(ISNUMBER(C465),C465-U465*Data_Summary!$C$2,"")</f>
        <v>4250</v>
      </c>
      <c r="E465" s="31" t="n">
        <f aca="false">IFERROR(C465/B465,"")</f>
        <v>4.33497536945813</v>
      </c>
      <c r="F465" s="26" t="n">
        <f aca="false">IFERROR(D465/B465,"")</f>
        <v>4.1871921182266</v>
      </c>
      <c r="G465" s="0" t="str">
        <f aca="false">Q465</f>
        <v>3</v>
      </c>
      <c r="H465" s="0" t="str">
        <f aca="false">IFERROR(LEFT(G465,1),"")</f>
        <v>3</v>
      </c>
      <c r="I465" s="0" t="n">
        <f aca="false">IF(LEN(G465)&gt;1,1,0)</f>
        <v>0</v>
      </c>
      <c r="J465" s="4" t="n">
        <v>45751</v>
      </c>
      <c r="K465" s="0" t="s">
        <v>11</v>
      </c>
      <c r="L465" s="0" t="s">
        <v>95</v>
      </c>
      <c r="M465" s="0" t="s">
        <v>226</v>
      </c>
      <c r="N465" s="0" t="s">
        <v>97</v>
      </c>
      <c r="O465" s="0" t="s">
        <v>1647</v>
      </c>
      <c r="Q465" s="0" t="s">
        <v>228</v>
      </c>
      <c r="R465" s="0" t="n">
        <v>2</v>
      </c>
      <c r="S465" s="5" t="n">
        <v>1015</v>
      </c>
      <c r="T465" s="0" t="s">
        <v>265</v>
      </c>
      <c r="U465" s="0" t="n">
        <v>1</v>
      </c>
      <c r="V465" s="0" t="s">
        <v>230</v>
      </c>
      <c r="W465" s="0" t="s">
        <v>244</v>
      </c>
      <c r="X465" s="0" t="s">
        <v>232</v>
      </c>
      <c r="Y465" s="0" t="s">
        <v>308</v>
      </c>
      <c r="Z465" s="0" t="s">
        <v>1550</v>
      </c>
      <c r="AA465" s="0" t="s">
        <v>235</v>
      </c>
      <c r="AB465" s="32" t="n">
        <v>4400</v>
      </c>
      <c r="AC465" s="32" t="n">
        <v>4400</v>
      </c>
      <c r="AD465" s="26" t="n">
        <f aca="false">IFERROR(AB465/B465,"")</f>
        <v>4.33497536945813</v>
      </c>
      <c r="AE465" s="26" t="n">
        <f aca="false">IFERROR(AC465/B465,"")</f>
        <v>4.33497536945813</v>
      </c>
      <c r="AF465" s="0" t="s">
        <v>236</v>
      </c>
      <c r="AG465" s="0" t="s">
        <v>236</v>
      </c>
      <c r="AH465" s="0" t="s">
        <v>236</v>
      </c>
      <c r="AI465" s="0" t="s">
        <v>2299</v>
      </c>
      <c r="AJ465" s="0" t="s">
        <v>2303</v>
      </c>
      <c r="AK465" s="0" t="s">
        <v>2304</v>
      </c>
      <c r="AL465" s="0" t="s">
        <v>2305</v>
      </c>
      <c r="AM465" s="0" t="s">
        <v>94</v>
      </c>
      <c r="AN465" s="26" t="n">
        <f aca="false">IFERROR(E465*(1+IF(AM465="Apartment",Data_Summary!$C$3,0)),"")</f>
        <v>4.33497536945813</v>
      </c>
      <c r="AO465" s="4" t="n">
        <v>46195</v>
      </c>
    </row>
    <row r="466" customFormat="false" ht="15" hidden="false" customHeight="false" outlineLevel="0" collapsed="false">
      <c r="A466" s="0" t="n">
        <f aca="false">IF(AND(ISNUMBER(B466),B466&gt;0,ISNUMBER(AB466),AB466&gt;0,J466&gt;=Data_Summary!$C$1),1,0)</f>
        <v>1</v>
      </c>
      <c r="B466" s="30" t="n">
        <v>864</v>
      </c>
      <c r="C466" s="5" t="n">
        <f aca="false">IF(ISNUMBER(AB466),AB466,"")</f>
        <v>4000</v>
      </c>
      <c r="D466" s="0" t="n">
        <f aca="false">IF(ISNUMBER(C466),C466-U466*Data_Summary!$C$2,"")</f>
        <v>3850</v>
      </c>
      <c r="E466" s="31" t="n">
        <f aca="false">IFERROR(C466/B466,"")</f>
        <v>4.62962962962963</v>
      </c>
      <c r="F466" s="26" t="n">
        <f aca="false">IFERROR(D466/B466,"")</f>
        <v>4.45601851851852</v>
      </c>
      <c r="G466" s="0" t="str">
        <f aca="false">Q466</f>
        <v>3</v>
      </c>
      <c r="H466" s="0" t="str">
        <f aca="false">IFERROR(LEFT(G466,1),"")</f>
        <v>3</v>
      </c>
      <c r="I466" s="0" t="n">
        <f aca="false">IF(LEN(G466)&gt;1,1,0)</f>
        <v>0</v>
      </c>
      <c r="J466" s="4" t="n">
        <v>45747</v>
      </c>
      <c r="K466" s="0" t="s">
        <v>11</v>
      </c>
      <c r="L466" s="0" t="s">
        <v>95</v>
      </c>
      <c r="M466" s="0" t="s">
        <v>226</v>
      </c>
      <c r="N466" s="0" t="s">
        <v>97</v>
      </c>
      <c r="O466" s="0" t="s">
        <v>2306</v>
      </c>
      <c r="Q466" s="0" t="s">
        <v>228</v>
      </c>
      <c r="R466" s="0" t="n">
        <v>2</v>
      </c>
      <c r="S466" s="5" t="n">
        <v>864</v>
      </c>
      <c r="T466" s="0" t="s">
        <v>229</v>
      </c>
      <c r="U466" s="0" t="n">
        <v>1</v>
      </c>
      <c r="V466" s="0" t="s">
        <v>230</v>
      </c>
      <c r="W466" s="0" t="s">
        <v>244</v>
      </c>
      <c r="Y466" s="0" t="s">
        <v>278</v>
      </c>
      <c r="Z466" s="0" t="s">
        <v>1550</v>
      </c>
      <c r="AA466" s="0" t="s">
        <v>235</v>
      </c>
      <c r="AB466" s="32" t="n">
        <v>4000</v>
      </c>
      <c r="AC466" s="32" t="n">
        <v>4000</v>
      </c>
      <c r="AD466" s="26" t="n">
        <f aca="false">IFERROR(AB466/B466,"")</f>
        <v>4.62962962962963</v>
      </c>
      <c r="AE466" s="26" t="n">
        <f aca="false">IFERROR(AC466/B466,"")</f>
        <v>4.62962962962963</v>
      </c>
      <c r="AF466" s="0" t="s">
        <v>236</v>
      </c>
      <c r="AG466" s="0" t="s">
        <v>236</v>
      </c>
      <c r="AH466" s="0" t="s">
        <v>236</v>
      </c>
      <c r="AI466" s="0" t="s">
        <v>2307</v>
      </c>
      <c r="AJ466" s="0" t="s">
        <v>2308</v>
      </c>
      <c r="AK466" s="0" t="s">
        <v>2309</v>
      </c>
      <c r="AL466" s="0" t="s">
        <v>2310</v>
      </c>
      <c r="AM466" s="0" t="s">
        <v>94</v>
      </c>
      <c r="AN466" s="26" t="n">
        <f aca="false">IFERROR(E466*(1+IF(AM466="Apartment",Data_Summary!$C$3,0)),"")</f>
        <v>4.62962962962963</v>
      </c>
      <c r="AO466" s="4" t="n">
        <v>46195</v>
      </c>
    </row>
    <row r="467" customFormat="false" ht="15" hidden="false" customHeight="false" outlineLevel="0" collapsed="false">
      <c r="A467" s="0" t="n">
        <f aca="false">IF(AND(ISNUMBER(B467),B467&gt;0,ISNUMBER(AB467),AB467&gt;0,J467&gt;=Data_Summary!$C$1),1,0)</f>
        <v>1</v>
      </c>
      <c r="B467" s="30" t="n">
        <v>1011</v>
      </c>
      <c r="C467" s="5" t="n">
        <f aca="false">IF(ISNUMBER(AB467),AB467,"")</f>
        <v>4300</v>
      </c>
      <c r="D467" s="0" t="n">
        <f aca="false">IF(ISNUMBER(C467),C467-U467*Data_Summary!$C$2,"")</f>
        <v>4150</v>
      </c>
      <c r="E467" s="31" t="n">
        <f aca="false">IFERROR(C467/B467,"")</f>
        <v>4.25321463897132</v>
      </c>
      <c r="F467" s="26" t="n">
        <f aca="false">IFERROR(D467/B467,"")</f>
        <v>4.10484668644906</v>
      </c>
      <c r="G467" s="0" t="str">
        <f aca="false">Q467</f>
        <v>3</v>
      </c>
      <c r="H467" s="0" t="str">
        <f aca="false">IFERROR(LEFT(G467,1),"")</f>
        <v>3</v>
      </c>
      <c r="I467" s="0" t="n">
        <f aca="false">IF(LEN(G467)&gt;1,1,0)</f>
        <v>0</v>
      </c>
      <c r="J467" s="4" t="n">
        <v>45747</v>
      </c>
      <c r="K467" s="0" t="s">
        <v>11</v>
      </c>
      <c r="L467" s="0" t="s">
        <v>95</v>
      </c>
      <c r="M467" s="0" t="s">
        <v>226</v>
      </c>
      <c r="N467" s="0" t="s">
        <v>97</v>
      </c>
      <c r="O467" s="0" t="s">
        <v>2311</v>
      </c>
      <c r="Q467" s="0" t="s">
        <v>228</v>
      </c>
      <c r="R467" s="0" t="n">
        <v>2</v>
      </c>
      <c r="S467" s="5" t="n">
        <v>1011</v>
      </c>
      <c r="T467" s="0" t="s">
        <v>265</v>
      </c>
      <c r="U467" s="0" t="n">
        <v>1</v>
      </c>
      <c r="V467" s="0" t="s">
        <v>230</v>
      </c>
      <c r="W467" s="0" t="s">
        <v>244</v>
      </c>
      <c r="Y467" s="0" t="s">
        <v>253</v>
      </c>
      <c r="Z467" s="0" t="s">
        <v>1550</v>
      </c>
      <c r="AA467" s="0" t="s">
        <v>235</v>
      </c>
      <c r="AB467" s="32" t="n">
        <v>4300</v>
      </c>
      <c r="AC467" s="32" t="n">
        <v>4300</v>
      </c>
      <c r="AD467" s="26" t="n">
        <f aca="false">IFERROR(AB467/B467,"")</f>
        <v>4.25321463897132</v>
      </c>
      <c r="AE467" s="26" t="n">
        <f aca="false">IFERROR(AC467/B467,"")</f>
        <v>4.25321463897132</v>
      </c>
      <c r="AF467" s="0" t="s">
        <v>236</v>
      </c>
      <c r="AG467" s="0" t="s">
        <v>236</v>
      </c>
      <c r="AH467" s="0" t="s">
        <v>236</v>
      </c>
      <c r="AI467" s="0" t="s">
        <v>2307</v>
      </c>
      <c r="AJ467" s="0" t="s">
        <v>2312</v>
      </c>
      <c r="AK467" s="0" t="s">
        <v>2313</v>
      </c>
      <c r="AL467" s="0" t="s">
        <v>2314</v>
      </c>
      <c r="AM467" s="0" t="s">
        <v>94</v>
      </c>
      <c r="AN467" s="26" t="n">
        <f aca="false">IFERROR(E467*(1+IF(AM467="Apartment",Data_Summary!$C$3,0)),"")</f>
        <v>4.25321463897132</v>
      </c>
      <c r="AO467" s="4" t="n">
        <v>46195</v>
      </c>
    </row>
    <row r="468" customFormat="false" ht="15" hidden="false" customHeight="false" outlineLevel="0" collapsed="false">
      <c r="A468" s="0" t="n">
        <f aca="false">IF(AND(ISNUMBER(B468),B468&gt;0,ISNUMBER(AB468),AB468&gt;0,J468&gt;=Data_Summary!$C$1),1,0)</f>
        <v>1</v>
      </c>
      <c r="B468" s="30" t="n">
        <v>681</v>
      </c>
      <c r="C468" s="5" t="n">
        <f aca="false">IF(ISNUMBER(AB468),AB468,"")</f>
        <v>2450</v>
      </c>
      <c r="D468" s="0" t="n">
        <f aca="false">IF(ISNUMBER(C468),C468-U468*Data_Summary!$C$2,"")</f>
        <v>2450</v>
      </c>
      <c r="E468" s="31" t="n">
        <f aca="false">IFERROR(C468/B468,"")</f>
        <v>3.59765051395007</v>
      </c>
      <c r="F468" s="26" t="n">
        <f aca="false">IFERROR(D468/B468,"")</f>
        <v>3.59765051395007</v>
      </c>
      <c r="G468" s="0" t="str">
        <f aca="false">Q468</f>
        <v>2</v>
      </c>
      <c r="H468" s="0" t="str">
        <f aca="false">IFERROR(LEFT(G468,1),"")</f>
        <v>2</v>
      </c>
      <c r="I468" s="0" t="n">
        <f aca="false">IF(LEN(G468)&gt;1,1,0)</f>
        <v>0</v>
      </c>
      <c r="J468" s="4" t="n">
        <v>45745</v>
      </c>
      <c r="K468" s="0" t="s">
        <v>11</v>
      </c>
      <c r="L468" s="0" t="s">
        <v>95</v>
      </c>
      <c r="M468" s="0" t="s">
        <v>226</v>
      </c>
      <c r="N468" s="0" t="s">
        <v>97</v>
      </c>
      <c r="O468" s="0" t="s">
        <v>2315</v>
      </c>
      <c r="Q468" s="0" t="s">
        <v>251</v>
      </c>
      <c r="R468" s="0" t="n">
        <v>2</v>
      </c>
      <c r="S468" s="5" t="n">
        <v>681</v>
      </c>
      <c r="T468" s="0" t="s">
        <v>271</v>
      </c>
      <c r="U468" s="0" t="n">
        <v>0</v>
      </c>
      <c r="V468" s="0" t="s">
        <v>230</v>
      </c>
      <c r="W468" s="0" t="s">
        <v>244</v>
      </c>
      <c r="Y468" s="0" t="s">
        <v>253</v>
      </c>
      <c r="Z468" s="0" t="s">
        <v>1550</v>
      </c>
      <c r="AA468" s="0" t="s">
        <v>235</v>
      </c>
      <c r="AB468" s="32" t="n">
        <v>2450</v>
      </c>
      <c r="AC468" s="32" t="n">
        <v>2500</v>
      </c>
      <c r="AD468" s="26" t="n">
        <f aca="false">IFERROR(AB468/B468,"")</f>
        <v>3.59765051395007</v>
      </c>
      <c r="AE468" s="26" t="n">
        <f aca="false">IFERROR(AC468/B468,"")</f>
        <v>3.67107195301028</v>
      </c>
      <c r="AF468" s="0" t="s">
        <v>236</v>
      </c>
      <c r="AG468" s="0" t="s">
        <v>236</v>
      </c>
      <c r="AH468" s="0" t="s">
        <v>236</v>
      </c>
      <c r="AI468" s="0" t="s">
        <v>2316</v>
      </c>
      <c r="AJ468" s="0" t="s">
        <v>2317</v>
      </c>
      <c r="AK468" s="0" t="s">
        <v>2318</v>
      </c>
      <c r="AL468" s="0" t="s">
        <v>2319</v>
      </c>
      <c r="AM468" s="0" t="s">
        <v>94</v>
      </c>
      <c r="AN468" s="26" t="n">
        <f aca="false">IFERROR(E468*(1+IF(AM468="Apartment",Data_Summary!$C$3,0)),"")</f>
        <v>3.59765051395007</v>
      </c>
      <c r="AO468" s="4" t="n">
        <v>46195</v>
      </c>
    </row>
    <row r="469" customFormat="false" ht="15" hidden="false" customHeight="false" outlineLevel="0" collapsed="false">
      <c r="A469" s="0" t="n">
        <f aca="false">IF(AND(ISNUMBER(B469),B469&gt;0,ISNUMBER(AB469),AB469&gt;0,J469&gt;=Data_Summary!$C$1),1,0)</f>
        <v>1</v>
      </c>
      <c r="B469" s="30" t="n">
        <v>478</v>
      </c>
      <c r="C469" s="5" t="n">
        <f aca="false">IF(ISNUMBER(AB469),AB469,"")</f>
        <v>2100</v>
      </c>
      <c r="D469" s="0" t="n">
        <f aca="false">IF(ISNUMBER(C469),C469-U469*Data_Summary!$C$2,"")</f>
        <v>2100</v>
      </c>
      <c r="E469" s="31" t="n">
        <f aca="false">IFERROR(C469/B469,"")</f>
        <v>4.39330543933054</v>
      </c>
      <c r="F469" s="26" t="n">
        <f aca="false">IFERROR(D469/B469,"")</f>
        <v>4.39330543933054</v>
      </c>
      <c r="G469" s="0" t="str">
        <f aca="false">Q469</f>
        <v>1</v>
      </c>
      <c r="H469" s="0" t="str">
        <f aca="false">IFERROR(LEFT(G469,1),"")</f>
        <v>1</v>
      </c>
      <c r="I469" s="0" t="n">
        <f aca="false">IF(LEN(G469)&gt;1,1,0)</f>
        <v>0</v>
      </c>
      <c r="J469" s="4" t="n">
        <v>45743</v>
      </c>
      <c r="K469" s="0" t="s">
        <v>11</v>
      </c>
      <c r="L469" s="0" t="s">
        <v>95</v>
      </c>
      <c r="M469" s="0" t="s">
        <v>226</v>
      </c>
      <c r="N469" s="0" t="s">
        <v>97</v>
      </c>
      <c r="O469" s="0" t="s">
        <v>2320</v>
      </c>
      <c r="Q469" s="0" t="s">
        <v>242</v>
      </c>
      <c r="R469" s="0" t="n">
        <v>1</v>
      </c>
      <c r="S469" s="5" t="n">
        <v>478</v>
      </c>
      <c r="T469" s="0" t="s">
        <v>303</v>
      </c>
      <c r="U469" s="0" t="n">
        <v>0</v>
      </c>
      <c r="V469" s="0" t="s">
        <v>230</v>
      </c>
      <c r="W469" s="0" t="s">
        <v>244</v>
      </c>
      <c r="Y469" s="0" t="s">
        <v>278</v>
      </c>
      <c r="Z469" s="0" t="s">
        <v>1550</v>
      </c>
      <c r="AA469" s="0" t="s">
        <v>235</v>
      </c>
      <c r="AB469" s="32" t="n">
        <v>2100</v>
      </c>
      <c r="AC469" s="32" t="n">
        <v>2100</v>
      </c>
      <c r="AD469" s="26" t="n">
        <f aca="false">IFERROR(AB469/B469,"")</f>
        <v>4.39330543933054</v>
      </c>
      <c r="AE469" s="26" t="n">
        <f aca="false">IFERROR(AC469/B469,"")</f>
        <v>4.39330543933054</v>
      </c>
      <c r="AF469" s="0" t="s">
        <v>236</v>
      </c>
      <c r="AG469" s="0" t="s">
        <v>236</v>
      </c>
      <c r="AH469" s="0" t="s">
        <v>230</v>
      </c>
      <c r="AI469" s="0" t="s">
        <v>2321</v>
      </c>
      <c r="AJ469" s="0" t="s">
        <v>2322</v>
      </c>
      <c r="AK469" s="0" t="s">
        <v>2323</v>
      </c>
      <c r="AL469" s="0" t="s">
        <v>2324</v>
      </c>
      <c r="AM469" s="0" t="s">
        <v>94</v>
      </c>
      <c r="AN469" s="26" t="n">
        <f aca="false">IFERROR(E469*(1+IF(AM469="Apartment",Data_Summary!$C$3,0)),"")</f>
        <v>4.39330543933054</v>
      </c>
      <c r="AO469" s="4" t="n">
        <v>46195</v>
      </c>
    </row>
    <row r="470" customFormat="false" ht="15" hidden="false" customHeight="false" outlineLevel="0" collapsed="false">
      <c r="A470" s="0" t="n">
        <f aca="false">IF(AND(ISNUMBER(B470),B470&gt;0,ISNUMBER(AB470),AB470&gt;0,J470&gt;=Data_Summary!$C$1),1,0)</f>
        <v>1</v>
      </c>
      <c r="B470" s="30" t="n">
        <v>1036</v>
      </c>
      <c r="C470" s="5" t="n">
        <f aca="false">IF(ISNUMBER(AB470),AB470,"")</f>
        <v>5100</v>
      </c>
      <c r="D470" s="0" t="n">
        <f aca="false">IF(ISNUMBER(C470),C470-U470*Data_Summary!$C$2,"")</f>
        <v>4950</v>
      </c>
      <c r="E470" s="31" t="n">
        <f aca="false">IFERROR(C470/B470,"")</f>
        <v>4.92277992277992</v>
      </c>
      <c r="F470" s="26" t="n">
        <f aca="false">IFERROR(D470/B470,"")</f>
        <v>4.77799227799228</v>
      </c>
      <c r="G470" s="0" t="str">
        <f aca="false">Q470</f>
        <v>3</v>
      </c>
      <c r="H470" s="0" t="str">
        <f aca="false">IFERROR(LEFT(G470,1),"")</f>
        <v>3</v>
      </c>
      <c r="I470" s="0" t="n">
        <f aca="false">IF(LEN(G470)&gt;1,1,0)</f>
        <v>0</v>
      </c>
      <c r="J470" s="4" t="n">
        <v>45741</v>
      </c>
      <c r="K470" s="0" t="s">
        <v>11</v>
      </c>
      <c r="L470" s="0" t="s">
        <v>95</v>
      </c>
      <c r="M470" s="0" t="s">
        <v>226</v>
      </c>
      <c r="N470" s="0" t="s">
        <v>97</v>
      </c>
      <c r="O470" s="0" t="s">
        <v>1179</v>
      </c>
      <c r="Q470" s="0" t="s">
        <v>228</v>
      </c>
      <c r="R470" s="0" t="n">
        <v>2</v>
      </c>
      <c r="S470" s="5" t="n">
        <v>1036</v>
      </c>
      <c r="T470" s="0" t="s">
        <v>265</v>
      </c>
      <c r="U470" s="0" t="n">
        <v>1</v>
      </c>
      <c r="V470" s="0" t="s">
        <v>230</v>
      </c>
      <c r="W470" s="0" t="s">
        <v>244</v>
      </c>
      <c r="X470" s="0" t="s">
        <v>232</v>
      </c>
      <c r="Y470" s="0" t="s">
        <v>260</v>
      </c>
      <c r="Z470" s="0" t="s">
        <v>1550</v>
      </c>
      <c r="AA470" s="0" t="s">
        <v>235</v>
      </c>
      <c r="AB470" s="32" t="n">
        <v>5100</v>
      </c>
      <c r="AC470" s="32" t="n">
        <v>5100</v>
      </c>
      <c r="AD470" s="26" t="n">
        <f aca="false">IFERROR(AB470/B470,"")</f>
        <v>4.92277992277992</v>
      </c>
      <c r="AE470" s="26" t="n">
        <f aca="false">IFERROR(AC470/B470,"")</f>
        <v>4.92277992277992</v>
      </c>
      <c r="AF470" s="0" t="s">
        <v>236</v>
      </c>
      <c r="AG470" s="0" t="s">
        <v>236</v>
      </c>
      <c r="AH470" s="0" t="s">
        <v>236</v>
      </c>
      <c r="AI470" s="0" t="s">
        <v>2325</v>
      </c>
      <c r="AJ470" s="0" t="s">
        <v>2326</v>
      </c>
      <c r="AK470" s="0" t="s">
        <v>2327</v>
      </c>
      <c r="AL470" s="0" t="s">
        <v>2328</v>
      </c>
      <c r="AM470" s="0" t="s">
        <v>94</v>
      </c>
      <c r="AN470" s="26" t="n">
        <f aca="false">IFERROR(E470*(1+IF(AM470="Apartment",Data_Summary!$C$3,0)),"")</f>
        <v>4.92277992277992</v>
      </c>
      <c r="AO470" s="4" t="n">
        <v>46195</v>
      </c>
    </row>
    <row r="471" customFormat="false" ht="15" hidden="false" customHeight="false" outlineLevel="0" collapsed="false">
      <c r="A471" s="0" t="n">
        <f aca="false">IF(AND(ISNUMBER(B471),B471&gt;0,ISNUMBER(AB471),AB471&gt;0,J471&gt;=Data_Summary!$C$1),1,0)</f>
        <v>1</v>
      </c>
      <c r="B471" s="33" t="n">
        <v>581</v>
      </c>
      <c r="C471" s="5" t="n">
        <f aca="false">IF(ISNUMBER(AB471),AB471,"")</f>
        <v>2600</v>
      </c>
      <c r="D471" s="0" t="n">
        <f aca="false">IF(ISNUMBER(C471),C471-U471*Data_Summary!$C$2,"")</f>
        <v>2600</v>
      </c>
      <c r="E471" s="34" t="n">
        <f aca="false">IFERROR(C471/B471,"")</f>
        <v>4.4750430292599</v>
      </c>
      <c r="F471" s="26" t="n">
        <f aca="false">IFERROR(D471/B471,"")</f>
        <v>4.4750430292599</v>
      </c>
      <c r="G471" s="0" t="str">
        <f aca="false">Q471</f>
        <v>1</v>
      </c>
      <c r="H471" s="0" t="str">
        <f aca="false">IFERROR(LEFT(G471,1),"")</f>
        <v>1</v>
      </c>
      <c r="I471" s="0" t="n">
        <f aca="false">IF(LEN(G471)&gt;1,1,0)</f>
        <v>0</v>
      </c>
      <c r="J471" s="4" t="n">
        <v>45739</v>
      </c>
      <c r="K471" s="0" t="s">
        <v>11</v>
      </c>
      <c r="L471" s="0" t="s">
        <v>95</v>
      </c>
      <c r="M471" s="0" t="s">
        <v>226</v>
      </c>
      <c r="N471" s="0" t="s">
        <v>97</v>
      </c>
      <c r="O471" s="0" t="s">
        <v>2329</v>
      </c>
      <c r="Q471" s="0" t="s">
        <v>242</v>
      </c>
      <c r="R471" s="0" t="n">
        <v>1</v>
      </c>
      <c r="S471" s="5" t="n">
        <v>581</v>
      </c>
      <c r="T471" s="0" t="s">
        <v>243</v>
      </c>
      <c r="U471" s="0" t="n">
        <v>0</v>
      </c>
      <c r="V471" s="0" t="s">
        <v>230</v>
      </c>
      <c r="W471" s="0" t="s">
        <v>244</v>
      </c>
      <c r="Y471" s="0" t="s">
        <v>233</v>
      </c>
      <c r="Z471" s="0" t="s">
        <v>1550</v>
      </c>
      <c r="AA471" s="0" t="s">
        <v>235</v>
      </c>
      <c r="AB471" s="32" t="n">
        <v>2600</v>
      </c>
      <c r="AC471" s="32" t="n">
        <v>2600</v>
      </c>
      <c r="AD471" s="26" t="n">
        <f aca="false">IFERROR(AB471/B471,"")</f>
        <v>4.4750430292599</v>
      </c>
      <c r="AE471" s="26" t="n">
        <f aca="false">IFERROR(AC471/B471,"")</f>
        <v>4.4750430292599</v>
      </c>
      <c r="AF471" s="0" t="s">
        <v>230</v>
      </c>
      <c r="AG471" s="0" t="s">
        <v>236</v>
      </c>
      <c r="AH471" s="0" t="s">
        <v>236</v>
      </c>
      <c r="AI471" s="0" t="s">
        <v>2330</v>
      </c>
      <c r="AJ471" s="0" t="s">
        <v>2331</v>
      </c>
      <c r="AK471" s="0" t="s">
        <v>2332</v>
      </c>
      <c r="AL471" s="0" t="s">
        <v>2333</v>
      </c>
      <c r="AM471" s="0" t="s">
        <v>94</v>
      </c>
      <c r="AN471" s="26" t="n">
        <f aca="false">IFERROR(E471*(1+IF(AM471="Apartment",Data_Summary!$C$3,0)),"")</f>
        <v>4.4750430292599</v>
      </c>
      <c r="AO471" s="4" t="n">
        <v>46195</v>
      </c>
    </row>
    <row r="472" customFormat="false" ht="15" hidden="false" customHeight="false" outlineLevel="0" collapsed="false">
      <c r="A472" s="0" t="n">
        <f aca="false">IF(AND(ISNUMBER(B472),B472&gt;0,ISNUMBER(AB472),AB472&gt;0,J472&gt;=Data_Summary!$C$1),1,0)</f>
        <v>1</v>
      </c>
      <c r="B472" s="30" t="n">
        <v>856</v>
      </c>
      <c r="C472" s="5" t="n">
        <f aca="false">IF(ISNUMBER(AB472),AB472,"")</f>
        <v>3945</v>
      </c>
      <c r="D472" s="0" t="n">
        <f aca="false">IF(ISNUMBER(C472),C472-U472*Data_Summary!$C$2,"")</f>
        <v>3795</v>
      </c>
      <c r="E472" s="31" t="n">
        <f aca="false">IFERROR(C472/B472,"")</f>
        <v>4.60864485981308</v>
      </c>
      <c r="F472" s="26" t="n">
        <f aca="false">IFERROR(D472/B472,"")</f>
        <v>4.43341121495327</v>
      </c>
      <c r="G472" s="0" t="str">
        <f aca="false">Q472</f>
        <v>3</v>
      </c>
      <c r="H472" s="0" t="str">
        <f aca="false">IFERROR(LEFT(G472,1),"")</f>
        <v>3</v>
      </c>
      <c r="I472" s="0" t="n">
        <f aca="false">IF(LEN(G472)&gt;1,1,0)</f>
        <v>0</v>
      </c>
      <c r="J472" s="4" t="n">
        <v>45735</v>
      </c>
      <c r="K472" s="0" t="s">
        <v>11</v>
      </c>
      <c r="L472" s="0" t="s">
        <v>95</v>
      </c>
      <c r="M472" s="0" t="s">
        <v>226</v>
      </c>
      <c r="N472" s="0" t="s">
        <v>97</v>
      </c>
      <c r="O472" s="0" t="s">
        <v>241</v>
      </c>
      <c r="Q472" s="0" t="s">
        <v>228</v>
      </c>
      <c r="R472" s="0" t="n">
        <v>2</v>
      </c>
      <c r="S472" s="5" t="n">
        <v>856</v>
      </c>
      <c r="T472" s="0" t="s">
        <v>229</v>
      </c>
      <c r="U472" s="0" t="n">
        <v>1</v>
      </c>
      <c r="V472" s="0" t="s">
        <v>230</v>
      </c>
      <c r="W472" s="0" t="s">
        <v>244</v>
      </c>
      <c r="Y472" s="0" t="s">
        <v>297</v>
      </c>
      <c r="Z472" s="0" t="s">
        <v>1550</v>
      </c>
      <c r="AA472" s="0" t="s">
        <v>235</v>
      </c>
      <c r="AB472" s="32" t="n">
        <v>3945</v>
      </c>
      <c r="AC472" s="32" t="n">
        <v>3995</v>
      </c>
      <c r="AD472" s="26" t="n">
        <f aca="false">IFERROR(AB472/B472,"")</f>
        <v>4.60864485981308</v>
      </c>
      <c r="AE472" s="26" t="n">
        <f aca="false">IFERROR(AC472/B472,"")</f>
        <v>4.66705607476636</v>
      </c>
      <c r="AF472" s="0" t="s">
        <v>236</v>
      </c>
      <c r="AG472" s="0" t="s">
        <v>236</v>
      </c>
      <c r="AH472" s="0" t="s">
        <v>236</v>
      </c>
      <c r="AI472" s="0" t="s">
        <v>2334</v>
      </c>
      <c r="AJ472" s="0" t="s">
        <v>2335</v>
      </c>
      <c r="AK472" s="0" t="s">
        <v>2336</v>
      </c>
      <c r="AL472" s="0" t="s">
        <v>2337</v>
      </c>
      <c r="AM472" s="0" t="s">
        <v>94</v>
      </c>
      <c r="AN472" s="26" t="n">
        <f aca="false">IFERROR(E472*(1+IF(AM472="Apartment",Data_Summary!$C$3,0)),"")</f>
        <v>4.60864485981308</v>
      </c>
      <c r="AO472" s="4" t="n">
        <v>46195</v>
      </c>
    </row>
    <row r="473" customFormat="false" ht="15" hidden="false" customHeight="false" outlineLevel="0" collapsed="false">
      <c r="A473" s="0" t="n">
        <f aca="false">IF(AND(ISNUMBER(B473),B473&gt;0,ISNUMBER(AB473),AB473&gt;0,J473&gt;=Data_Summary!$C$1),1,0)</f>
        <v>1</v>
      </c>
      <c r="B473" s="30" t="n">
        <v>1011</v>
      </c>
      <c r="C473" s="5" t="n">
        <f aca="false">IF(ISNUMBER(AB473),AB473,"")</f>
        <v>4700</v>
      </c>
      <c r="D473" s="0" t="n">
        <f aca="false">IF(ISNUMBER(C473),C473-U473*Data_Summary!$C$2,"")</f>
        <v>4550</v>
      </c>
      <c r="E473" s="31" t="n">
        <f aca="false">IFERROR(C473/B473,"")</f>
        <v>4.648862512364</v>
      </c>
      <c r="F473" s="26" t="n">
        <f aca="false">IFERROR(D473/B473,"")</f>
        <v>4.50049455984174</v>
      </c>
      <c r="G473" s="0" t="str">
        <f aca="false">Q473</f>
        <v>3</v>
      </c>
      <c r="H473" s="0" t="str">
        <f aca="false">IFERROR(LEFT(G473,1),"")</f>
        <v>3</v>
      </c>
      <c r="I473" s="0" t="n">
        <f aca="false">IF(LEN(G473)&gt;1,1,0)</f>
        <v>0</v>
      </c>
      <c r="J473" s="4" t="n">
        <v>45735</v>
      </c>
      <c r="K473" s="0" t="s">
        <v>11</v>
      </c>
      <c r="L473" s="0" t="s">
        <v>95</v>
      </c>
      <c r="M473" s="0" t="s">
        <v>226</v>
      </c>
      <c r="N473" s="0" t="s">
        <v>97</v>
      </c>
      <c r="O473" s="0" t="s">
        <v>2338</v>
      </c>
      <c r="Q473" s="0" t="s">
        <v>228</v>
      </c>
      <c r="R473" s="0" t="n">
        <v>2</v>
      </c>
      <c r="S473" s="5" t="n">
        <v>1011</v>
      </c>
      <c r="T473" s="0" t="s">
        <v>265</v>
      </c>
      <c r="U473" s="0" t="n">
        <v>1</v>
      </c>
      <c r="V473" s="0" t="s">
        <v>230</v>
      </c>
      <c r="W473" s="0" t="s">
        <v>244</v>
      </c>
      <c r="Y473" s="0" t="s">
        <v>253</v>
      </c>
      <c r="Z473" s="0" t="s">
        <v>1550</v>
      </c>
      <c r="AA473" s="0" t="s">
        <v>235</v>
      </c>
      <c r="AB473" s="32" t="n">
        <v>4700</v>
      </c>
      <c r="AC473" s="32" t="n">
        <v>4800</v>
      </c>
      <c r="AD473" s="26" t="n">
        <f aca="false">IFERROR(AB473/B473,"")</f>
        <v>4.648862512364</v>
      </c>
      <c r="AE473" s="26" t="n">
        <f aca="false">IFERROR(AC473/B473,"")</f>
        <v>4.74777448071217</v>
      </c>
      <c r="AF473" s="0" t="s">
        <v>236</v>
      </c>
      <c r="AG473" s="0" t="s">
        <v>236</v>
      </c>
      <c r="AH473" s="0" t="s">
        <v>230</v>
      </c>
      <c r="AI473" s="0" t="s">
        <v>2334</v>
      </c>
      <c r="AJ473" s="0" t="s">
        <v>2339</v>
      </c>
      <c r="AK473" s="0" t="s">
        <v>2340</v>
      </c>
      <c r="AL473" s="0" t="s">
        <v>2341</v>
      </c>
      <c r="AM473" s="0" t="s">
        <v>94</v>
      </c>
      <c r="AN473" s="26" t="n">
        <f aca="false">IFERROR(E473*(1+IF(AM473="Apartment",Data_Summary!$C$3,0)),"")</f>
        <v>4.648862512364</v>
      </c>
      <c r="AO473" s="4" t="n">
        <v>46195</v>
      </c>
    </row>
    <row r="474" customFormat="false" ht="15" hidden="false" customHeight="false" outlineLevel="0" collapsed="false">
      <c r="A474" s="0" t="n">
        <f aca="false">IF(AND(ISNUMBER(B474),B474&gt;0,ISNUMBER(AB474),AB474&gt;0,J474&gt;=Data_Summary!$C$1),1,0)</f>
        <v>1</v>
      </c>
      <c r="B474" s="33" t="n">
        <v>888</v>
      </c>
      <c r="C474" s="5" t="n">
        <f aca="false">IF(ISNUMBER(AB474),AB474,"")</f>
        <v>3950</v>
      </c>
      <c r="D474" s="0" t="n">
        <f aca="false">IF(ISNUMBER(C474),C474-U474*Data_Summary!$C$2,"")</f>
        <v>3800</v>
      </c>
      <c r="E474" s="34" t="n">
        <f aca="false">IFERROR(C474/B474,"")</f>
        <v>4.4481981981982</v>
      </c>
      <c r="F474" s="26" t="n">
        <f aca="false">IFERROR(D474/B474,"")</f>
        <v>4.27927927927928</v>
      </c>
      <c r="G474" s="0" t="str">
        <f aca="false">Q474</f>
        <v>3</v>
      </c>
      <c r="H474" s="0" t="str">
        <f aca="false">IFERROR(LEFT(G474,1),"")</f>
        <v>3</v>
      </c>
      <c r="I474" s="0" t="n">
        <f aca="false">IF(LEN(G474)&gt;1,1,0)</f>
        <v>0</v>
      </c>
      <c r="J474" s="4" t="n">
        <v>45728</v>
      </c>
      <c r="K474" s="0" t="s">
        <v>11</v>
      </c>
      <c r="L474" s="0" t="s">
        <v>95</v>
      </c>
      <c r="M474" s="0" t="s">
        <v>226</v>
      </c>
      <c r="N474" s="0" t="s">
        <v>97</v>
      </c>
      <c r="O474" s="0" t="s">
        <v>2342</v>
      </c>
      <c r="Q474" s="0" t="s">
        <v>228</v>
      </c>
      <c r="R474" s="0" t="n">
        <v>2</v>
      </c>
      <c r="S474" s="5" t="n">
        <v>888</v>
      </c>
      <c r="T474" s="0" t="s">
        <v>265</v>
      </c>
      <c r="U474" s="0" t="n">
        <v>1</v>
      </c>
      <c r="V474" s="0" t="s">
        <v>230</v>
      </c>
      <c r="W474" s="0" t="s">
        <v>244</v>
      </c>
      <c r="Y474" s="0" t="s">
        <v>1869</v>
      </c>
      <c r="Z474" s="0" t="s">
        <v>1550</v>
      </c>
      <c r="AA474" s="0" t="s">
        <v>235</v>
      </c>
      <c r="AB474" s="32" t="n">
        <v>3950</v>
      </c>
      <c r="AC474" s="32" t="n">
        <v>3950</v>
      </c>
      <c r="AD474" s="26" t="n">
        <f aca="false">IFERROR(AB474/B474,"")</f>
        <v>4.4481981981982</v>
      </c>
      <c r="AE474" s="26" t="n">
        <f aca="false">IFERROR(AC474/B474,"")</f>
        <v>4.4481981981982</v>
      </c>
      <c r="AF474" s="0" t="s">
        <v>236</v>
      </c>
      <c r="AG474" s="0" t="s">
        <v>236</v>
      </c>
      <c r="AH474" s="0" t="s">
        <v>236</v>
      </c>
      <c r="AI474" s="0" t="s">
        <v>2343</v>
      </c>
      <c r="AJ474" s="0" t="s">
        <v>2344</v>
      </c>
      <c r="AK474" s="0" t="s">
        <v>2345</v>
      </c>
      <c r="AL474" s="0" t="s">
        <v>2346</v>
      </c>
      <c r="AM474" s="0" t="s">
        <v>94</v>
      </c>
      <c r="AN474" s="26" t="n">
        <f aca="false">IFERROR(E474*(1+IF(AM474="Apartment",Data_Summary!$C$3,0)),"")</f>
        <v>4.4481981981982</v>
      </c>
      <c r="AO474" s="4" t="n">
        <v>46195</v>
      </c>
    </row>
    <row r="475" customFormat="false" ht="15" hidden="false" customHeight="false" outlineLevel="0" collapsed="false">
      <c r="A475" s="0" t="n">
        <f aca="false">IF(AND(ISNUMBER(B475),B475&gt;0,ISNUMBER(AB475),AB475&gt;0,J475&gt;=Data_Summary!$C$1),1,0)</f>
        <v>1</v>
      </c>
      <c r="B475" s="30" t="n">
        <v>1049</v>
      </c>
      <c r="C475" s="5" t="n">
        <f aca="false">IF(ISNUMBER(AB475),AB475,"")</f>
        <v>4600</v>
      </c>
      <c r="D475" s="0" t="n">
        <f aca="false">IF(ISNUMBER(C475),C475-U475*Data_Summary!$C$2,"")</f>
        <v>4450</v>
      </c>
      <c r="E475" s="31" t="n">
        <f aca="false">IFERROR(C475/B475,"")</f>
        <v>4.38512869399428</v>
      </c>
      <c r="F475" s="26" t="n">
        <f aca="false">IFERROR(D475/B475,"")</f>
        <v>4.24213536701621</v>
      </c>
      <c r="G475" s="0" t="str">
        <f aca="false">Q475</f>
        <v>3+1</v>
      </c>
      <c r="H475" s="0" t="str">
        <f aca="false">IFERROR(LEFT(G475,1),"")</f>
        <v>3</v>
      </c>
      <c r="I475" s="0" t="n">
        <f aca="false">IF(LEN(G475)&gt;1,1,0)</f>
        <v>1</v>
      </c>
      <c r="J475" s="4" t="n">
        <v>45717</v>
      </c>
      <c r="K475" s="0" t="s">
        <v>11</v>
      </c>
      <c r="L475" s="0" t="s">
        <v>95</v>
      </c>
      <c r="M475" s="0" t="s">
        <v>226</v>
      </c>
      <c r="N475" s="0" t="s">
        <v>97</v>
      </c>
      <c r="O475" s="0" t="s">
        <v>1165</v>
      </c>
      <c r="Q475" s="0" t="s">
        <v>559</v>
      </c>
      <c r="R475" s="0" t="n">
        <v>2</v>
      </c>
      <c r="S475" s="5" t="n">
        <v>1049</v>
      </c>
      <c r="T475" s="0" t="s">
        <v>265</v>
      </c>
      <c r="U475" s="0" t="n">
        <v>1</v>
      </c>
      <c r="V475" s="0" t="s">
        <v>230</v>
      </c>
      <c r="W475" s="0" t="s">
        <v>244</v>
      </c>
      <c r="X475" s="0" t="s">
        <v>232</v>
      </c>
      <c r="Y475" s="0" t="s">
        <v>297</v>
      </c>
      <c r="Z475" s="0" t="s">
        <v>1550</v>
      </c>
      <c r="AA475" s="0" t="s">
        <v>235</v>
      </c>
      <c r="AB475" s="32" t="n">
        <v>4600</v>
      </c>
      <c r="AC475" s="32" t="n">
        <v>4750</v>
      </c>
      <c r="AD475" s="26" t="n">
        <f aca="false">IFERROR(AB475/B475,"")</f>
        <v>4.38512869399428</v>
      </c>
      <c r="AE475" s="26" t="n">
        <f aca="false">IFERROR(AC475/B475,"")</f>
        <v>4.52812202097235</v>
      </c>
      <c r="AF475" s="0" t="s">
        <v>236</v>
      </c>
      <c r="AG475" s="0" t="s">
        <v>236</v>
      </c>
      <c r="AH475" s="0" t="s">
        <v>236</v>
      </c>
      <c r="AI475" s="0" t="s">
        <v>2347</v>
      </c>
      <c r="AJ475" s="0" t="s">
        <v>2348</v>
      </c>
      <c r="AK475" s="0" t="s">
        <v>2349</v>
      </c>
      <c r="AL475" s="0" t="s">
        <v>2350</v>
      </c>
      <c r="AM475" s="0" t="s">
        <v>94</v>
      </c>
      <c r="AN475" s="26" t="n">
        <f aca="false">IFERROR(E475*(1+IF(AM475="Apartment",Data_Summary!$C$3,0)),"")</f>
        <v>4.38512869399428</v>
      </c>
      <c r="AO475" s="4" t="n">
        <v>46195</v>
      </c>
    </row>
    <row r="476" customFormat="false" ht="15" hidden="false" customHeight="false" outlineLevel="0" collapsed="false">
      <c r="A476" s="0" t="n">
        <f aca="false">IF(AND(ISNUMBER(B476),B476&gt;0,ISNUMBER(AB476),AB476&gt;0,J476&gt;=Data_Summary!$C$1),1,0)</f>
        <v>1</v>
      </c>
      <c r="B476" s="30" t="n">
        <v>749</v>
      </c>
      <c r="C476" s="5" t="n">
        <f aca="false">IF(ISNUMBER(AB476),AB476,"")</f>
        <v>2800</v>
      </c>
      <c r="D476" s="0" t="n">
        <f aca="false">IF(ISNUMBER(C476),C476-U476*Data_Summary!$C$2,"")</f>
        <v>2800</v>
      </c>
      <c r="E476" s="31" t="n">
        <f aca="false">IFERROR(C476/B476,"")</f>
        <v>3.73831775700935</v>
      </c>
      <c r="F476" s="26" t="n">
        <f aca="false">IFERROR(D476/B476,"")</f>
        <v>3.73831775700935</v>
      </c>
      <c r="G476" s="0" t="str">
        <f aca="false">Q476</f>
        <v>2</v>
      </c>
      <c r="H476" s="0" t="str">
        <f aca="false">IFERROR(LEFT(G476,1),"")</f>
        <v>2</v>
      </c>
      <c r="I476" s="0" t="n">
        <f aca="false">IF(LEN(G476)&gt;1,1,0)</f>
        <v>0</v>
      </c>
      <c r="J476" s="4" t="n">
        <v>45713</v>
      </c>
      <c r="K476" s="0" t="s">
        <v>11</v>
      </c>
      <c r="L476" s="0" t="s">
        <v>95</v>
      </c>
      <c r="M476" s="0" t="s">
        <v>226</v>
      </c>
      <c r="N476" s="0" t="s">
        <v>97</v>
      </c>
      <c r="O476" s="0" t="s">
        <v>2351</v>
      </c>
      <c r="Q476" s="0" t="s">
        <v>251</v>
      </c>
      <c r="R476" s="0" t="n">
        <v>2</v>
      </c>
      <c r="S476" s="5" t="n">
        <v>749</v>
      </c>
      <c r="T476" s="0" t="s">
        <v>252</v>
      </c>
      <c r="U476" s="0" t="n">
        <v>0</v>
      </c>
      <c r="V476" s="0" t="s">
        <v>230</v>
      </c>
      <c r="W476" s="0" t="s">
        <v>244</v>
      </c>
      <c r="Y476" s="0" t="s">
        <v>233</v>
      </c>
      <c r="Z476" s="0" t="s">
        <v>1550</v>
      </c>
      <c r="AA476" s="0" t="s">
        <v>235</v>
      </c>
      <c r="AB476" s="32" t="n">
        <v>2800</v>
      </c>
      <c r="AC476" s="32" t="n">
        <v>2800</v>
      </c>
      <c r="AD476" s="26" t="n">
        <f aca="false">IFERROR(AB476/B476,"")</f>
        <v>3.73831775700935</v>
      </c>
      <c r="AE476" s="26" t="n">
        <f aca="false">IFERROR(AC476/B476,"")</f>
        <v>3.73831775700935</v>
      </c>
      <c r="AF476" s="0" t="s">
        <v>236</v>
      </c>
      <c r="AG476" s="0" t="s">
        <v>236</v>
      </c>
      <c r="AH476" s="0" t="s">
        <v>236</v>
      </c>
      <c r="AI476" s="0" t="s">
        <v>2352</v>
      </c>
      <c r="AJ476" s="0" t="s">
        <v>2353</v>
      </c>
      <c r="AK476" s="0" t="s">
        <v>2354</v>
      </c>
      <c r="AL476" s="0" t="s">
        <v>2355</v>
      </c>
      <c r="AM476" s="0" t="s">
        <v>94</v>
      </c>
      <c r="AN476" s="26" t="n">
        <f aca="false">IFERROR(E476*(1+IF(AM476="Apartment",Data_Summary!$C$3,0)),"")</f>
        <v>3.73831775700935</v>
      </c>
      <c r="AO476" s="4" t="n">
        <v>46195</v>
      </c>
    </row>
    <row r="477" customFormat="false" ht="15" hidden="false" customHeight="false" outlineLevel="0" collapsed="false">
      <c r="A477" s="0" t="n">
        <f aca="false">IF(AND(ISNUMBER(B477),B477&gt;0,ISNUMBER(AB477),AB477&gt;0,J477&gt;=Data_Summary!$C$1),1,0)</f>
        <v>1</v>
      </c>
      <c r="B477" s="33" t="n">
        <v>625</v>
      </c>
      <c r="C477" s="5" t="n">
        <f aca="false">IF(ISNUMBER(AB477),AB477,"")</f>
        <v>2650</v>
      </c>
      <c r="D477" s="0" t="n">
        <f aca="false">IF(ISNUMBER(C477),C477-U477*Data_Summary!$C$2,"")</f>
        <v>2650</v>
      </c>
      <c r="E477" s="34" t="n">
        <f aca="false">IFERROR(C477/B477,"")</f>
        <v>4.24</v>
      </c>
      <c r="F477" s="26" t="n">
        <f aca="false">IFERROR(D477/B477,"")</f>
        <v>4.24</v>
      </c>
      <c r="G477" s="0" t="str">
        <f aca="false">Q477</f>
        <v>2</v>
      </c>
      <c r="H477" s="0" t="str">
        <f aca="false">IFERROR(LEFT(G477,1),"")</f>
        <v>2</v>
      </c>
      <c r="I477" s="0" t="n">
        <f aca="false">IF(LEN(G477)&gt;1,1,0)</f>
        <v>0</v>
      </c>
      <c r="J477" s="4" t="n">
        <v>45712</v>
      </c>
      <c r="K477" s="0" t="s">
        <v>11</v>
      </c>
      <c r="L477" s="0" t="s">
        <v>95</v>
      </c>
      <c r="M477" s="0" t="s">
        <v>226</v>
      </c>
      <c r="N477" s="0" t="s">
        <v>97</v>
      </c>
      <c r="O477" s="0" t="s">
        <v>692</v>
      </c>
      <c r="Q477" s="0" t="s">
        <v>251</v>
      </c>
      <c r="R477" s="0" t="n">
        <v>2</v>
      </c>
      <c r="S477" s="5" t="n">
        <v>625</v>
      </c>
      <c r="T477" s="0" t="s">
        <v>252</v>
      </c>
      <c r="U477" s="0" t="n">
        <v>0</v>
      </c>
      <c r="V477" s="0" t="s">
        <v>230</v>
      </c>
      <c r="W477" s="0" t="s">
        <v>244</v>
      </c>
      <c r="X477" s="0" t="s">
        <v>232</v>
      </c>
      <c r="Y477" s="0" t="s">
        <v>272</v>
      </c>
      <c r="Z477" s="0" t="s">
        <v>1550</v>
      </c>
      <c r="AA477" s="0" t="s">
        <v>235</v>
      </c>
      <c r="AB477" s="32" t="n">
        <v>2650</v>
      </c>
      <c r="AC477" s="32" t="n">
        <v>2650</v>
      </c>
      <c r="AD477" s="26" t="n">
        <f aca="false">IFERROR(AB477/B477,"")</f>
        <v>4.24</v>
      </c>
      <c r="AE477" s="26" t="n">
        <f aca="false">IFERROR(AC477/B477,"")</f>
        <v>4.24</v>
      </c>
      <c r="AF477" s="0" t="s">
        <v>236</v>
      </c>
      <c r="AG477" s="0" t="s">
        <v>236</v>
      </c>
      <c r="AH477" s="0" t="s">
        <v>236</v>
      </c>
      <c r="AI477" s="0" t="s">
        <v>2356</v>
      </c>
      <c r="AJ477" s="0" t="s">
        <v>2357</v>
      </c>
      <c r="AK477" s="0" t="s">
        <v>2358</v>
      </c>
      <c r="AL477" s="0" t="s">
        <v>2359</v>
      </c>
      <c r="AM477" s="0" t="s">
        <v>94</v>
      </c>
      <c r="AN477" s="26" t="n">
        <f aca="false">IFERROR(E477*(1+IF(AM477="Apartment",Data_Summary!$C$3,0)),"")</f>
        <v>4.24</v>
      </c>
      <c r="AO477" s="4" t="n">
        <v>46195</v>
      </c>
    </row>
    <row r="478" customFormat="false" ht="15" hidden="false" customHeight="false" outlineLevel="0" collapsed="false">
      <c r="A478" s="0" t="n">
        <f aca="false">IF(AND(ISNUMBER(B478),B478&gt;0,ISNUMBER(AB478),AB478&gt;0,J478&gt;=Data_Summary!$C$1),1,0)</f>
        <v>1</v>
      </c>
      <c r="B478" s="30" t="n">
        <v>536</v>
      </c>
      <c r="C478" s="5" t="n">
        <f aca="false">IF(ISNUMBER(AB478),AB478,"")</f>
        <v>2250</v>
      </c>
      <c r="D478" s="0" t="n">
        <f aca="false">IF(ISNUMBER(C478),C478-U478*Data_Summary!$C$2,"")</f>
        <v>2250</v>
      </c>
      <c r="E478" s="31" t="n">
        <f aca="false">IFERROR(C478/B478,"")</f>
        <v>4.19776119402985</v>
      </c>
      <c r="F478" s="26" t="n">
        <f aca="false">IFERROR(D478/B478,"")</f>
        <v>4.19776119402985</v>
      </c>
      <c r="G478" s="0" t="str">
        <f aca="false">Q478</f>
        <v>1+1</v>
      </c>
      <c r="H478" s="0" t="str">
        <f aca="false">IFERROR(LEFT(G478,1),"")</f>
        <v>1</v>
      </c>
      <c r="I478" s="0" t="n">
        <f aca="false">IF(LEN(G478)&gt;1,1,0)</f>
        <v>1</v>
      </c>
      <c r="J478" s="4" t="n">
        <v>45711</v>
      </c>
      <c r="K478" s="0" t="s">
        <v>11</v>
      </c>
      <c r="L478" s="0" t="s">
        <v>95</v>
      </c>
      <c r="M478" s="0" t="s">
        <v>226</v>
      </c>
      <c r="N478" s="0" t="s">
        <v>97</v>
      </c>
      <c r="O478" s="0" t="s">
        <v>2360</v>
      </c>
      <c r="Q478" s="0" t="s">
        <v>270</v>
      </c>
      <c r="R478" s="0" t="n">
        <v>1</v>
      </c>
      <c r="S478" s="5" t="n">
        <v>536</v>
      </c>
      <c r="T478" s="0" t="s">
        <v>243</v>
      </c>
      <c r="U478" s="0" t="n">
        <v>0</v>
      </c>
      <c r="V478" s="0" t="s">
        <v>230</v>
      </c>
      <c r="W478" s="0" t="s">
        <v>244</v>
      </c>
      <c r="Y478" s="0" t="s">
        <v>253</v>
      </c>
      <c r="Z478" s="0" t="s">
        <v>1550</v>
      </c>
      <c r="AA478" s="0" t="s">
        <v>235</v>
      </c>
      <c r="AB478" s="32" t="n">
        <v>2250</v>
      </c>
      <c r="AC478" s="32" t="n">
        <v>2250</v>
      </c>
      <c r="AD478" s="26" t="n">
        <f aca="false">IFERROR(AB478/B478,"")</f>
        <v>4.19776119402985</v>
      </c>
      <c r="AE478" s="26" t="n">
        <f aca="false">IFERROR(AC478/B478,"")</f>
        <v>4.19776119402985</v>
      </c>
      <c r="AF478" s="0" t="s">
        <v>236</v>
      </c>
      <c r="AG478" s="0" t="s">
        <v>236</v>
      </c>
      <c r="AH478" s="0" t="s">
        <v>236</v>
      </c>
      <c r="AI478" s="0" t="s">
        <v>2361</v>
      </c>
      <c r="AJ478" s="0" t="s">
        <v>2362</v>
      </c>
      <c r="AK478" s="0" t="s">
        <v>2363</v>
      </c>
      <c r="AL478" s="0" t="s">
        <v>2364</v>
      </c>
      <c r="AM478" s="0" t="s">
        <v>94</v>
      </c>
      <c r="AN478" s="26" t="n">
        <f aca="false">IFERROR(E478*(1+IF(AM478="Apartment",Data_Summary!$C$3,0)),"")</f>
        <v>4.19776119402985</v>
      </c>
      <c r="AO478" s="4" t="n">
        <v>46195</v>
      </c>
    </row>
    <row r="479" customFormat="false" ht="15" hidden="false" customHeight="false" outlineLevel="0" collapsed="false">
      <c r="A479" s="0" t="n">
        <f aca="false">IF(AND(ISNUMBER(B479),B479&gt;0,ISNUMBER(AB479),AB479&gt;0,J479&gt;=Data_Summary!$C$1),1,0)</f>
        <v>1</v>
      </c>
      <c r="B479" s="30" t="n">
        <v>676</v>
      </c>
      <c r="C479" s="5" t="n">
        <f aca="false">IF(ISNUMBER(AB479),AB479,"")</f>
        <v>2400</v>
      </c>
      <c r="D479" s="0" t="n">
        <f aca="false">IF(ISNUMBER(C479),C479-U479*Data_Summary!$C$2,"")</f>
        <v>2400</v>
      </c>
      <c r="E479" s="31" t="n">
        <f aca="false">IFERROR(C479/B479,"")</f>
        <v>3.55029585798817</v>
      </c>
      <c r="F479" s="26" t="n">
        <f aca="false">IFERROR(D479/B479,"")</f>
        <v>3.55029585798817</v>
      </c>
      <c r="G479" s="0" t="str">
        <f aca="false">Q479</f>
        <v>2</v>
      </c>
      <c r="H479" s="0" t="str">
        <f aca="false">IFERROR(LEFT(G479,1),"")</f>
        <v>2</v>
      </c>
      <c r="I479" s="0" t="n">
        <f aca="false">IF(LEN(G479)&gt;1,1,0)</f>
        <v>0</v>
      </c>
      <c r="J479" s="4" t="n">
        <v>45710</v>
      </c>
      <c r="K479" s="0" t="s">
        <v>11</v>
      </c>
      <c r="L479" s="0" t="s">
        <v>95</v>
      </c>
      <c r="M479" s="0" t="s">
        <v>226</v>
      </c>
      <c r="N479" s="0" t="s">
        <v>97</v>
      </c>
      <c r="O479" s="0" t="s">
        <v>1540</v>
      </c>
      <c r="Q479" s="0" t="s">
        <v>251</v>
      </c>
      <c r="R479" s="0" t="n">
        <v>2</v>
      </c>
      <c r="S479" s="5" t="n">
        <v>676</v>
      </c>
      <c r="T479" s="0" t="s">
        <v>271</v>
      </c>
      <c r="U479" s="0" t="n">
        <v>0</v>
      </c>
      <c r="V479" s="0" t="s">
        <v>230</v>
      </c>
      <c r="W479" s="0" t="s">
        <v>244</v>
      </c>
      <c r="Y479" s="0" t="s">
        <v>278</v>
      </c>
      <c r="Z479" s="0" t="s">
        <v>1550</v>
      </c>
      <c r="AA479" s="0" t="s">
        <v>235</v>
      </c>
      <c r="AB479" s="32" t="n">
        <v>2400</v>
      </c>
      <c r="AC479" s="32" t="n">
        <v>2400</v>
      </c>
      <c r="AD479" s="26" t="n">
        <f aca="false">IFERROR(AB479/B479,"")</f>
        <v>3.55029585798817</v>
      </c>
      <c r="AE479" s="26" t="n">
        <f aca="false">IFERROR(AC479/B479,"")</f>
        <v>3.55029585798817</v>
      </c>
      <c r="AF479" s="0" t="s">
        <v>236</v>
      </c>
      <c r="AG479" s="0" t="s">
        <v>236</v>
      </c>
      <c r="AH479" s="0" t="s">
        <v>236</v>
      </c>
      <c r="AI479" s="0" t="s">
        <v>2365</v>
      </c>
      <c r="AJ479" s="0" t="s">
        <v>2366</v>
      </c>
      <c r="AK479" s="0" t="s">
        <v>2367</v>
      </c>
      <c r="AL479" s="0" t="s">
        <v>2368</v>
      </c>
      <c r="AM479" s="0" t="s">
        <v>94</v>
      </c>
      <c r="AN479" s="26" t="n">
        <f aca="false">IFERROR(E479*(1+IF(AM479="Apartment",Data_Summary!$C$3,0)),"")</f>
        <v>3.55029585798817</v>
      </c>
      <c r="AO479" s="4" t="n">
        <v>46195</v>
      </c>
    </row>
    <row r="480" customFormat="false" ht="15" hidden="false" customHeight="false" outlineLevel="0" collapsed="false">
      <c r="A480" s="0" t="n">
        <f aca="false">IF(AND(ISNUMBER(B480),B480&gt;0,ISNUMBER(AB480),AB480&gt;0,J480&gt;=Data_Summary!$C$1),1,0)</f>
        <v>1</v>
      </c>
      <c r="B480" s="30" t="n">
        <v>1049</v>
      </c>
      <c r="C480" s="5" t="n">
        <f aca="false">IF(ISNUMBER(AB480),AB480,"")</f>
        <v>4500</v>
      </c>
      <c r="D480" s="0" t="n">
        <f aca="false">IF(ISNUMBER(C480),C480-U480*Data_Summary!$C$2,"")</f>
        <v>4350</v>
      </c>
      <c r="E480" s="31" t="n">
        <f aca="false">IFERROR(C480/B480,"")</f>
        <v>4.28979980934223</v>
      </c>
      <c r="F480" s="26" t="n">
        <f aca="false">IFERROR(D480/B480,"")</f>
        <v>4.14680648236416</v>
      </c>
      <c r="G480" s="0" t="str">
        <f aca="false">Q480</f>
        <v>3+1</v>
      </c>
      <c r="H480" s="0" t="str">
        <f aca="false">IFERROR(LEFT(G480,1),"")</f>
        <v>3</v>
      </c>
      <c r="I480" s="0" t="n">
        <f aca="false">IF(LEN(G480)&gt;1,1,0)</f>
        <v>1</v>
      </c>
      <c r="J480" s="4" t="n">
        <v>45709</v>
      </c>
      <c r="K480" s="0" t="s">
        <v>11</v>
      </c>
      <c r="L480" s="0" t="s">
        <v>95</v>
      </c>
      <c r="M480" s="0" t="s">
        <v>226</v>
      </c>
      <c r="N480" s="0" t="s">
        <v>97</v>
      </c>
      <c r="O480" s="0" t="s">
        <v>1240</v>
      </c>
      <c r="Q480" s="0" t="s">
        <v>559</v>
      </c>
      <c r="R480" s="0" t="n">
        <v>2</v>
      </c>
      <c r="S480" s="5" t="n">
        <v>1049</v>
      </c>
      <c r="T480" s="0" t="s">
        <v>265</v>
      </c>
      <c r="U480" s="0" t="n">
        <v>1</v>
      </c>
      <c r="V480" s="0" t="s">
        <v>230</v>
      </c>
      <c r="W480" s="0" t="s">
        <v>244</v>
      </c>
      <c r="X480" s="0" t="s">
        <v>232</v>
      </c>
      <c r="Y480" s="0" t="s">
        <v>297</v>
      </c>
      <c r="Z480" s="0" t="s">
        <v>1550</v>
      </c>
      <c r="AA480" s="0" t="s">
        <v>235</v>
      </c>
      <c r="AB480" s="32" t="n">
        <v>4500</v>
      </c>
      <c r="AC480" s="32" t="n">
        <v>4500</v>
      </c>
      <c r="AD480" s="26" t="n">
        <f aca="false">IFERROR(AB480/B480,"")</f>
        <v>4.28979980934223</v>
      </c>
      <c r="AE480" s="26" t="n">
        <f aca="false">IFERROR(AC480/B480,"")</f>
        <v>4.28979980934223</v>
      </c>
      <c r="AF480" s="0" t="s">
        <v>236</v>
      </c>
      <c r="AG480" s="0" t="s">
        <v>236</v>
      </c>
      <c r="AH480" s="0" t="s">
        <v>236</v>
      </c>
      <c r="AI480" s="0" t="s">
        <v>2369</v>
      </c>
      <c r="AJ480" s="0" t="s">
        <v>2370</v>
      </c>
      <c r="AK480" s="0" t="s">
        <v>2371</v>
      </c>
      <c r="AL480" s="0" t="s">
        <v>2372</v>
      </c>
      <c r="AM480" s="0" t="s">
        <v>94</v>
      </c>
      <c r="AN480" s="26" t="n">
        <f aca="false">IFERROR(E480*(1+IF(AM480="Apartment",Data_Summary!$C$3,0)),"")</f>
        <v>4.28979980934223</v>
      </c>
      <c r="AO480" s="4" t="n">
        <v>46195</v>
      </c>
    </row>
    <row r="481" customFormat="false" ht="15" hidden="false" customHeight="false" outlineLevel="0" collapsed="false">
      <c r="A481" s="0" t="n">
        <f aca="false">IF(AND(ISNUMBER(B481),B481&gt;0,ISNUMBER(AB481),AB481&gt;0,J481&gt;=Data_Summary!$C$1),1,0)</f>
        <v>1</v>
      </c>
      <c r="B481" s="30" t="n">
        <v>1036</v>
      </c>
      <c r="C481" s="5" t="n">
        <f aca="false">IF(ISNUMBER(AB481),AB481,"")</f>
        <v>4950</v>
      </c>
      <c r="D481" s="0" t="n">
        <f aca="false">IF(ISNUMBER(C481),C481-U481*Data_Summary!$C$2,"")</f>
        <v>4950</v>
      </c>
      <c r="E481" s="31" t="n">
        <f aca="false">IFERROR(C481/B481,"")</f>
        <v>4.77799227799228</v>
      </c>
      <c r="F481" s="26" t="n">
        <f aca="false">IFERROR(D481/B481,"")</f>
        <v>4.77799227799228</v>
      </c>
      <c r="G481" s="0" t="str">
        <f aca="false">Q481</f>
        <v>3</v>
      </c>
      <c r="H481" s="0" t="str">
        <f aca="false">IFERROR(LEFT(G481,1),"")</f>
        <v>3</v>
      </c>
      <c r="I481" s="0" t="n">
        <f aca="false">IF(LEN(G481)&gt;1,1,0)</f>
        <v>0</v>
      </c>
      <c r="J481" s="4" t="n">
        <v>45708</v>
      </c>
      <c r="K481" s="0" t="s">
        <v>11</v>
      </c>
      <c r="L481" s="0" t="s">
        <v>95</v>
      </c>
      <c r="M481" s="0" t="s">
        <v>226</v>
      </c>
      <c r="N481" s="0" t="s">
        <v>97</v>
      </c>
      <c r="O481" s="0" t="s">
        <v>2373</v>
      </c>
      <c r="Q481" s="0" t="s">
        <v>228</v>
      </c>
      <c r="R481" s="0" t="n">
        <v>2</v>
      </c>
      <c r="S481" s="5" t="n">
        <v>1036</v>
      </c>
      <c r="T481" s="0" t="s">
        <v>265</v>
      </c>
      <c r="U481" s="0" t="n">
        <v>0</v>
      </c>
      <c r="V481" s="0" t="s">
        <v>230</v>
      </c>
      <c r="W481" s="0" t="s">
        <v>244</v>
      </c>
      <c r="X481" s="0" t="s">
        <v>232</v>
      </c>
      <c r="Y481" s="0" t="s">
        <v>260</v>
      </c>
      <c r="Z481" s="0" t="s">
        <v>1550</v>
      </c>
      <c r="AA481" s="0" t="s">
        <v>235</v>
      </c>
      <c r="AB481" s="32" t="n">
        <v>4950</v>
      </c>
      <c r="AC481" s="32" t="n">
        <v>4900</v>
      </c>
      <c r="AD481" s="26" t="n">
        <f aca="false">IFERROR(AB481/B481,"")</f>
        <v>4.77799227799228</v>
      </c>
      <c r="AE481" s="26" t="n">
        <f aca="false">IFERROR(AC481/B481,"")</f>
        <v>4.72972972972973</v>
      </c>
      <c r="AF481" s="0" t="s">
        <v>236</v>
      </c>
      <c r="AG481" s="0" t="s">
        <v>236</v>
      </c>
      <c r="AH481" s="0" t="s">
        <v>236</v>
      </c>
      <c r="AI481" s="0" t="s">
        <v>2374</v>
      </c>
      <c r="AJ481" s="0" t="s">
        <v>2375</v>
      </c>
      <c r="AK481" s="0" t="s">
        <v>2376</v>
      </c>
      <c r="AL481" s="0" t="s">
        <v>2377</v>
      </c>
      <c r="AM481" s="0" t="s">
        <v>94</v>
      </c>
      <c r="AN481" s="26" t="n">
        <f aca="false">IFERROR(E481*(1+IF(AM481="Apartment",Data_Summary!$C$3,0)),"")</f>
        <v>4.77799227799228</v>
      </c>
      <c r="AO481" s="4" t="n">
        <v>46195</v>
      </c>
    </row>
    <row r="482" customFormat="false" ht="15" hidden="false" customHeight="false" outlineLevel="0" collapsed="false">
      <c r="A482" s="0" t="n">
        <f aca="false">IF(AND(ISNUMBER(B482),B482&gt;0,ISNUMBER(AB482),AB482&gt;0,J482&gt;=Data_Summary!$C$1),1,0)</f>
        <v>1</v>
      </c>
      <c r="B482" s="33" t="n">
        <v>799</v>
      </c>
      <c r="C482" s="5" t="n">
        <f aca="false">IF(ISNUMBER(AB482),AB482,"")</f>
        <v>3300</v>
      </c>
      <c r="D482" s="0" t="n">
        <f aca="false">IF(ISNUMBER(C482),C482-U482*Data_Summary!$C$2,"")</f>
        <v>3300</v>
      </c>
      <c r="E482" s="34" t="n">
        <f aca="false">IFERROR(C482/B482,"")</f>
        <v>4.13016270337922</v>
      </c>
      <c r="F482" s="26" t="n">
        <f aca="false">IFERROR(D482/B482,"")</f>
        <v>4.13016270337922</v>
      </c>
      <c r="G482" s="0" t="str">
        <f aca="false">Q482</f>
        <v>2+1</v>
      </c>
      <c r="H482" s="0" t="str">
        <f aca="false">IFERROR(LEFT(G482,1),"")</f>
        <v>2</v>
      </c>
      <c r="I482" s="0" t="n">
        <f aca="false">IF(LEN(G482)&gt;1,1,0)</f>
        <v>1</v>
      </c>
      <c r="J482" s="4" t="n">
        <v>45703</v>
      </c>
      <c r="K482" s="0" t="s">
        <v>11</v>
      </c>
      <c r="L482" s="0" t="s">
        <v>95</v>
      </c>
      <c r="M482" s="0" t="s">
        <v>226</v>
      </c>
      <c r="N482" s="0" t="s">
        <v>97</v>
      </c>
      <c r="O482" s="0" t="s">
        <v>1264</v>
      </c>
      <c r="Q482" s="0" t="s">
        <v>451</v>
      </c>
      <c r="R482" s="0" t="n">
        <v>2</v>
      </c>
      <c r="S482" s="5" t="n">
        <v>799</v>
      </c>
      <c r="T482" s="0" t="s">
        <v>229</v>
      </c>
      <c r="U482" s="0" t="n">
        <v>0</v>
      </c>
      <c r="V482" s="0" t="s">
        <v>230</v>
      </c>
      <c r="W482" s="0" t="s">
        <v>244</v>
      </c>
      <c r="X482" s="0" t="s">
        <v>232</v>
      </c>
      <c r="Y482" s="0" t="s">
        <v>308</v>
      </c>
      <c r="Z482" s="0" t="s">
        <v>1550</v>
      </c>
      <c r="AA482" s="0" t="s">
        <v>235</v>
      </c>
      <c r="AB482" s="32" t="n">
        <v>3300</v>
      </c>
      <c r="AC482" s="32" t="n">
        <v>3300</v>
      </c>
      <c r="AD482" s="26" t="n">
        <f aca="false">IFERROR(AB482/B482,"")</f>
        <v>4.13016270337922</v>
      </c>
      <c r="AE482" s="26" t="n">
        <f aca="false">IFERROR(AC482/B482,"")</f>
        <v>4.13016270337922</v>
      </c>
      <c r="AF482" s="0" t="s">
        <v>236</v>
      </c>
      <c r="AG482" s="0" t="s">
        <v>236</v>
      </c>
      <c r="AH482" s="0" t="s">
        <v>236</v>
      </c>
      <c r="AI482" s="0" t="s">
        <v>2378</v>
      </c>
      <c r="AJ482" s="0" t="s">
        <v>2379</v>
      </c>
      <c r="AK482" s="0" t="s">
        <v>2380</v>
      </c>
      <c r="AL482" s="0" t="s">
        <v>2381</v>
      </c>
      <c r="AM482" s="0" t="s">
        <v>94</v>
      </c>
      <c r="AN482" s="26" t="n">
        <f aca="false">IFERROR(E482*(1+IF(AM482="Apartment",Data_Summary!$C$3,0)),"")</f>
        <v>4.13016270337922</v>
      </c>
      <c r="AO482" s="4" t="n">
        <v>46195</v>
      </c>
    </row>
    <row r="483" customFormat="false" ht="15" hidden="false" customHeight="false" outlineLevel="0" collapsed="false">
      <c r="A483" s="0" t="n">
        <f aca="false">IF(AND(ISNUMBER(B483),B483&gt;0,ISNUMBER(AB483),AB483&gt;0,J483&gt;=Data_Summary!$C$1),1,0)</f>
        <v>1</v>
      </c>
      <c r="B483" s="30" t="n">
        <v>706</v>
      </c>
      <c r="C483" s="5" t="n">
        <f aca="false">IF(ISNUMBER(AB483),AB483,"")</f>
        <v>2450</v>
      </c>
      <c r="D483" s="0" t="n">
        <f aca="false">IF(ISNUMBER(C483),C483-U483*Data_Summary!$C$2,"")</f>
        <v>2450</v>
      </c>
      <c r="E483" s="31" t="n">
        <f aca="false">IFERROR(C483/B483,"")</f>
        <v>3.47025495750708</v>
      </c>
      <c r="F483" s="26" t="n">
        <f aca="false">IFERROR(D483/B483,"")</f>
        <v>3.47025495750708</v>
      </c>
      <c r="G483" s="0" t="str">
        <f aca="false">Q483</f>
        <v>2</v>
      </c>
      <c r="H483" s="0" t="str">
        <f aca="false">IFERROR(LEFT(G483,1),"")</f>
        <v>2</v>
      </c>
      <c r="I483" s="0" t="n">
        <f aca="false">IF(LEN(G483)&gt;1,1,0)</f>
        <v>0</v>
      </c>
      <c r="J483" s="4" t="n">
        <v>45702</v>
      </c>
      <c r="K483" s="0" t="s">
        <v>11</v>
      </c>
      <c r="L483" s="0" t="s">
        <v>95</v>
      </c>
      <c r="M483" s="0" t="s">
        <v>226</v>
      </c>
      <c r="N483" s="0" t="s">
        <v>97</v>
      </c>
      <c r="O483" s="0" t="s">
        <v>1486</v>
      </c>
      <c r="Q483" s="0" t="s">
        <v>251</v>
      </c>
      <c r="R483" s="0" t="n">
        <v>2</v>
      </c>
      <c r="S483" s="5" t="n">
        <v>706</v>
      </c>
      <c r="T483" s="0" t="s">
        <v>252</v>
      </c>
      <c r="U483" s="0" t="n">
        <v>0</v>
      </c>
      <c r="V483" s="0" t="s">
        <v>230</v>
      </c>
      <c r="W483" s="0" t="s">
        <v>244</v>
      </c>
      <c r="Y483" s="0" t="s">
        <v>253</v>
      </c>
      <c r="Z483" s="0" t="s">
        <v>1550</v>
      </c>
      <c r="AA483" s="0" t="s">
        <v>235</v>
      </c>
      <c r="AB483" s="32" t="n">
        <v>2450</v>
      </c>
      <c r="AC483" s="32" t="n">
        <v>2750</v>
      </c>
      <c r="AD483" s="26" t="n">
        <f aca="false">IFERROR(AB483/B483,"")</f>
        <v>3.47025495750708</v>
      </c>
      <c r="AE483" s="26" t="n">
        <f aca="false">IFERROR(AC483/B483,"")</f>
        <v>3.89518413597734</v>
      </c>
      <c r="AF483" s="0" t="s">
        <v>236</v>
      </c>
      <c r="AG483" s="0" t="s">
        <v>236</v>
      </c>
      <c r="AH483" s="0" t="s">
        <v>236</v>
      </c>
      <c r="AI483" s="0" t="s">
        <v>2382</v>
      </c>
      <c r="AJ483" s="0" t="s">
        <v>2383</v>
      </c>
      <c r="AK483" s="0" t="s">
        <v>2384</v>
      </c>
      <c r="AL483" s="0" t="s">
        <v>2385</v>
      </c>
      <c r="AM483" s="0" t="s">
        <v>94</v>
      </c>
      <c r="AN483" s="26" t="n">
        <f aca="false">IFERROR(E483*(1+IF(AM483="Apartment",Data_Summary!$C$3,0)),"")</f>
        <v>3.47025495750708</v>
      </c>
      <c r="AO483" s="4" t="n">
        <v>46195</v>
      </c>
    </row>
    <row r="484" customFormat="false" ht="15" hidden="false" customHeight="false" outlineLevel="0" collapsed="false">
      <c r="A484" s="0" t="n">
        <f aca="false">IF(AND(ISNUMBER(B484),B484&gt;0,ISNUMBER(AB484),AB484&gt;0,J484&gt;=Data_Summary!$C$1),1,0)</f>
        <v>1</v>
      </c>
      <c r="B484" s="30" t="n">
        <v>706</v>
      </c>
      <c r="C484" s="5" t="n">
        <f aca="false">IF(ISNUMBER(AB484),AB484,"")</f>
        <v>2600</v>
      </c>
      <c r="D484" s="0" t="n">
        <f aca="false">IF(ISNUMBER(C484),C484-U484*Data_Summary!$C$2,"")</f>
        <v>2600</v>
      </c>
      <c r="E484" s="31" t="n">
        <f aca="false">IFERROR(C484/B484,"")</f>
        <v>3.68271954674221</v>
      </c>
      <c r="F484" s="26" t="n">
        <f aca="false">IFERROR(D484/B484,"")</f>
        <v>3.68271954674221</v>
      </c>
      <c r="G484" s="0" t="str">
        <f aca="false">Q484</f>
        <v>2</v>
      </c>
      <c r="H484" s="0" t="str">
        <f aca="false">IFERROR(LEFT(G484,1),"")</f>
        <v>2</v>
      </c>
      <c r="I484" s="0" t="n">
        <f aca="false">IF(LEN(G484)&gt;1,1,0)</f>
        <v>0</v>
      </c>
      <c r="J484" s="4" t="n">
        <v>45699</v>
      </c>
      <c r="K484" s="0" t="s">
        <v>11</v>
      </c>
      <c r="L484" s="0" t="s">
        <v>95</v>
      </c>
      <c r="M484" s="0" t="s">
        <v>226</v>
      </c>
      <c r="N484" s="0" t="s">
        <v>97</v>
      </c>
      <c r="O484" s="0" t="s">
        <v>2386</v>
      </c>
      <c r="Q484" s="0" t="s">
        <v>251</v>
      </c>
      <c r="R484" s="0" t="n">
        <v>2</v>
      </c>
      <c r="S484" s="5" t="n">
        <v>706</v>
      </c>
      <c r="T484" s="0" t="s">
        <v>252</v>
      </c>
      <c r="U484" s="0" t="n">
        <v>0</v>
      </c>
      <c r="V484" s="0" t="s">
        <v>230</v>
      </c>
      <c r="W484" s="0" t="s">
        <v>244</v>
      </c>
      <c r="Y484" s="0" t="s">
        <v>278</v>
      </c>
      <c r="Z484" s="0" t="s">
        <v>1550</v>
      </c>
      <c r="AA484" s="0" t="s">
        <v>235</v>
      </c>
      <c r="AB484" s="32" t="n">
        <v>2600</v>
      </c>
      <c r="AC484" s="32" t="n">
        <v>2500</v>
      </c>
      <c r="AD484" s="26" t="n">
        <f aca="false">IFERROR(AB484/B484,"")</f>
        <v>3.68271954674221</v>
      </c>
      <c r="AE484" s="26" t="n">
        <f aca="false">IFERROR(AC484/B484,"")</f>
        <v>3.54107648725212</v>
      </c>
      <c r="AF484" s="0" t="s">
        <v>236</v>
      </c>
      <c r="AG484" s="0" t="s">
        <v>236</v>
      </c>
      <c r="AH484" s="0" t="s">
        <v>236</v>
      </c>
      <c r="AI484" s="0" t="s">
        <v>2387</v>
      </c>
      <c r="AJ484" s="0" t="s">
        <v>2388</v>
      </c>
      <c r="AK484" s="0" t="s">
        <v>2389</v>
      </c>
      <c r="AL484" s="0" t="s">
        <v>2390</v>
      </c>
      <c r="AM484" s="0" t="s">
        <v>94</v>
      </c>
      <c r="AN484" s="26" t="n">
        <f aca="false">IFERROR(E484*(1+IF(AM484="Apartment",Data_Summary!$C$3,0)),"")</f>
        <v>3.68271954674221</v>
      </c>
      <c r="AO484" s="4" t="n">
        <v>46195</v>
      </c>
    </row>
    <row r="485" customFormat="false" ht="15" hidden="false" customHeight="false" outlineLevel="0" collapsed="false">
      <c r="A485" s="0" t="n">
        <f aca="false">IF(AND(ISNUMBER(B485),B485&gt;0,ISNUMBER(AB485),AB485&gt;0,J485&gt;=Data_Summary!$C$1),1,0)</f>
        <v>1</v>
      </c>
      <c r="B485" s="33" t="n">
        <v>799</v>
      </c>
      <c r="C485" s="5" t="n">
        <f aca="false">IF(ISNUMBER(AB485),AB485,"")</f>
        <v>3300</v>
      </c>
      <c r="D485" s="0" t="n">
        <f aca="false">IF(ISNUMBER(C485),C485-U485*Data_Summary!$C$2,"")</f>
        <v>3300</v>
      </c>
      <c r="E485" s="34" t="n">
        <f aca="false">IFERROR(C485/B485,"")</f>
        <v>4.13016270337922</v>
      </c>
      <c r="F485" s="26" t="n">
        <f aca="false">IFERROR(D485/B485,"")</f>
        <v>4.13016270337922</v>
      </c>
      <c r="G485" s="0" t="str">
        <f aca="false">Q485</f>
        <v>2+1</v>
      </c>
      <c r="H485" s="0" t="str">
        <f aca="false">IFERROR(LEFT(G485,1),"")</f>
        <v>2</v>
      </c>
      <c r="I485" s="0" t="n">
        <f aca="false">IF(LEN(G485)&gt;1,1,0)</f>
        <v>1</v>
      </c>
      <c r="J485" s="4" t="n">
        <v>45697</v>
      </c>
      <c r="K485" s="0" t="s">
        <v>11</v>
      </c>
      <c r="L485" s="0" t="s">
        <v>95</v>
      </c>
      <c r="M485" s="0" t="s">
        <v>226</v>
      </c>
      <c r="N485" s="0" t="s">
        <v>97</v>
      </c>
      <c r="O485" s="0" t="s">
        <v>2391</v>
      </c>
      <c r="Q485" s="0" t="s">
        <v>451</v>
      </c>
      <c r="R485" s="0" t="n">
        <v>2</v>
      </c>
      <c r="S485" s="5" t="n">
        <v>799</v>
      </c>
      <c r="T485" s="0" t="s">
        <v>229</v>
      </c>
      <c r="U485" s="0" t="n">
        <v>0</v>
      </c>
      <c r="V485" s="0" t="s">
        <v>230</v>
      </c>
      <c r="W485" s="0" t="s">
        <v>244</v>
      </c>
      <c r="X485" s="0" t="s">
        <v>232</v>
      </c>
      <c r="Y485" s="0" t="s">
        <v>308</v>
      </c>
      <c r="Z485" s="0" t="s">
        <v>1550</v>
      </c>
      <c r="AA485" s="0" t="s">
        <v>235</v>
      </c>
      <c r="AB485" s="32" t="n">
        <v>3300</v>
      </c>
      <c r="AC485" s="32" t="n">
        <v>3500</v>
      </c>
      <c r="AD485" s="26" t="n">
        <f aca="false">IFERROR(AB485/B485,"")</f>
        <v>4.13016270337922</v>
      </c>
      <c r="AE485" s="26" t="n">
        <f aca="false">IFERROR(AC485/B485,"")</f>
        <v>4.38047559449312</v>
      </c>
      <c r="AF485" s="0" t="s">
        <v>236</v>
      </c>
      <c r="AG485" s="0" t="s">
        <v>236</v>
      </c>
      <c r="AH485" s="0" t="s">
        <v>236</v>
      </c>
      <c r="AI485" s="0" t="s">
        <v>2392</v>
      </c>
      <c r="AJ485" s="0" t="s">
        <v>2393</v>
      </c>
      <c r="AK485" s="0" t="s">
        <v>2394</v>
      </c>
      <c r="AL485" s="0" t="s">
        <v>2395</v>
      </c>
      <c r="AM485" s="0" t="s">
        <v>94</v>
      </c>
      <c r="AN485" s="26" t="n">
        <f aca="false">IFERROR(E485*(1+IF(AM485="Apartment",Data_Summary!$C$3,0)),"")</f>
        <v>4.13016270337922</v>
      </c>
      <c r="AO485" s="4" t="n">
        <v>46195</v>
      </c>
    </row>
    <row r="486" customFormat="false" ht="15" hidden="false" customHeight="false" outlineLevel="0" collapsed="false">
      <c r="A486" s="0" t="n">
        <f aca="false">IF(AND(ISNUMBER(B486),B486&gt;0,ISNUMBER(AB486),AB486&gt;0,J486&gt;=Data_Summary!$C$1),1,0)</f>
        <v>1</v>
      </c>
      <c r="B486" s="30" t="n">
        <v>672</v>
      </c>
      <c r="C486" s="5" t="n">
        <f aca="false">IF(ISNUMBER(AB486),AB486,"")</f>
        <v>2550</v>
      </c>
      <c r="D486" s="0" t="n">
        <f aca="false">IF(ISNUMBER(C486),C486-U486*Data_Summary!$C$2,"")</f>
        <v>2550</v>
      </c>
      <c r="E486" s="31" t="n">
        <f aca="false">IFERROR(C486/B486,"")</f>
        <v>3.79464285714286</v>
      </c>
      <c r="F486" s="26" t="n">
        <f aca="false">IFERROR(D486/B486,"")</f>
        <v>3.79464285714286</v>
      </c>
      <c r="G486" s="0" t="str">
        <f aca="false">Q486</f>
        <v>2</v>
      </c>
      <c r="H486" s="0" t="str">
        <f aca="false">IFERROR(LEFT(G486,1),"")</f>
        <v>2</v>
      </c>
      <c r="I486" s="0" t="n">
        <f aca="false">IF(LEN(G486)&gt;1,1,0)</f>
        <v>0</v>
      </c>
      <c r="J486" s="4" t="n">
        <v>45694</v>
      </c>
      <c r="K486" s="0" t="s">
        <v>11</v>
      </c>
      <c r="L486" s="0" t="s">
        <v>95</v>
      </c>
      <c r="M486" s="0" t="s">
        <v>226</v>
      </c>
      <c r="N486" s="0" t="s">
        <v>97</v>
      </c>
      <c r="O486" s="0" t="s">
        <v>2396</v>
      </c>
      <c r="Q486" s="0" t="s">
        <v>251</v>
      </c>
      <c r="R486" s="0" t="n">
        <v>2</v>
      </c>
      <c r="S486" s="5" t="n">
        <v>672</v>
      </c>
      <c r="T486" s="0" t="s">
        <v>271</v>
      </c>
      <c r="U486" s="0" t="n">
        <v>0</v>
      </c>
      <c r="V486" s="0" t="s">
        <v>230</v>
      </c>
      <c r="W486" s="0" t="s">
        <v>244</v>
      </c>
      <c r="Y486" s="0" t="s">
        <v>253</v>
      </c>
      <c r="Z486" s="0" t="s">
        <v>1550</v>
      </c>
      <c r="AA486" s="0" t="s">
        <v>235</v>
      </c>
      <c r="AB486" s="32" t="n">
        <v>2550</v>
      </c>
      <c r="AC486" s="32" t="n">
        <v>2550</v>
      </c>
      <c r="AD486" s="26" t="n">
        <f aca="false">IFERROR(AB486/B486,"")</f>
        <v>3.79464285714286</v>
      </c>
      <c r="AE486" s="26" t="n">
        <f aca="false">IFERROR(AC486/B486,"")</f>
        <v>3.79464285714286</v>
      </c>
      <c r="AF486" s="0" t="s">
        <v>236</v>
      </c>
      <c r="AG486" s="0" t="s">
        <v>236</v>
      </c>
      <c r="AH486" s="0" t="s">
        <v>236</v>
      </c>
      <c r="AI486" s="0" t="s">
        <v>2397</v>
      </c>
      <c r="AJ486" s="0" t="s">
        <v>2398</v>
      </c>
      <c r="AK486" s="0" t="s">
        <v>2399</v>
      </c>
      <c r="AL486" s="0" t="s">
        <v>2400</v>
      </c>
      <c r="AM486" s="0" t="s">
        <v>94</v>
      </c>
      <c r="AN486" s="26" t="n">
        <f aca="false">IFERROR(E486*(1+IF(AM486="Apartment",Data_Summary!$C$3,0)),"")</f>
        <v>3.79464285714286</v>
      </c>
      <c r="AO486" s="4" t="n">
        <v>46195</v>
      </c>
    </row>
    <row r="487" customFormat="false" ht="15" hidden="false" customHeight="false" outlineLevel="0" collapsed="false">
      <c r="A487" s="0" t="n">
        <f aca="false">IF(AND(ISNUMBER(B487),B487&gt;0,ISNUMBER(AB487),AB487&gt;0,J487&gt;=Data_Summary!$C$1),1,0)</f>
        <v>1</v>
      </c>
      <c r="B487" s="30" t="n">
        <v>652</v>
      </c>
      <c r="C487" s="5" t="n">
        <f aca="false">IF(ISNUMBER(AB487),AB487,"")</f>
        <v>2600</v>
      </c>
      <c r="D487" s="0" t="n">
        <f aca="false">IF(ISNUMBER(C487),C487-U487*Data_Summary!$C$2,"")</f>
        <v>2600</v>
      </c>
      <c r="E487" s="31" t="n">
        <f aca="false">IFERROR(C487/B487,"")</f>
        <v>3.98773006134969</v>
      </c>
      <c r="F487" s="26" t="n">
        <f aca="false">IFERROR(D487/B487,"")</f>
        <v>3.98773006134969</v>
      </c>
      <c r="G487" s="0" t="str">
        <f aca="false">Q487</f>
        <v>2</v>
      </c>
      <c r="H487" s="0" t="str">
        <f aca="false">IFERROR(LEFT(G487,1),"")</f>
        <v>2</v>
      </c>
      <c r="I487" s="0" t="n">
        <f aca="false">IF(LEN(G487)&gt;1,1,0)</f>
        <v>0</v>
      </c>
      <c r="J487" s="4" t="n">
        <v>45693</v>
      </c>
      <c r="K487" s="0" t="s">
        <v>11</v>
      </c>
      <c r="L487" s="0" t="s">
        <v>95</v>
      </c>
      <c r="M487" s="0" t="s">
        <v>226</v>
      </c>
      <c r="N487" s="0" t="s">
        <v>97</v>
      </c>
      <c r="O487" s="0" t="s">
        <v>2401</v>
      </c>
      <c r="Q487" s="0" t="s">
        <v>251</v>
      </c>
      <c r="R487" s="0" t="n">
        <v>2</v>
      </c>
      <c r="S487" s="5" t="n">
        <v>652</v>
      </c>
      <c r="T487" s="0" t="s">
        <v>271</v>
      </c>
      <c r="U487" s="0" t="n">
        <v>0</v>
      </c>
      <c r="V487" s="0" t="s">
        <v>230</v>
      </c>
      <c r="W487" s="0" t="s">
        <v>244</v>
      </c>
      <c r="Y487" s="0" t="s">
        <v>272</v>
      </c>
      <c r="Z487" s="0" t="s">
        <v>1550</v>
      </c>
      <c r="AA487" s="0" t="s">
        <v>235</v>
      </c>
      <c r="AB487" s="32" t="n">
        <v>2600</v>
      </c>
      <c r="AC487" s="32" t="n">
        <v>2600</v>
      </c>
      <c r="AD487" s="26" t="n">
        <f aca="false">IFERROR(AB487/B487,"")</f>
        <v>3.98773006134969</v>
      </c>
      <c r="AE487" s="26" t="n">
        <f aca="false">IFERROR(AC487/B487,"")</f>
        <v>3.98773006134969</v>
      </c>
      <c r="AF487" s="0" t="s">
        <v>236</v>
      </c>
      <c r="AG487" s="0" t="s">
        <v>236</v>
      </c>
      <c r="AH487" s="0" t="s">
        <v>236</v>
      </c>
      <c r="AI487" s="0" t="s">
        <v>2402</v>
      </c>
      <c r="AJ487" s="0" t="s">
        <v>2403</v>
      </c>
      <c r="AK487" s="0" t="s">
        <v>2404</v>
      </c>
      <c r="AL487" s="0" t="s">
        <v>2405</v>
      </c>
      <c r="AM487" s="0" t="s">
        <v>94</v>
      </c>
      <c r="AN487" s="26" t="n">
        <f aca="false">IFERROR(E487*(1+IF(AM487="Apartment",Data_Summary!$C$3,0)),"")</f>
        <v>3.98773006134969</v>
      </c>
      <c r="AO487" s="4" t="n">
        <v>46195</v>
      </c>
    </row>
    <row r="488" customFormat="false" ht="15" hidden="false" customHeight="false" outlineLevel="0" collapsed="false">
      <c r="A488" s="0" t="n">
        <f aca="false">IF(AND(ISNUMBER(B488),B488&gt;0,ISNUMBER(AB488),AB488&gt;0,J488&gt;=Data_Summary!$C$1),1,0)</f>
        <v>1</v>
      </c>
      <c r="B488" s="30" t="n">
        <v>719</v>
      </c>
      <c r="C488" s="5" t="n">
        <f aca="false">IF(ISNUMBER(AB488),AB488,"")</f>
        <v>3000</v>
      </c>
      <c r="D488" s="0" t="n">
        <f aca="false">IF(ISNUMBER(C488),C488-U488*Data_Summary!$C$2,"")</f>
        <v>3000</v>
      </c>
      <c r="E488" s="31" t="n">
        <f aca="false">IFERROR(C488/B488,"")</f>
        <v>4.17246175243394</v>
      </c>
      <c r="F488" s="26" t="n">
        <f aca="false">IFERROR(D488/B488,"")</f>
        <v>4.17246175243394</v>
      </c>
      <c r="G488" s="0" t="str">
        <f aca="false">Q488</f>
        <v>2</v>
      </c>
      <c r="H488" s="0" t="str">
        <f aca="false">IFERROR(LEFT(G488,1),"")</f>
        <v>2</v>
      </c>
      <c r="I488" s="0" t="n">
        <f aca="false">IF(LEN(G488)&gt;1,1,0)</f>
        <v>0</v>
      </c>
      <c r="J488" s="4" t="n">
        <v>45690</v>
      </c>
      <c r="K488" s="0" t="s">
        <v>11</v>
      </c>
      <c r="L488" s="0" t="s">
        <v>95</v>
      </c>
      <c r="M488" s="0" t="s">
        <v>226</v>
      </c>
      <c r="N488" s="0" t="s">
        <v>97</v>
      </c>
      <c r="O488" s="0" t="s">
        <v>307</v>
      </c>
      <c r="Q488" s="0" t="s">
        <v>251</v>
      </c>
      <c r="R488" s="0" t="n">
        <v>2</v>
      </c>
      <c r="S488" s="5" t="n">
        <v>719</v>
      </c>
      <c r="T488" s="0" t="s">
        <v>252</v>
      </c>
      <c r="U488" s="0" t="n">
        <v>0</v>
      </c>
      <c r="V488" s="0" t="s">
        <v>230</v>
      </c>
      <c r="W488" s="0" t="s">
        <v>244</v>
      </c>
      <c r="Y488" s="0" t="s">
        <v>253</v>
      </c>
      <c r="Z488" s="0" t="s">
        <v>1550</v>
      </c>
      <c r="AA488" s="0" t="s">
        <v>235</v>
      </c>
      <c r="AB488" s="32" t="n">
        <v>3000</v>
      </c>
      <c r="AC488" s="32" t="n">
        <v>3000</v>
      </c>
      <c r="AD488" s="26" t="n">
        <f aca="false">IFERROR(AB488/B488,"")</f>
        <v>4.17246175243394</v>
      </c>
      <c r="AE488" s="26" t="n">
        <f aca="false">IFERROR(AC488/B488,"")</f>
        <v>4.17246175243394</v>
      </c>
      <c r="AF488" s="0" t="s">
        <v>236</v>
      </c>
      <c r="AG488" s="0" t="s">
        <v>236</v>
      </c>
      <c r="AH488" s="0" t="s">
        <v>236</v>
      </c>
      <c r="AI488" s="0" t="s">
        <v>2406</v>
      </c>
      <c r="AJ488" s="0" t="s">
        <v>2407</v>
      </c>
      <c r="AK488" s="0" t="s">
        <v>2408</v>
      </c>
      <c r="AL488" s="0" t="s">
        <v>2409</v>
      </c>
      <c r="AM488" s="0" t="s">
        <v>94</v>
      </c>
      <c r="AN488" s="26" t="n">
        <f aca="false">IFERROR(E488*(1+IF(AM488="Apartment",Data_Summary!$C$3,0)),"")</f>
        <v>4.17246175243394</v>
      </c>
      <c r="AO488" s="4" t="n">
        <v>46195</v>
      </c>
    </row>
    <row r="489" customFormat="false" ht="15" hidden="false" customHeight="false" outlineLevel="0" collapsed="false">
      <c r="A489" s="0" t="n">
        <f aca="false">IF(AND(ISNUMBER(B489),B489&gt;0,ISNUMBER(AB489),AB489&gt;0,J489&gt;=Data_Summary!$C$1),1,0)</f>
        <v>1</v>
      </c>
      <c r="B489" s="30" t="n">
        <v>719</v>
      </c>
      <c r="C489" s="5" t="n">
        <f aca="false">IF(ISNUMBER(AB489),AB489,"")</f>
        <v>2950</v>
      </c>
      <c r="D489" s="0" t="n">
        <f aca="false">IF(ISNUMBER(C489),C489-U489*Data_Summary!$C$2,"")</f>
        <v>2950</v>
      </c>
      <c r="E489" s="31" t="n">
        <f aca="false">IFERROR(C489/B489,"")</f>
        <v>4.1029207232267</v>
      </c>
      <c r="F489" s="26" t="n">
        <f aca="false">IFERROR(D489/B489,"")</f>
        <v>4.1029207232267</v>
      </c>
      <c r="G489" s="0" t="str">
        <f aca="false">Q489</f>
        <v>2</v>
      </c>
      <c r="H489" s="0" t="str">
        <f aca="false">IFERROR(LEFT(G489,1),"")</f>
        <v>2</v>
      </c>
      <c r="I489" s="0" t="n">
        <f aca="false">IF(LEN(G489)&gt;1,1,0)</f>
        <v>0</v>
      </c>
      <c r="J489" s="4" t="n">
        <v>45685</v>
      </c>
      <c r="K489" s="0" t="s">
        <v>11</v>
      </c>
      <c r="L489" s="0" t="s">
        <v>95</v>
      </c>
      <c r="M489" s="0" t="s">
        <v>226</v>
      </c>
      <c r="N489" s="0" t="s">
        <v>97</v>
      </c>
      <c r="O489" s="0" t="s">
        <v>2410</v>
      </c>
      <c r="Q489" s="0" t="s">
        <v>251</v>
      </c>
      <c r="R489" s="0" t="n">
        <v>2</v>
      </c>
      <c r="S489" s="5" t="n">
        <v>719</v>
      </c>
      <c r="T489" s="0" t="s">
        <v>252</v>
      </c>
      <c r="U489" s="0" t="n">
        <v>0</v>
      </c>
      <c r="V489" s="0" t="s">
        <v>230</v>
      </c>
      <c r="W489" s="0" t="s">
        <v>244</v>
      </c>
      <c r="Y489" s="0" t="s">
        <v>253</v>
      </c>
      <c r="Z489" s="0" t="s">
        <v>1550</v>
      </c>
      <c r="AA489" s="0" t="s">
        <v>235</v>
      </c>
      <c r="AB489" s="32" t="n">
        <v>2950</v>
      </c>
      <c r="AC489" s="32" t="n">
        <v>2950</v>
      </c>
      <c r="AD489" s="26" t="n">
        <f aca="false">IFERROR(AB489/B489,"")</f>
        <v>4.1029207232267</v>
      </c>
      <c r="AE489" s="26" t="n">
        <f aca="false">IFERROR(AC489/B489,"")</f>
        <v>4.1029207232267</v>
      </c>
      <c r="AF489" s="0" t="s">
        <v>236</v>
      </c>
      <c r="AG489" s="0" t="s">
        <v>236</v>
      </c>
      <c r="AH489" s="0" t="s">
        <v>236</v>
      </c>
      <c r="AI489" s="0" t="s">
        <v>2411</v>
      </c>
      <c r="AJ489" s="0" t="s">
        <v>2412</v>
      </c>
      <c r="AK489" s="0" t="s">
        <v>2413</v>
      </c>
      <c r="AL489" s="0" t="s">
        <v>2414</v>
      </c>
      <c r="AM489" s="0" t="s">
        <v>94</v>
      </c>
      <c r="AN489" s="26" t="n">
        <f aca="false">IFERROR(E489*(1+IF(AM489="Apartment",Data_Summary!$C$3,0)),"")</f>
        <v>4.1029207232267</v>
      </c>
      <c r="AO489" s="4" t="n">
        <v>46195</v>
      </c>
    </row>
    <row r="490" customFormat="false" ht="15" hidden="false" customHeight="false" outlineLevel="0" collapsed="false">
      <c r="A490" s="0" t="n">
        <f aca="false">IF(AND(ISNUMBER(B490),B490&gt;0,ISNUMBER(AB490),AB490&gt;0,J490&gt;=Data_Summary!$C$1),1,0)</f>
        <v>1</v>
      </c>
      <c r="B490" s="30" t="n">
        <v>1015</v>
      </c>
      <c r="C490" s="5" t="n">
        <f aca="false">IF(ISNUMBER(AB490),AB490,"")</f>
        <v>4350</v>
      </c>
      <c r="D490" s="0" t="n">
        <f aca="false">IF(ISNUMBER(C490),C490-U490*Data_Summary!$C$2,"")</f>
        <v>4200</v>
      </c>
      <c r="E490" s="31" t="n">
        <f aca="false">IFERROR(C490/B490,"")</f>
        <v>4.28571428571429</v>
      </c>
      <c r="F490" s="26" t="n">
        <f aca="false">IFERROR(D490/B490,"")</f>
        <v>4.13793103448276</v>
      </c>
      <c r="G490" s="0" t="str">
        <f aca="false">Q490</f>
        <v>3</v>
      </c>
      <c r="H490" s="0" t="str">
        <f aca="false">IFERROR(LEFT(G490,1),"")</f>
        <v>3</v>
      </c>
      <c r="I490" s="0" t="n">
        <f aca="false">IF(LEN(G490)&gt;1,1,0)</f>
        <v>0</v>
      </c>
      <c r="J490" s="4" t="n">
        <v>45683</v>
      </c>
      <c r="K490" s="0" t="s">
        <v>11</v>
      </c>
      <c r="L490" s="0" t="s">
        <v>95</v>
      </c>
      <c r="M490" s="0" t="s">
        <v>226</v>
      </c>
      <c r="N490" s="0" t="s">
        <v>97</v>
      </c>
      <c r="O490" s="0" t="s">
        <v>2415</v>
      </c>
      <c r="Q490" s="0" t="s">
        <v>228</v>
      </c>
      <c r="R490" s="0" t="n">
        <v>2</v>
      </c>
      <c r="S490" s="5" t="n">
        <v>1015</v>
      </c>
      <c r="T490" s="0" t="s">
        <v>265</v>
      </c>
      <c r="U490" s="0" t="n">
        <v>1</v>
      </c>
      <c r="V490" s="0" t="s">
        <v>230</v>
      </c>
      <c r="W490" s="0" t="s">
        <v>244</v>
      </c>
      <c r="X490" s="0" t="s">
        <v>232</v>
      </c>
      <c r="Y490" s="0" t="s">
        <v>308</v>
      </c>
      <c r="Z490" s="0" t="s">
        <v>1550</v>
      </c>
      <c r="AA490" s="0" t="s">
        <v>235</v>
      </c>
      <c r="AB490" s="32" t="n">
        <v>4350</v>
      </c>
      <c r="AC490" s="32" t="n">
        <v>4350</v>
      </c>
      <c r="AD490" s="26" t="n">
        <f aca="false">IFERROR(AB490/B490,"")</f>
        <v>4.28571428571429</v>
      </c>
      <c r="AE490" s="26" t="n">
        <f aca="false">IFERROR(AC490/B490,"")</f>
        <v>4.28571428571429</v>
      </c>
      <c r="AF490" s="0" t="s">
        <v>236</v>
      </c>
      <c r="AG490" s="0" t="s">
        <v>236</v>
      </c>
      <c r="AH490" s="0" t="s">
        <v>236</v>
      </c>
      <c r="AI490" s="0" t="s">
        <v>2416</v>
      </c>
      <c r="AJ490" s="0" t="s">
        <v>2417</v>
      </c>
      <c r="AK490" s="0" t="s">
        <v>2418</v>
      </c>
      <c r="AL490" s="0" t="s">
        <v>2419</v>
      </c>
      <c r="AM490" s="0" t="s">
        <v>94</v>
      </c>
      <c r="AN490" s="26" t="n">
        <f aca="false">IFERROR(E490*(1+IF(AM490="Apartment",Data_Summary!$C$3,0)),"")</f>
        <v>4.28571428571429</v>
      </c>
      <c r="AO490" s="4" t="n">
        <v>46195</v>
      </c>
    </row>
    <row r="491" customFormat="false" ht="15" hidden="false" customHeight="false" outlineLevel="0" collapsed="false">
      <c r="A491" s="0" t="n">
        <f aca="false">IF(AND(ISNUMBER(B491),B491&gt;0,ISNUMBER(AB491),AB491&gt;0,J491&gt;=Data_Summary!$C$1),1,0)</f>
        <v>1</v>
      </c>
      <c r="B491" s="30" t="n">
        <v>706</v>
      </c>
      <c r="C491" s="5" t="n">
        <f aca="false">IF(ISNUMBER(AB491),AB491,"")</f>
        <v>2700</v>
      </c>
      <c r="D491" s="0" t="n">
        <f aca="false">IF(ISNUMBER(C491),C491-U491*Data_Summary!$C$2,"")</f>
        <v>2700</v>
      </c>
      <c r="E491" s="31" t="n">
        <f aca="false">IFERROR(C491/B491,"")</f>
        <v>3.82436260623229</v>
      </c>
      <c r="F491" s="26" t="n">
        <f aca="false">IFERROR(D491/B491,"")</f>
        <v>3.82436260623229</v>
      </c>
      <c r="G491" s="0" t="str">
        <f aca="false">Q491</f>
        <v>2</v>
      </c>
      <c r="H491" s="0" t="str">
        <f aca="false">IFERROR(LEFT(G491,1),"")</f>
        <v>2</v>
      </c>
      <c r="I491" s="0" t="n">
        <f aca="false">IF(LEN(G491)&gt;1,1,0)</f>
        <v>0</v>
      </c>
      <c r="J491" s="4" t="n">
        <v>45681</v>
      </c>
      <c r="K491" s="0" t="s">
        <v>11</v>
      </c>
      <c r="L491" s="0" t="s">
        <v>95</v>
      </c>
      <c r="M491" s="0" t="s">
        <v>226</v>
      </c>
      <c r="N491" s="0" t="s">
        <v>97</v>
      </c>
      <c r="O491" s="0" t="s">
        <v>2420</v>
      </c>
      <c r="Q491" s="0" t="s">
        <v>251</v>
      </c>
      <c r="R491" s="0" t="n">
        <v>2</v>
      </c>
      <c r="S491" s="5" t="n">
        <v>706</v>
      </c>
      <c r="T491" s="0" t="s">
        <v>252</v>
      </c>
      <c r="U491" s="0" t="n">
        <v>0</v>
      </c>
      <c r="V491" s="0" t="s">
        <v>230</v>
      </c>
      <c r="W491" s="0" t="s">
        <v>244</v>
      </c>
      <c r="Y491" s="0" t="s">
        <v>278</v>
      </c>
      <c r="Z491" s="0" t="s">
        <v>1550</v>
      </c>
      <c r="AA491" s="0" t="s">
        <v>235</v>
      </c>
      <c r="AB491" s="32" t="n">
        <v>2700</v>
      </c>
      <c r="AC491" s="32" t="n">
        <v>2700</v>
      </c>
      <c r="AD491" s="26" t="n">
        <f aca="false">IFERROR(AB491/B491,"")</f>
        <v>3.82436260623229</v>
      </c>
      <c r="AE491" s="26" t="n">
        <f aca="false">IFERROR(AC491/B491,"")</f>
        <v>3.82436260623229</v>
      </c>
      <c r="AF491" s="0" t="s">
        <v>236</v>
      </c>
      <c r="AG491" s="0" t="s">
        <v>236</v>
      </c>
      <c r="AH491" s="0" t="s">
        <v>236</v>
      </c>
      <c r="AI491" s="0" t="s">
        <v>2421</v>
      </c>
      <c r="AJ491" s="0" t="s">
        <v>2422</v>
      </c>
      <c r="AK491" s="0" t="s">
        <v>2423</v>
      </c>
      <c r="AL491" s="0" t="s">
        <v>2424</v>
      </c>
      <c r="AM491" s="0" t="s">
        <v>94</v>
      </c>
      <c r="AN491" s="26" t="n">
        <f aca="false">IFERROR(E491*(1+IF(AM491="Apartment",Data_Summary!$C$3,0)),"")</f>
        <v>3.82436260623229</v>
      </c>
      <c r="AO491" s="4" t="n">
        <v>46195</v>
      </c>
    </row>
    <row r="492" customFormat="false" ht="15" hidden="false" customHeight="false" outlineLevel="0" collapsed="false">
      <c r="A492" s="0" t="n">
        <f aca="false">IF(AND(ISNUMBER(B492),B492&gt;0,ISNUMBER(AB492),AB492&gt;0,J492&gt;=Data_Summary!$C$1),1,0)</f>
        <v>1</v>
      </c>
      <c r="B492" s="33" t="n">
        <v>799</v>
      </c>
      <c r="C492" s="5" t="n">
        <f aca="false">IF(ISNUMBER(AB492),AB492,"")</f>
        <v>3300</v>
      </c>
      <c r="D492" s="0" t="n">
        <f aca="false">IF(ISNUMBER(C492),C492-U492*Data_Summary!$C$2,"")</f>
        <v>3300</v>
      </c>
      <c r="E492" s="34" t="n">
        <f aca="false">IFERROR(C492/B492,"")</f>
        <v>4.13016270337922</v>
      </c>
      <c r="F492" s="26" t="n">
        <f aca="false">IFERROR(D492/B492,"")</f>
        <v>4.13016270337922</v>
      </c>
      <c r="G492" s="0" t="str">
        <f aca="false">Q492</f>
        <v>2</v>
      </c>
      <c r="H492" s="0" t="str">
        <f aca="false">IFERROR(LEFT(G492,1),"")</f>
        <v>2</v>
      </c>
      <c r="I492" s="0" t="n">
        <f aca="false">IF(LEN(G492)&gt;1,1,0)</f>
        <v>0</v>
      </c>
      <c r="J492" s="4" t="n">
        <v>45678</v>
      </c>
      <c r="K492" s="0" t="s">
        <v>11</v>
      </c>
      <c r="L492" s="0" t="s">
        <v>95</v>
      </c>
      <c r="M492" s="0" t="s">
        <v>226</v>
      </c>
      <c r="N492" s="0" t="s">
        <v>97</v>
      </c>
      <c r="O492" s="0" t="s">
        <v>1342</v>
      </c>
      <c r="Q492" s="0" t="s">
        <v>251</v>
      </c>
      <c r="R492" s="0" t="n">
        <v>2</v>
      </c>
      <c r="S492" s="5" t="n">
        <v>799</v>
      </c>
      <c r="T492" s="0" t="s">
        <v>229</v>
      </c>
      <c r="U492" s="0" t="n">
        <v>0</v>
      </c>
      <c r="V492" s="0" t="s">
        <v>230</v>
      </c>
      <c r="W492" s="0" t="s">
        <v>244</v>
      </c>
      <c r="X492" s="0" t="s">
        <v>232</v>
      </c>
      <c r="Y492" s="0" t="s">
        <v>308</v>
      </c>
      <c r="Z492" s="0" t="s">
        <v>1550</v>
      </c>
      <c r="AA492" s="0" t="s">
        <v>235</v>
      </c>
      <c r="AB492" s="32" t="n">
        <v>3300</v>
      </c>
      <c r="AC492" s="32" t="n">
        <v>3800</v>
      </c>
      <c r="AD492" s="26" t="n">
        <f aca="false">IFERROR(AB492/B492,"")</f>
        <v>4.13016270337922</v>
      </c>
      <c r="AE492" s="26" t="n">
        <f aca="false">IFERROR(AC492/B492,"")</f>
        <v>4.75594493116396</v>
      </c>
      <c r="AF492" s="0" t="s">
        <v>236</v>
      </c>
      <c r="AG492" s="0" t="s">
        <v>236</v>
      </c>
      <c r="AH492" s="0" t="s">
        <v>230</v>
      </c>
      <c r="AI492" s="0" t="s">
        <v>2425</v>
      </c>
      <c r="AJ492" s="0" t="s">
        <v>2426</v>
      </c>
      <c r="AK492" s="0" t="s">
        <v>2427</v>
      </c>
      <c r="AL492" s="0" t="s">
        <v>2428</v>
      </c>
      <c r="AM492" s="0" t="s">
        <v>94</v>
      </c>
      <c r="AN492" s="26" t="n">
        <f aca="false">IFERROR(E492*(1+IF(AM492="Apartment",Data_Summary!$C$3,0)),"")</f>
        <v>4.13016270337922</v>
      </c>
      <c r="AO492" s="4" t="n">
        <v>46195</v>
      </c>
    </row>
    <row r="493" customFormat="false" ht="15" hidden="false" customHeight="false" outlineLevel="0" collapsed="false">
      <c r="A493" s="0" t="n">
        <f aca="false">IF(AND(ISNUMBER(B493),B493&gt;0,ISNUMBER(AB493),AB493&gt;0,J493&gt;=Data_Summary!$C$1),1,0)</f>
        <v>1</v>
      </c>
      <c r="B493" s="30" t="n">
        <v>719</v>
      </c>
      <c r="C493" s="5" t="n">
        <f aca="false">IF(ISNUMBER(AB493),AB493,"")</f>
        <v>3000</v>
      </c>
      <c r="D493" s="0" t="n">
        <f aca="false">IF(ISNUMBER(C493),C493-U493*Data_Summary!$C$2,"")</f>
        <v>3000</v>
      </c>
      <c r="E493" s="31" t="n">
        <f aca="false">IFERROR(C493/B493,"")</f>
        <v>4.17246175243394</v>
      </c>
      <c r="F493" s="26" t="n">
        <f aca="false">IFERROR(D493/B493,"")</f>
        <v>4.17246175243394</v>
      </c>
      <c r="G493" s="0" t="str">
        <f aca="false">Q493</f>
        <v>2</v>
      </c>
      <c r="H493" s="0" t="str">
        <f aca="false">IFERROR(LEFT(G493,1),"")</f>
        <v>2</v>
      </c>
      <c r="I493" s="0" t="n">
        <f aca="false">IF(LEN(G493)&gt;1,1,0)</f>
        <v>0</v>
      </c>
      <c r="J493" s="4" t="n">
        <v>45678</v>
      </c>
      <c r="K493" s="0" t="s">
        <v>11</v>
      </c>
      <c r="L493" s="0" t="s">
        <v>95</v>
      </c>
      <c r="M493" s="0" t="s">
        <v>226</v>
      </c>
      <c r="N493" s="0" t="s">
        <v>97</v>
      </c>
      <c r="O493" s="0" t="s">
        <v>2429</v>
      </c>
      <c r="Q493" s="0" t="s">
        <v>251</v>
      </c>
      <c r="R493" s="0" t="n">
        <v>2</v>
      </c>
      <c r="S493" s="5" t="n">
        <v>719</v>
      </c>
      <c r="T493" s="0" t="s">
        <v>252</v>
      </c>
      <c r="U493" s="0" t="n">
        <v>0</v>
      </c>
      <c r="V493" s="0" t="s">
        <v>230</v>
      </c>
      <c r="W493" s="0" t="s">
        <v>244</v>
      </c>
      <c r="Y493" s="0" t="s">
        <v>253</v>
      </c>
      <c r="Z493" s="0" t="s">
        <v>1550</v>
      </c>
      <c r="AA493" s="0" t="s">
        <v>235</v>
      </c>
      <c r="AB493" s="32" t="n">
        <v>3000</v>
      </c>
      <c r="AC493" s="32" t="n">
        <v>3100</v>
      </c>
      <c r="AD493" s="26" t="n">
        <f aca="false">IFERROR(AB493/B493,"")</f>
        <v>4.17246175243394</v>
      </c>
      <c r="AE493" s="26" t="n">
        <f aca="false">IFERROR(AC493/B493,"")</f>
        <v>4.3115438108484</v>
      </c>
      <c r="AF493" s="0" t="s">
        <v>236</v>
      </c>
      <c r="AG493" s="0" t="s">
        <v>236</v>
      </c>
      <c r="AH493" s="0" t="s">
        <v>236</v>
      </c>
      <c r="AI493" s="0" t="s">
        <v>2425</v>
      </c>
      <c r="AJ493" s="0" t="s">
        <v>2430</v>
      </c>
      <c r="AK493" s="0" t="s">
        <v>2431</v>
      </c>
      <c r="AL493" s="0" t="s">
        <v>2432</v>
      </c>
      <c r="AM493" s="0" t="s">
        <v>94</v>
      </c>
      <c r="AN493" s="26" t="n">
        <f aca="false">IFERROR(E493*(1+IF(AM493="Apartment",Data_Summary!$C$3,0)),"")</f>
        <v>4.17246175243394</v>
      </c>
      <c r="AO493" s="4" t="n">
        <v>46195</v>
      </c>
    </row>
    <row r="494" customFormat="false" ht="15" hidden="false" customHeight="false" outlineLevel="0" collapsed="false">
      <c r="A494" s="0" t="n">
        <f aca="false">IF(AND(ISNUMBER(B494),B494&gt;0,ISNUMBER(AB494),AB494&gt;0,J494&gt;=Data_Summary!$C$1),1,0)</f>
        <v>1</v>
      </c>
      <c r="B494" s="33" t="n">
        <v>799</v>
      </c>
      <c r="C494" s="5" t="n">
        <f aca="false">IF(ISNUMBER(AB494),AB494,"")</f>
        <v>3500</v>
      </c>
      <c r="D494" s="0" t="n">
        <f aca="false">IF(ISNUMBER(C494),C494-U494*Data_Summary!$C$2,"")</f>
        <v>3500</v>
      </c>
      <c r="E494" s="34" t="n">
        <f aca="false">IFERROR(C494/B494,"")</f>
        <v>4.38047559449312</v>
      </c>
      <c r="F494" s="26" t="n">
        <f aca="false">IFERROR(D494/B494,"")</f>
        <v>4.38047559449312</v>
      </c>
      <c r="G494" s="0" t="str">
        <f aca="false">Q494</f>
        <v>2+1</v>
      </c>
      <c r="H494" s="0" t="str">
        <f aca="false">IFERROR(LEFT(G494,1),"")</f>
        <v>2</v>
      </c>
      <c r="I494" s="0" t="n">
        <f aca="false">IF(LEN(G494)&gt;1,1,0)</f>
        <v>1</v>
      </c>
      <c r="J494" s="4" t="n">
        <v>45676</v>
      </c>
      <c r="K494" s="0" t="s">
        <v>11</v>
      </c>
      <c r="L494" s="0" t="s">
        <v>95</v>
      </c>
      <c r="M494" s="0" t="s">
        <v>226</v>
      </c>
      <c r="N494" s="0" t="s">
        <v>97</v>
      </c>
      <c r="O494" s="0" t="s">
        <v>2433</v>
      </c>
      <c r="Q494" s="0" t="s">
        <v>451</v>
      </c>
      <c r="R494" s="0" t="n">
        <v>2</v>
      </c>
      <c r="S494" s="5" t="n">
        <v>799</v>
      </c>
      <c r="T494" s="0" t="s">
        <v>229</v>
      </c>
      <c r="U494" s="0" t="n">
        <v>0</v>
      </c>
      <c r="V494" s="0" t="s">
        <v>230</v>
      </c>
      <c r="W494" s="0" t="s">
        <v>244</v>
      </c>
      <c r="X494" s="0" t="s">
        <v>232</v>
      </c>
      <c r="Y494" s="0" t="s">
        <v>308</v>
      </c>
      <c r="Z494" s="0" t="s">
        <v>1550</v>
      </c>
      <c r="AA494" s="0" t="s">
        <v>235</v>
      </c>
      <c r="AB494" s="32" t="n">
        <v>3500</v>
      </c>
      <c r="AC494" s="32" t="n">
        <v>3500</v>
      </c>
      <c r="AD494" s="26" t="n">
        <f aca="false">IFERROR(AB494/B494,"")</f>
        <v>4.38047559449312</v>
      </c>
      <c r="AE494" s="26" t="n">
        <f aca="false">IFERROR(AC494/B494,"")</f>
        <v>4.38047559449312</v>
      </c>
      <c r="AF494" s="0" t="s">
        <v>230</v>
      </c>
      <c r="AG494" s="0" t="s">
        <v>236</v>
      </c>
      <c r="AH494" s="0" t="s">
        <v>236</v>
      </c>
      <c r="AI494" s="0" t="s">
        <v>2434</v>
      </c>
      <c r="AJ494" s="0" t="s">
        <v>2435</v>
      </c>
      <c r="AK494" s="0" t="s">
        <v>2436</v>
      </c>
      <c r="AL494" s="0" t="s">
        <v>2437</v>
      </c>
      <c r="AM494" s="0" t="s">
        <v>94</v>
      </c>
      <c r="AN494" s="26" t="n">
        <f aca="false">IFERROR(E494*(1+IF(AM494="Apartment",Data_Summary!$C$3,0)),"")</f>
        <v>4.38047559449312</v>
      </c>
      <c r="AO494" s="4" t="n">
        <v>46195</v>
      </c>
    </row>
    <row r="495" customFormat="false" ht="15" hidden="false" customHeight="false" outlineLevel="0" collapsed="false">
      <c r="A495" s="0" t="n">
        <f aca="false">IF(AND(ISNUMBER(B495),B495&gt;0,ISNUMBER(AB495),AB495&gt;0,J495&gt;=Data_Summary!$C$1),1,0)</f>
        <v>1</v>
      </c>
      <c r="B495" s="30" t="n">
        <v>1069</v>
      </c>
      <c r="C495" s="5" t="n">
        <f aca="false">IF(ISNUMBER(AB495),AB495,"")</f>
        <v>5500</v>
      </c>
      <c r="D495" s="0" t="n">
        <f aca="false">IF(ISNUMBER(C495),C495-U495*Data_Summary!$C$2,"")</f>
        <v>5350</v>
      </c>
      <c r="E495" s="31" t="n">
        <f aca="false">IFERROR(C495/B495,"")</f>
        <v>5.14499532273153</v>
      </c>
      <c r="F495" s="26" t="n">
        <f aca="false">IFERROR(D495/B495,"")</f>
        <v>5.00467726847521</v>
      </c>
      <c r="G495" s="0" t="str">
        <f aca="false">Q495</f>
        <v>3</v>
      </c>
      <c r="H495" s="0" t="str">
        <f aca="false">IFERROR(LEFT(G495,1),"")</f>
        <v>3</v>
      </c>
      <c r="I495" s="0" t="n">
        <f aca="false">IF(LEN(G495)&gt;1,1,0)</f>
        <v>0</v>
      </c>
      <c r="J495" s="4" t="n">
        <v>46185</v>
      </c>
      <c r="K495" s="0" t="s">
        <v>12</v>
      </c>
      <c r="L495" s="0" t="s">
        <v>98</v>
      </c>
      <c r="M495" s="0" t="s">
        <v>226</v>
      </c>
      <c r="N495" s="0" t="s">
        <v>100</v>
      </c>
      <c r="O495" s="0" t="s">
        <v>2438</v>
      </c>
      <c r="Q495" s="0" t="s">
        <v>228</v>
      </c>
      <c r="R495" s="0" t="n">
        <v>2</v>
      </c>
      <c r="S495" s="5" t="n">
        <v>1069</v>
      </c>
      <c r="T495" s="0" t="s">
        <v>265</v>
      </c>
      <c r="U495" s="0" t="n">
        <v>1</v>
      </c>
      <c r="V495" s="0" t="s">
        <v>230</v>
      </c>
      <c r="W495" s="0" t="s">
        <v>244</v>
      </c>
      <c r="X495" s="0" t="s">
        <v>232</v>
      </c>
      <c r="Y495" s="0" t="s">
        <v>260</v>
      </c>
      <c r="Z495" s="0" t="s">
        <v>1550</v>
      </c>
      <c r="AA495" s="0" t="s">
        <v>235</v>
      </c>
      <c r="AB495" s="32" t="n">
        <v>5500</v>
      </c>
      <c r="AC495" s="32" t="n">
        <v>5500</v>
      </c>
      <c r="AD495" s="26" t="n">
        <f aca="false">IFERROR(AB495/B495,"")</f>
        <v>5.14499532273153</v>
      </c>
      <c r="AE495" s="26" t="n">
        <f aca="false">IFERROR(AC495/B495,"")</f>
        <v>5.14499532273153</v>
      </c>
      <c r="AF495" s="0" t="s">
        <v>236</v>
      </c>
      <c r="AG495" s="0" t="s">
        <v>236</v>
      </c>
      <c r="AH495" s="0" t="s">
        <v>236</v>
      </c>
      <c r="AI495" s="0" t="s">
        <v>254</v>
      </c>
      <c r="AJ495" s="0" t="s">
        <v>2439</v>
      </c>
      <c r="AK495" s="0" t="s">
        <v>2440</v>
      </c>
      <c r="AL495" s="0" t="s">
        <v>2441</v>
      </c>
      <c r="AM495" s="0" t="s">
        <v>94</v>
      </c>
      <c r="AN495" s="26" t="n">
        <f aca="false">IFERROR(E495*(1+IF(AM495="Apartment",Data_Summary!$C$3,0)),"")</f>
        <v>5.14499532273153</v>
      </c>
      <c r="AO495" s="4" t="n">
        <v>46195</v>
      </c>
    </row>
    <row r="496" customFormat="false" ht="15" hidden="false" customHeight="false" outlineLevel="0" collapsed="false">
      <c r="A496" s="0" t="n">
        <f aca="false">IF(AND(ISNUMBER(B496),B496&gt;0,ISNUMBER(AB496),AB496&gt;0,J496&gt;=Data_Summary!$C$1),1,0)</f>
        <v>1</v>
      </c>
      <c r="B496" s="30" t="n">
        <v>558</v>
      </c>
      <c r="C496" s="5" t="n">
        <f aca="false">IF(ISNUMBER(AB496),AB496,"")</f>
        <v>2500</v>
      </c>
      <c r="D496" s="0" t="n">
        <f aca="false">IF(ISNUMBER(C496),C496-U496*Data_Summary!$C$2,"")</f>
        <v>2500</v>
      </c>
      <c r="E496" s="31" t="n">
        <f aca="false">IFERROR(C496/B496,"")</f>
        <v>4.48028673835125</v>
      </c>
      <c r="F496" s="26" t="n">
        <f aca="false">IFERROR(D496/B496,"")</f>
        <v>4.48028673835125</v>
      </c>
      <c r="G496" s="0" t="str">
        <f aca="false">Q496</f>
        <v>1</v>
      </c>
      <c r="H496" s="0" t="str">
        <f aca="false">IFERROR(LEFT(G496,1),"")</f>
        <v>1</v>
      </c>
      <c r="I496" s="0" t="n">
        <f aca="false">IF(LEN(G496)&gt;1,1,0)</f>
        <v>0</v>
      </c>
      <c r="J496" s="4" t="n">
        <v>46169</v>
      </c>
      <c r="K496" s="0" t="s">
        <v>12</v>
      </c>
      <c r="L496" s="0" t="s">
        <v>98</v>
      </c>
      <c r="M496" s="0" t="s">
        <v>226</v>
      </c>
      <c r="N496" s="0" t="s">
        <v>100</v>
      </c>
      <c r="O496" s="0" t="s">
        <v>847</v>
      </c>
      <c r="Q496" s="0" t="s">
        <v>242</v>
      </c>
      <c r="R496" s="0" t="n">
        <v>1</v>
      </c>
      <c r="S496" s="5" t="n">
        <v>558</v>
      </c>
      <c r="T496" s="0" t="s">
        <v>243</v>
      </c>
      <c r="U496" s="0" t="n">
        <v>0</v>
      </c>
      <c r="V496" s="0" t="s">
        <v>230</v>
      </c>
      <c r="W496" s="0" t="s">
        <v>244</v>
      </c>
      <c r="X496" s="0" t="s">
        <v>232</v>
      </c>
      <c r="Y496" s="0" t="s">
        <v>272</v>
      </c>
      <c r="Z496" s="0" t="s">
        <v>1550</v>
      </c>
      <c r="AA496" s="0" t="s">
        <v>235</v>
      </c>
      <c r="AB496" s="32" t="n">
        <v>2500</v>
      </c>
      <c r="AC496" s="32" t="n">
        <v>2600</v>
      </c>
      <c r="AD496" s="26" t="n">
        <f aca="false">IFERROR(AB496/B496,"")</f>
        <v>4.48028673835125</v>
      </c>
      <c r="AE496" s="26" t="n">
        <f aca="false">IFERROR(AC496/B496,"")</f>
        <v>4.65949820788531</v>
      </c>
      <c r="AF496" s="0" t="s">
        <v>236</v>
      </c>
      <c r="AG496" s="0" t="s">
        <v>236</v>
      </c>
      <c r="AH496" s="0" t="s">
        <v>236</v>
      </c>
      <c r="AI496" s="0" t="s">
        <v>349</v>
      </c>
      <c r="AJ496" s="0" t="s">
        <v>2442</v>
      </c>
      <c r="AK496" s="0" t="s">
        <v>2443</v>
      </c>
      <c r="AL496" s="0" t="s">
        <v>2444</v>
      </c>
      <c r="AM496" s="0" t="s">
        <v>94</v>
      </c>
      <c r="AN496" s="26" t="n">
        <f aca="false">IFERROR(E496*(1+IF(AM496="Apartment",Data_Summary!$C$3,0)),"")</f>
        <v>4.48028673835125</v>
      </c>
      <c r="AO496" s="4" t="n">
        <v>46195</v>
      </c>
    </row>
    <row r="497" customFormat="false" ht="15" hidden="false" customHeight="false" outlineLevel="0" collapsed="false">
      <c r="A497" s="0" t="n">
        <f aca="false">IF(AND(ISNUMBER(B497),B497&gt;0,ISNUMBER(AB497),AB497&gt;0,J497&gt;=Data_Summary!$C$1),1,0)</f>
        <v>1</v>
      </c>
      <c r="B497" s="30" t="n">
        <v>652</v>
      </c>
      <c r="C497" s="5" t="n">
        <f aca="false">IF(ISNUMBER(AB497),AB497,"")</f>
        <v>2650</v>
      </c>
      <c r="D497" s="0" t="n">
        <f aca="false">IF(ISNUMBER(C497),C497-U497*Data_Summary!$C$2,"")</f>
        <v>2650</v>
      </c>
      <c r="E497" s="31" t="n">
        <f aca="false">IFERROR(C497/B497,"")</f>
        <v>4.06441717791411</v>
      </c>
      <c r="F497" s="26" t="n">
        <f aca="false">IFERROR(D497/B497,"")</f>
        <v>4.06441717791411</v>
      </c>
      <c r="G497" s="0" t="str">
        <f aca="false">Q497</f>
        <v>1+1</v>
      </c>
      <c r="H497" s="0" t="str">
        <f aca="false">IFERROR(LEFT(G497,1),"")</f>
        <v>1</v>
      </c>
      <c r="I497" s="0" t="n">
        <f aca="false">IF(LEN(G497)&gt;1,1,0)</f>
        <v>1</v>
      </c>
      <c r="J497" s="4" t="n">
        <v>46165</v>
      </c>
      <c r="K497" s="0" t="s">
        <v>12</v>
      </c>
      <c r="L497" s="0" t="s">
        <v>98</v>
      </c>
      <c r="M497" s="0" t="s">
        <v>226</v>
      </c>
      <c r="N497" s="0" t="s">
        <v>100</v>
      </c>
      <c r="O497" s="0" t="s">
        <v>1057</v>
      </c>
      <c r="Q497" s="0" t="s">
        <v>270</v>
      </c>
      <c r="R497" s="0" t="n">
        <v>1</v>
      </c>
      <c r="S497" s="5" t="n">
        <v>652</v>
      </c>
      <c r="T497" s="0" t="s">
        <v>271</v>
      </c>
      <c r="U497" s="0" t="n">
        <v>0</v>
      </c>
      <c r="V497" s="0" t="s">
        <v>230</v>
      </c>
      <c r="W497" s="0" t="s">
        <v>244</v>
      </c>
      <c r="X497" s="0" t="s">
        <v>232</v>
      </c>
      <c r="Y497" s="0" t="s">
        <v>272</v>
      </c>
      <c r="Z497" s="0" t="s">
        <v>1550</v>
      </c>
      <c r="AA497" s="0" t="s">
        <v>235</v>
      </c>
      <c r="AB497" s="32" t="n">
        <v>2650</v>
      </c>
      <c r="AC497" s="32" t="n">
        <v>2750</v>
      </c>
      <c r="AD497" s="26" t="n">
        <f aca="false">IFERROR(AB497/B497,"")</f>
        <v>4.06441717791411</v>
      </c>
      <c r="AE497" s="26" t="n">
        <f aca="false">IFERROR(AC497/B497,"")</f>
        <v>4.21779141104295</v>
      </c>
      <c r="AF497" s="0" t="s">
        <v>236</v>
      </c>
      <c r="AG497" s="0" t="s">
        <v>236</v>
      </c>
      <c r="AH497" s="0" t="s">
        <v>236</v>
      </c>
      <c r="AI497" s="0" t="s">
        <v>368</v>
      </c>
      <c r="AJ497" s="0" t="s">
        <v>2445</v>
      </c>
      <c r="AK497" s="0" t="s">
        <v>2446</v>
      </c>
      <c r="AL497" s="0" t="s">
        <v>2447</v>
      </c>
      <c r="AM497" s="0" t="s">
        <v>94</v>
      </c>
      <c r="AN497" s="26" t="n">
        <f aca="false">IFERROR(E497*(1+IF(AM497="Apartment",Data_Summary!$C$3,0)),"")</f>
        <v>4.06441717791411</v>
      </c>
      <c r="AO497" s="4" t="n">
        <v>46195</v>
      </c>
    </row>
    <row r="498" customFormat="false" ht="15" hidden="false" customHeight="false" outlineLevel="0" collapsed="false">
      <c r="A498" s="0" t="n">
        <f aca="false">IF(AND(ISNUMBER(B498),B498&gt;0,ISNUMBER(AB498),AB498&gt;0,J498&gt;=Data_Summary!$C$1),1,0)</f>
        <v>1</v>
      </c>
      <c r="B498" s="33" t="n">
        <v>694</v>
      </c>
      <c r="C498" s="5" t="n">
        <f aca="false">IF(ISNUMBER(AB498),AB498,"")</f>
        <v>2700</v>
      </c>
      <c r="D498" s="0" t="n">
        <f aca="false">IF(ISNUMBER(C498),C498-U498*Data_Summary!$C$2,"")</f>
        <v>2700</v>
      </c>
      <c r="E498" s="34" t="n">
        <f aca="false">IFERROR(C498/B498,"")</f>
        <v>3.89048991354467</v>
      </c>
      <c r="F498" s="26" t="n">
        <f aca="false">IFERROR(D498/B498,"")</f>
        <v>3.89048991354467</v>
      </c>
      <c r="G498" s="0" t="str">
        <f aca="false">Q498</f>
        <v>1+1</v>
      </c>
      <c r="H498" s="0" t="str">
        <f aca="false">IFERROR(LEFT(G498,1),"")</f>
        <v>1</v>
      </c>
      <c r="I498" s="0" t="n">
        <f aca="false">IF(LEN(G498)&gt;1,1,0)</f>
        <v>1</v>
      </c>
      <c r="J498" s="4" t="n">
        <v>46149</v>
      </c>
      <c r="K498" s="0" t="s">
        <v>12</v>
      </c>
      <c r="L498" s="0" t="s">
        <v>98</v>
      </c>
      <c r="M498" s="0" t="s">
        <v>226</v>
      </c>
      <c r="N498" s="0" t="s">
        <v>100</v>
      </c>
      <c r="O498" s="0" t="s">
        <v>2448</v>
      </c>
      <c r="Q498" s="0" t="s">
        <v>270</v>
      </c>
      <c r="R498" s="0" t="n">
        <v>1</v>
      </c>
      <c r="S498" s="5" t="n">
        <v>694</v>
      </c>
      <c r="T498" s="0" t="s">
        <v>252</v>
      </c>
      <c r="U498" s="0" t="n">
        <v>0</v>
      </c>
      <c r="V498" s="0" t="s">
        <v>230</v>
      </c>
      <c r="W498" s="0" t="s">
        <v>244</v>
      </c>
      <c r="X498" s="0" t="s">
        <v>232</v>
      </c>
      <c r="Y498" s="0" t="s">
        <v>272</v>
      </c>
      <c r="Z498" s="0" t="s">
        <v>1550</v>
      </c>
      <c r="AA498" s="0" t="s">
        <v>235</v>
      </c>
      <c r="AB498" s="32" t="n">
        <v>2700</v>
      </c>
      <c r="AC498" s="32" t="n">
        <v>2700</v>
      </c>
      <c r="AD498" s="26" t="n">
        <f aca="false">IFERROR(AB498/B498,"")</f>
        <v>3.89048991354467</v>
      </c>
      <c r="AE498" s="26" t="n">
        <f aca="false">IFERROR(AC498/B498,"")</f>
        <v>3.89048991354467</v>
      </c>
      <c r="AF498" s="0" t="s">
        <v>236</v>
      </c>
      <c r="AG498" s="0" t="s">
        <v>236</v>
      </c>
      <c r="AH498" s="0" t="s">
        <v>236</v>
      </c>
      <c r="AI498" s="0" t="s">
        <v>1617</v>
      </c>
      <c r="AJ498" s="0" t="s">
        <v>2449</v>
      </c>
      <c r="AK498" s="0" t="s">
        <v>2450</v>
      </c>
      <c r="AL498" s="0" t="s">
        <v>2451</v>
      </c>
      <c r="AM498" s="0" t="s">
        <v>94</v>
      </c>
      <c r="AN498" s="26" t="n">
        <f aca="false">IFERROR(E498*(1+IF(AM498="Apartment",Data_Summary!$C$3,0)),"")</f>
        <v>3.89048991354467</v>
      </c>
      <c r="AO498" s="4" t="n">
        <v>46195</v>
      </c>
    </row>
    <row r="499" customFormat="false" ht="15" hidden="false" customHeight="false" outlineLevel="0" collapsed="false">
      <c r="A499" s="0" t="n">
        <f aca="false">IF(AND(ISNUMBER(B499),B499&gt;0,ISNUMBER(AB499),AB499&gt;0,J499&gt;=Data_Summary!$C$1),1,0)</f>
        <v>1</v>
      </c>
      <c r="B499" s="30" t="n">
        <v>965</v>
      </c>
      <c r="C499" s="5" t="n">
        <f aca="false">IF(ISNUMBER(AB499),AB499,"")</f>
        <v>4000</v>
      </c>
      <c r="D499" s="0" t="n">
        <f aca="false">IF(ISNUMBER(C499),C499-U499*Data_Summary!$C$2,"")</f>
        <v>3850</v>
      </c>
      <c r="E499" s="31" t="n">
        <f aca="false">IFERROR(C499/B499,"")</f>
        <v>4.14507772020725</v>
      </c>
      <c r="F499" s="26" t="n">
        <f aca="false">IFERROR(D499/B499,"")</f>
        <v>3.98963730569948</v>
      </c>
      <c r="G499" s="0" t="str">
        <f aca="false">Q499</f>
        <v>2+1</v>
      </c>
      <c r="H499" s="0" t="str">
        <f aca="false">IFERROR(LEFT(G499,1),"")</f>
        <v>2</v>
      </c>
      <c r="I499" s="0" t="n">
        <f aca="false">IF(LEN(G499)&gt;1,1,0)</f>
        <v>1</v>
      </c>
      <c r="J499" s="4" t="n">
        <v>46149</v>
      </c>
      <c r="K499" s="0" t="s">
        <v>12</v>
      </c>
      <c r="L499" s="0" t="s">
        <v>98</v>
      </c>
      <c r="M499" s="0" t="s">
        <v>226</v>
      </c>
      <c r="N499" s="0" t="s">
        <v>100</v>
      </c>
      <c r="O499" s="0" t="s">
        <v>2452</v>
      </c>
      <c r="Q499" s="0" t="s">
        <v>451</v>
      </c>
      <c r="R499" s="0" t="n">
        <v>2</v>
      </c>
      <c r="S499" s="5" t="n">
        <v>965</v>
      </c>
      <c r="T499" s="0" t="s">
        <v>259</v>
      </c>
      <c r="U499" s="0" t="n">
        <v>1</v>
      </c>
      <c r="V499" s="0" t="s">
        <v>230</v>
      </c>
      <c r="W499" s="0" t="s">
        <v>244</v>
      </c>
      <c r="X499" s="0" t="s">
        <v>232</v>
      </c>
      <c r="Y499" s="0" t="s">
        <v>245</v>
      </c>
      <c r="Z499" s="0" t="s">
        <v>1550</v>
      </c>
      <c r="AA499" s="0" t="s">
        <v>235</v>
      </c>
      <c r="AB499" s="32" t="n">
        <v>4000</v>
      </c>
      <c r="AC499" s="32" t="n">
        <v>4000</v>
      </c>
      <c r="AD499" s="26" t="n">
        <f aca="false">IFERROR(AB499/B499,"")</f>
        <v>4.14507772020725</v>
      </c>
      <c r="AE499" s="26" t="n">
        <f aca="false">IFERROR(AC499/B499,"")</f>
        <v>4.14507772020725</v>
      </c>
      <c r="AF499" s="0" t="s">
        <v>236</v>
      </c>
      <c r="AG499" s="0" t="s">
        <v>236</v>
      </c>
      <c r="AH499" s="0" t="s">
        <v>236</v>
      </c>
      <c r="AI499" s="0" t="s">
        <v>1617</v>
      </c>
      <c r="AJ499" s="0" t="s">
        <v>2453</v>
      </c>
      <c r="AK499" s="0" t="s">
        <v>2454</v>
      </c>
      <c r="AL499" s="0" t="s">
        <v>2455</v>
      </c>
      <c r="AM499" s="0" t="s">
        <v>94</v>
      </c>
      <c r="AN499" s="26" t="n">
        <f aca="false">IFERROR(E499*(1+IF(AM499="Apartment",Data_Summary!$C$3,0)),"")</f>
        <v>4.14507772020725</v>
      </c>
      <c r="AO499" s="4" t="n">
        <v>46195</v>
      </c>
    </row>
    <row r="500" customFormat="false" ht="15" hidden="false" customHeight="false" outlineLevel="0" collapsed="false">
      <c r="A500" s="0" t="n">
        <f aca="false">IF(AND(ISNUMBER(B500),B500&gt;0,ISNUMBER(AB500),AB500&gt;0,J500&gt;=Data_Summary!$C$1),1,0)</f>
        <v>1</v>
      </c>
      <c r="B500" s="30" t="n">
        <v>660</v>
      </c>
      <c r="C500" s="5" t="n">
        <f aca="false">IF(ISNUMBER(AB500),AB500,"")</f>
        <v>2750</v>
      </c>
      <c r="D500" s="0" t="n">
        <f aca="false">IF(ISNUMBER(C500),C500-U500*Data_Summary!$C$2,"")</f>
        <v>2750</v>
      </c>
      <c r="E500" s="31" t="n">
        <f aca="false">IFERROR(C500/B500,"")</f>
        <v>4.16666666666667</v>
      </c>
      <c r="F500" s="26" t="n">
        <f aca="false">IFERROR(D500/B500,"")</f>
        <v>4.16666666666667</v>
      </c>
      <c r="G500" s="0" t="str">
        <f aca="false">Q500</f>
        <v>1+1</v>
      </c>
      <c r="H500" s="0" t="str">
        <f aca="false">IFERROR(LEFT(G500,1),"")</f>
        <v>1</v>
      </c>
      <c r="I500" s="0" t="n">
        <f aca="false">IF(LEN(G500)&gt;1,1,0)</f>
        <v>1</v>
      </c>
      <c r="J500" s="4" t="n">
        <v>46141</v>
      </c>
      <c r="K500" s="0" t="s">
        <v>12</v>
      </c>
      <c r="L500" s="0" t="s">
        <v>98</v>
      </c>
      <c r="M500" s="0" t="s">
        <v>226</v>
      </c>
      <c r="N500" s="0" t="s">
        <v>100</v>
      </c>
      <c r="O500" s="0" t="s">
        <v>2456</v>
      </c>
      <c r="Q500" s="0" t="s">
        <v>270</v>
      </c>
      <c r="R500" s="0" t="n">
        <v>2</v>
      </c>
      <c r="S500" s="5" t="n">
        <v>660</v>
      </c>
      <c r="T500" s="0" t="s">
        <v>271</v>
      </c>
      <c r="U500" s="0" t="n">
        <v>0</v>
      </c>
      <c r="V500" s="0" t="s">
        <v>230</v>
      </c>
      <c r="W500" s="0" t="s">
        <v>231</v>
      </c>
      <c r="X500" s="0" t="s">
        <v>232</v>
      </c>
      <c r="Y500" s="0" t="s">
        <v>272</v>
      </c>
      <c r="Z500" s="0" t="s">
        <v>1550</v>
      </c>
      <c r="AA500" s="0" t="s">
        <v>235</v>
      </c>
      <c r="AB500" s="32" t="n">
        <v>2750</v>
      </c>
      <c r="AC500" s="32" t="n">
        <v>2750</v>
      </c>
      <c r="AD500" s="26" t="n">
        <f aca="false">IFERROR(AB500/B500,"")</f>
        <v>4.16666666666667</v>
      </c>
      <c r="AE500" s="26" t="n">
        <f aca="false">IFERROR(AC500/B500,"")</f>
        <v>4.16666666666667</v>
      </c>
      <c r="AF500" s="0" t="s">
        <v>236</v>
      </c>
      <c r="AG500" s="0" t="s">
        <v>236</v>
      </c>
      <c r="AH500" s="0" t="s">
        <v>236</v>
      </c>
      <c r="AI500" s="0" t="s">
        <v>1634</v>
      </c>
      <c r="AJ500" s="0" t="s">
        <v>2457</v>
      </c>
      <c r="AK500" s="0" t="s">
        <v>2458</v>
      </c>
      <c r="AL500" s="0" t="s">
        <v>2459</v>
      </c>
      <c r="AM500" s="0" t="s">
        <v>94</v>
      </c>
      <c r="AN500" s="26" t="n">
        <f aca="false">IFERROR(E500*(1+IF(AM500="Apartment",Data_Summary!$C$3,0)),"")</f>
        <v>4.16666666666667</v>
      </c>
      <c r="AO500" s="4" t="n">
        <v>46195</v>
      </c>
    </row>
    <row r="501" customFormat="false" ht="15" hidden="false" customHeight="false" outlineLevel="0" collapsed="false">
      <c r="A501" s="0" t="n">
        <f aca="false">IF(AND(ISNUMBER(B501),B501&gt;0,ISNUMBER(AB501),AB501&gt;0,J501&gt;=Data_Summary!$C$1),1,0)</f>
        <v>1</v>
      </c>
      <c r="B501" s="30" t="n">
        <v>531</v>
      </c>
      <c r="C501" s="5" t="n">
        <f aca="false">IF(ISNUMBER(AB501),AB501,"")</f>
        <v>2400</v>
      </c>
      <c r="D501" s="0" t="n">
        <f aca="false">IF(ISNUMBER(C501),C501-U501*Data_Summary!$C$2,"")</f>
        <v>2400</v>
      </c>
      <c r="E501" s="31" t="n">
        <f aca="false">IFERROR(C501/B501,"")</f>
        <v>4.51977401129944</v>
      </c>
      <c r="F501" s="26" t="n">
        <f aca="false">IFERROR(D501/B501,"")</f>
        <v>4.51977401129944</v>
      </c>
      <c r="G501" s="0" t="str">
        <f aca="false">Q501</f>
        <v>1</v>
      </c>
      <c r="H501" s="0" t="str">
        <f aca="false">IFERROR(LEFT(G501,1),"")</f>
        <v>1</v>
      </c>
      <c r="I501" s="0" t="n">
        <f aca="false">IF(LEN(G501)&gt;1,1,0)</f>
        <v>0</v>
      </c>
      <c r="J501" s="4" t="n">
        <v>46137</v>
      </c>
      <c r="K501" s="0" t="s">
        <v>12</v>
      </c>
      <c r="L501" s="0" t="s">
        <v>98</v>
      </c>
      <c r="M501" s="0" t="s">
        <v>226</v>
      </c>
      <c r="N501" s="0" t="s">
        <v>100</v>
      </c>
      <c r="O501" s="0" t="s">
        <v>2460</v>
      </c>
      <c r="Q501" s="0" t="s">
        <v>242</v>
      </c>
      <c r="R501" s="0" t="n">
        <v>1</v>
      </c>
      <c r="S501" s="5" t="n">
        <v>531</v>
      </c>
      <c r="T501" s="0" t="s">
        <v>243</v>
      </c>
      <c r="U501" s="0" t="n">
        <v>0</v>
      </c>
      <c r="V501" s="0" t="s">
        <v>230</v>
      </c>
      <c r="W501" s="0" t="s">
        <v>244</v>
      </c>
      <c r="X501" s="0" t="s">
        <v>232</v>
      </c>
      <c r="Y501" s="0" t="s">
        <v>272</v>
      </c>
      <c r="Z501" s="0" t="s">
        <v>1550</v>
      </c>
      <c r="AA501" s="0" t="s">
        <v>235</v>
      </c>
      <c r="AB501" s="32" t="n">
        <v>2400</v>
      </c>
      <c r="AC501" s="32" t="n">
        <v>2400</v>
      </c>
      <c r="AD501" s="26" t="n">
        <f aca="false">IFERROR(AB501/B501,"")</f>
        <v>4.51977401129944</v>
      </c>
      <c r="AE501" s="26" t="n">
        <f aca="false">IFERROR(AC501/B501,"")</f>
        <v>4.51977401129944</v>
      </c>
      <c r="AF501" s="0" t="s">
        <v>236</v>
      </c>
      <c r="AG501" s="0" t="s">
        <v>236</v>
      </c>
      <c r="AH501" s="0" t="s">
        <v>236</v>
      </c>
      <c r="AI501" s="0" t="s">
        <v>1648</v>
      </c>
      <c r="AJ501" s="0" t="s">
        <v>2461</v>
      </c>
      <c r="AK501" s="0" t="s">
        <v>2462</v>
      </c>
      <c r="AL501" s="0" t="s">
        <v>2463</v>
      </c>
      <c r="AM501" s="0" t="s">
        <v>94</v>
      </c>
      <c r="AN501" s="26" t="n">
        <f aca="false">IFERROR(E501*(1+IF(AM501="Apartment",Data_Summary!$C$3,0)),"")</f>
        <v>4.51977401129944</v>
      </c>
      <c r="AO501" s="4" t="n">
        <v>46195</v>
      </c>
    </row>
    <row r="502" customFormat="false" ht="15" hidden="false" customHeight="false" outlineLevel="0" collapsed="false">
      <c r="A502" s="0" t="n">
        <f aca="false">IF(AND(ISNUMBER(B502),B502&gt;0,ISNUMBER(AB502),AB502&gt;0,J502&gt;=Data_Summary!$C$1),1,0)</f>
        <v>1</v>
      </c>
      <c r="B502" s="30" t="n">
        <v>927</v>
      </c>
      <c r="C502" s="5" t="n">
        <f aca="false">IF(ISNUMBER(AB502),AB502,"")</f>
        <v>3950</v>
      </c>
      <c r="D502" s="0" t="n">
        <f aca="false">IF(ISNUMBER(C502),C502-U502*Data_Summary!$C$2,"")</f>
        <v>3800</v>
      </c>
      <c r="E502" s="31" t="n">
        <f aca="false">IFERROR(C502/B502,"")</f>
        <v>4.26105717367853</v>
      </c>
      <c r="F502" s="26" t="n">
        <f aca="false">IFERROR(D502/B502,"")</f>
        <v>4.09924487594391</v>
      </c>
      <c r="G502" s="0" t="str">
        <f aca="false">Q502</f>
        <v>2</v>
      </c>
      <c r="H502" s="0" t="str">
        <f aca="false">IFERROR(LEFT(G502,1),"")</f>
        <v>2</v>
      </c>
      <c r="I502" s="0" t="n">
        <f aca="false">IF(LEN(G502)&gt;1,1,0)</f>
        <v>0</v>
      </c>
      <c r="J502" s="4" t="n">
        <v>46134</v>
      </c>
      <c r="K502" s="0" t="s">
        <v>12</v>
      </c>
      <c r="L502" s="0" t="s">
        <v>98</v>
      </c>
      <c r="M502" s="0" t="s">
        <v>226</v>
      </c>
      <c r="N502" s="0" t="s">
        <v>100</v>
      </c>
      <c r="O502" s="0" t="s">
        <v>2464</v>
      </c>
      <c r="Q502" s="0" t="s">
        <v>251</v>
      </c>
      <c r="R502" s="0" t="n">
        <v>2</v>
      </c>
      <c r="S502" s="5" t="n">
        <v>927</v>
      </c>
      <c r="T502" s="0" t="s">
        <v>259</v>
      </c>
      <c r="U502" s="0" t="n">
        <v>1</v>
      </c>
      <c r="V502" s="0" t="s">
        <v>230</v>
      </c>
      <c r="W502" s="0" t="s">
        <v>244</v>
      </c>
      <c r="X502" s="0" t="s">
        <v>232</v>
      </c>
      <c r="Y502" s="0" t="s">
        <v>278</v>
      </c>
      <c r="Z502" s="0" t="s">
        <v>1550</v>
      </c>
      <c r="AA502" s="0" t="s">
        <v>235</v>
      </c>
      <c r="AB502" s="32" t="n">
        <v>3950</v>
      </c>
      <c r="AC502" s="32" t="n">
        <v>4000</v>
      </c>
      <c r="AD502" s="26" t="n">
        <f aca="false">IFERROR(AB502/B502,"")</f>
        <v>4.26105717367853</v>
      </c>
      <c r="AE502" s="26" t="n">
        <f aca="false">IFERROR(AC502/B502,"")</f>
        <v>4.31499460625674</v>
      </c>
      <c r="AF502" s="0" t="s">
        <v>236</v>
      </c>
      <c r="AG502" s="0" t="s">
        <v>236</v>
      </c>
      <c r="AH502" s="0" t="s">
        <v>236</v>
      </c>
      <c r="AI502" s="0" t="s">
        <v>1661</v>
      </c>
      <c r="AJ502" s="0" t="s">
        <v>2465</v>
      </c>
      <c r="AK502" s="0" t="s">
        <v>2466</v>
      </c>
      <c r="AL502" s="0" t="s">
        <v>2467</v>
      </c>
      <c r="AM502" s="0" t="s">
        <v>94</v>
      </c>
      <c r="AN502" s="26" t="n">
        <f aca="false">IFERROR(E502*(1+IF(AM502="Apartment",Data_Summary!$C$3,0)),"")</f>
        <v>4.26105717367853</v>
      </c>
      <c r="AO502" s="4" t="n">
        <v>46195</v>
      </c>
    </row>
    <row r="503" customFormat="false" ht="15" hidden="false" customHeight="false" outlineLevel="0" collapsed="false">
      <c r="A503" s="0" t="n">
        <f aca="false">IF(AND(ISNUMBER(B503),B503&gt;0,ISNUMBER(AB503),AB503&gt;0,J503&gt;=Data_Summary!$C$1),1,0)</f>
        <v>1</v>
      </c>
      <c r="B503" s="30" t="n">
        <v>652</v>
      </c>
      <c r="C503" s="5" t="n">
        <f aca="false">IF(ISNUMBER(AB503),AB503,"")</f>
        <v>2650</v>
      </c>
      <c r="D503" s="0" t="n">
        <f aca="false">IF(ISNUMBER(C503),C503-U503*Data_Summary!$C$2,"")</f>
        <v>2650</v>
      </c>
      <c r="E503" s="31" t="n">
        <f aca="false">IFERROR(C503/B503,"")</f>
        <v>4.06441717791411</v>
      </c>
      <c r="F503" s="26" t="n">
        <f aca="false">IFERROR(D503/B503,"")</f>
        <v>4.06441717791411</v>
      </c>
      <c r="G503" s="0" t="str">
        <f aca="false">Q503</f>
        <v>1+1</v>
      </c>
      <c r="H503" s="0" t="str">
        <f aca="false">IFERROR(LEFT(G503,1),"")</f>
        <v>1</v>
      </c>
      <c r="I503" s="0" t="n">
        <f aca="false">IF(LEN(G503)&gt;1,1,0)</f>
        <v>1</v>
      </c>
      <c r="J503" s="4" t="n">
        <v>46133</v>
      </c>
      <c r="K503" s="0" t="s">
        <v>12</v>
      </c>
      <c r="L503" s="0" t="s">
        <v>98</v>
      </c>
      <c r="M503" s="0" t="s">
        <v>226</v>
      </c>
      <c r="N503" s="0" t="s">
        <v>100</v>
      </c>
      <c r="O503" s="0" t="s">
        <v>2468</v>
      </c>
      <c r="Q503" s="0" t="s">
        <v>270</v>
      </c>
      <c r="R503" s="0" t="n">
        <v>1</v>
      </c>
      <c r="S503" s="5" t="n">
        <v>652</v>
      </c>
      <c r="T503" s="0" t="s">
        <v>271</v>
      </c>
      <c r="U503" s="0" t="n">
        <v>0</v>
      </c>
      <c r="V503" s="0" t="s">
        <v>230</v>
      </c>
      <c r="W503" s="0" t="s">
        <v>244</v>
      </c>
      <c r="X503" s="0" t="s">
        <v>232</v>
      </c>
      <c r="Y503" s="0" t="s">
        <v>272</v>
      </c>
      <c r="Z503" s="0" t="s">
        <v>1550</v>
      </c>
      <c r="AA503" s="0" t="s">
        <v>235</v>
      </c>
      <c r="AB503" s="32" t="n">
        <v>2650</v>
      </c>
      <c r="AC503" s="32" t="n">
        <v>2650</v>
      </c>
      <c r="AD503" s="26" t="n">
        <f aca="false">IFERROR(AB503/B503,"")</f>
        <v>4.06441717791411</v>
      </c>
      <c r="AE503" s="26" t="n">
        <f aca="false">IFERROR(AC503/B503,"")</f>
        <v>4.06441717791411</v>
      </c>
      <c r="AF503" s="0" t="s">
        <v>236</v>
      </c>
      <c r="AG503" s="0" t="s">
        <v>236</v>
      </c>
      <c r="AH503" s="0" t="s">
        <v>236</v>
      </c>
      <c r="AI503" s="0" t="s">
        <v>1666</v>
      </c>
      <c r="AJ503" s="0" t="s">
        <v>2469</v>
      </c>
      <c r="AK503" s="0" t="s">
        <v>2470</v>
      </c>
      <c r="AL503" s="0" t="s">
        <v>2471</v>
      </c>
      <c r="AM503" s="0" t="s">
        <v>94</v>
      </c>
      <c r="AN503" s="26" t="n">
        <f aca="false">IFERROR(E503*(1+IF(AM503="Apartment",Data_Summary!$C$3,0)),"")</f>
        <v>4.06441717791411</v>
      </c>
      <c r="AO503" s="4" t="n">
        <v>46195</v>
      </c>
    </row>
    <row r="504" customFormat="false" ht="15" hidden="false" customHeight="false" outlineLevel="0" collapsed="false">
      <c r="A504" s="0" t="n">
        <f aca="false">IF(AND(ISNUMBER(B504),B504&gt;0,ISNUMBER(AB504),AB504&gt;0,J504&gt;=Data_Summary!$C$1),1,0)</f>
        <v>1</v>
      </c>
      <c r="B504" s="30" t="n">
        <v>509</v>
      </c>
      <c r="C504" s="5" t="n">
        <f aca="false">IF(ISNUMBER(AB504),AB504,"")</f>
        <v>2800</v>
      </c>
      <c r="D504" s="0" t="n">
        <f aca="false">IF(ISNUMBER(C504),C504-U504*Data_Summary!$C$2,"")</f>
        <v>2800</v>
      </c>
      <c r="E504" s="31" t="n">
        <f aca="false">IFERROR(C504/B504,"")</f>
        <v>5.50098231827112</v>
      </c>
      <c r="F504" s="26" t="n">
        <f aca="false">IFERROR(D504/B504,"")</f>
        <v>5.50098231827112</v>
      </c>
      <c r="G504" s="0" t="str">
        <f aca="false">Q504</f>
        <v>1</v>
      </c>
      <c r="H504" s="0" t="str">
        <f aca="false">IFERROR(LEFT(G504,1),"")</f>
        <v>1</v>
      </c>
      <c r="I504" s="0" t="n">
        <f aca="false">IF(LEN(G504)&gt;1,1,0)</f>
        <v>0</v>
      </c>
      <c r="J504" s="4" t="n">
        <v>46133</v>
      </c>
      <c r="K504" s="0" t="s">
        <v>12</v>
      </c>
      <c r="L504" s="0" t="s">
        <v>98</v>
      </c>
      <c r="M504" s="0" t="s">
        <v>226</v>
      </c>
      <c r="N504" s="0" t="s">
        <v>100</v>
      </c>
      <c r="O504" s="0" t="s">
        <v>1682</v>
      </c>
      <c r="Q504" s="0" t="s">
        <v>242</v>
      </c>
      <c r="R504" s="0" t="n">
        <v>1</v>
      </c>
      <c r="S504" s="5" t="n">
        <v>509</v>
      </c>
      <c r="T504" s="0" t="s">
        <v>243</v>
      </c>
      <c r="U504" s="0" t="n">
        <v>0</v>
      </c>
      <c r="V504" s="0" t="s">
        <v>230</v>
      </c>
      <c r="W504" s="0" t="s">
        <v>231</v>
      </c>
      <c r="Y504" s="0" t="s">
        <v>253</v>
      </c>
      <c r="Z504" s="0" t="s">
        <v>1550</v>
      </c>
      <c r="AA504" s="0" t="s">
        <v>235</v>
      </c>
      <c r="AB504" s="32" t="n">
        <v>2800</v>
      </c>
      <c r="AC504" s="32" t="n">
        <v>2750</v>
      </c>
      <c r="AD504" s="26" t="n">
        <f aca="false">IFERROR(AB504/B504,"")</f>
        <v>5.50098231827112</v>
      </c>
      <c r="AE504" s="26" t="n">
        <f aca="false">IFERROR(AC504/B504,"")</f>
        <v>5.40275049115914</v>
      </c>
      <c r="AF504" s="0" t="s">
        <v>236</v>
      </c>
      <c r="AG504" s="0" t="s">
        <v>236</v>
      </c>
      <c r="AH504" s="0" t="s">
        <v>236</v>
      </c>
      <c r="AI504" s="0" t="s">
        <v>1666</v>
      </c>
      <c r="AJ504" s="0" t="s">
        <v>2472</v>
      </c>
      <c r="AK504" s="0" t="s">
        <v>2473</v>
      </c>
      <c r="AL504" s="0" t="s">
        <v>2474</v>
      </c>
      <c r="AM504" s="0" t="s">
        <v>94</v>
      </c>
      <c r="AN504" s="26" t="n">
        <f aca="false">IFERROR(E504*(1+IF(AM504="Apartment",Data_Summary!$C$3,0)),"")</f>
        <v>5.50098231827112</v>
      </c>
      <c r="AO504" s="4" t="n">
        <v>46195</v>
      </c>
    </row>
    <row r="505" customFormat="false" ht="15" hidden="false" customHeight="false" outlineLevel="0" collapsed="false">
      <c r="A505" s="0" t="n">
        <f aca="false">IF(AND(ISNUMBER(B505),B505&gt;0,ISNUMBER(AB505),AB505&gt;0,J505&gt;=Data_Summary!$C$1),1,0)</f>
        <v>1</v>
      </c>
      <c r="B505" s="30" t="n">
        <v>965</v>
      </c>
      <c r="C505" s="5" t="n">
        <f aca="false">IF(ISNUMBER(AB505),AB505,"")</f>
        <v>3900</v>
      </c>
      <c r="D505" s="0" t="n">
        <f aca="false">IF(ISNUMBER(C505),C505-U505*Data_Summary!$C$2,"")</f>
        <v>3750</v>
      </c>
      <c r="E505" s="31" t="n">
        <f aca="false">IFERROR(C505/B505,"")</f>
        <v>4.04145077720207</v>
      </c>
      <c r="F505" s="26" t="n">
        <f aca="false">IFERROR(D505/B505,"")</f>
        <v>3.8860103626943</v>
      </c>
      <c r="G505" s="0" t="str">
        <f aca="false">Q505</f>
        <v>2</v>
      </c>
      <c r="H505" s="0" t="str">
        <f aca="false">IFERROR(LEFT(G505,1),"")</f>
        <v>2</v>
      </c>
      <c r="I505" s="0" t="n">
        <f aca="false">IF(LEN(G505)&gt;1,1,0)</f>
        <v>0</v>
      </c>
      <c r="J505" s="4" t="n">
        <v>46124</v>
      </c>
      <c r="K505" s="0" t="s">
        <v>12</v>
      </c>
      <c r="L505" s="0" t="s">
        <v>98</v>
      </c>
      <c r="M505" s="0" t="s">
        <v>226</v>
      </c>
      <c r="N505" s="0" t="s">
        <v>100</v>
      </c>
      <c r="O505" s="0" t="s">
        <v>2475</v>
      </c>
      <c r="Q505" s="0" t="s">
        <v>251</v>
      </c>
      <c r="R505" s="0" t="n">
        <v>2</v>
      </c>
      <c r="S505" s="5" t="n">
        <v>965</v>
      </c>
      <c r="T505" s="0" t="s">
        <v>259</v>
      </c>
      <c r="U505" s="0" t="n">
        <v>1</v>
      </c>
      <c r="V505" s="0" t="s">
        <v>230</v>
      </c>
      <c r="W505" s="0" t="s">
        <v>244</v>
      </c>
      <c r="X505" s="0" t="s">
        <v>232</v>
      </c>
      <c r="Y505" s="0" t="s">
        <v>245</v>
      </c>
      <c r="Z505" s="0" t="s">
        <v>1550</v>
      </c>
      <c r="AA505" s="0" t="s">
        <v>235</v>
      </c>
      <c r="AB505" s="32" t="n">
        <v>3900</v>
      </c>
      <c r="AC505" s="32" t="n">
        <v>3900</v>
      </c>
      <c r="AD505" s="26" t="n">
        <f aca="false">IFERROR(AB505/B505,"")</f>
        <v>4.04145077720207</v>
      </c>
      <c r="AE505" s="26" t="n">
        <f aca="false">IFERROR(AC505/B505,"")</f>
        <v>4.04145077720207</v>
      </c>
      <c r="AF505" s="0" t="s">
        <v>236</v>
      </c>
      <c r="AG505" s="0" t="s">
        <v>236</v>
      </c>
      <c r="AH505" s="0" t="s">
        <v>230</v>
      </c>
      <c r="AI505" s="0" t="s">
        <v>2476</v>
      </c>
      <c r="AJ505" s="0" t="s">
        <v>2477</v>
      </c>
      <c r="AK505" s="0" t="s">
        <v>2478</v>
      </c>
      <c r="AL505" s="0" t="s">
        <v>2479</v>
      </c>
      <c r="AM505" s="0" t="s">
        <v>94</v>
      </c>
      <c r="AN505" s="26" t="n">
        <f aca="false">IFERROR(E505*(1+IF(AM505="Apartment",Data_Summary!$C$3,0)),"")</f>
        <v>4.04145077720207</v>
      </c>
      <c r="AO505" s="4" t="n">
        <v>46195</v>
      </c>
    </row>
    <row r="506" customFormat="false" ht="15" hidden="false" customHeight="false" outlineLevel="0" collapsed="false">
      <c r="A506" s="0" t="n">
        <f aca="false">IF(AND(ISNUMBER(B506),B506&gt;0,ISNUMBER(AB506),AB506&gt;0,J506&gt;=Data_Summary!$C$1),1,0)</f>
        <v>1</v>
      </c>
      <c r="B506" s="33" t="n">
        <v>1468</v>
      </c>
      <c r="C506" s="5" t="n">
        <f aca="false">IF(ISNUMBER(AB506),AB506,"")</f>
        <v>8000</v>
      </c>
      <c r="D506" s="0" t="n">
        <f aca="false">IF(ISNUMBER(C506),C506-U506*Data_Summary!$C$2,"")</f>
        <v>7850</v>
      </c>
      <c r="E506" s="34" t="n">
        <f aca="false">IFERROR(C506/B506,"")</f>
        <v>5.44959128065395</v>
      </c>
      <c r="F506" s="26" t="n">
        <f aca="false">IFERROR(D506/B506,"")</f>
        <v>5.34741144414169</v>
      </c>
      <c r="G506" s="0" t="str">
        <f aca="false">Q506</f>
        <v>2+1</v>
      </c>
      <c r="H506" s="0" t="str">
        <f aca="false">IFERROR(LEFT(G506,1),"")</f>
        <v>2</v>
      </c>
      <c r="I506" s="0" t="n">
        <f aca="false">IF(LEN(G506)&gt;1,1,0)</f>
        <v>1</v>
      </c>
      <c r="J506" s="4" t="n">
        <v>46121</v>
      </c>
      <c r="K506" s="0" t="s">
        <v>12</v>
      </c>
      <c r="L506" s="0" t="s">
        <v>98</v>
      </c>
      <c r="M506" s="0" t="s">
        <v>226</v>
      </c>
      <c r="N506" s="0" t="s">
        <v>100</v>
      </c>
      <c r="O506" s="0" t="s">
        <v>773</v>
      </c>
      <c r="Q506" s="0" t="s">
        <v>451</v>
      </c>
      <c r="R506" s="0" t="n">
        <v>3</v>
      </c>
      <c r="S506" s="5" t="n">
        <v>1468</v>
      </c>
      <c r="T506" s="0" t="s">
        <v>2480</v>
      </c>
      <c r="U506" s="0" t="n">
        <v>1</v>
      </c>
      <c r="V506" s="0" t="s">
        <v>230</v>
      </c>
      <c r="W506" s="0" t="s">
        <v>231</v>
      </c>
      <c r="X506" s="0" t="s">
        <v>232</v>
      </c>
      <c r="Y506" s="0" t="s">
        <v>233</v>
      </c>
      <c r="Z506" s="0" t="s">
        <v>1550</v>
      </c>
      <c r="AA506" s="0" t="s">
        <v>235</v>
      </c>
      <c r="AB506" s="32" t="n">
        <v>8000</v>
      </c>
      <c r="AC506" s="32" t="n">
        <v>8000</v>
      </c>
      <c r="AD506" s="26" t="n">
        <f aca="false">IFERROR(AB506/B506,"")</f>
        <v>5.44959128065395</v>
      </c>
      <c r="AE506" s="26" t="n">
        <f aca="false">IFERROR(AC506/B506,"")</f>
        <v>5.44959128065395</v>
      </c>
      <c r="AF506" s="0" t="s">
        <v>230</v>
      </c>
      <c r="AG506" s="0" t="s">
        <v>236</v>
      </c>
      <c r="AH506" s="0" t="s">
        <v>236</v>
      </c>
      <c r="AI506" s="0" t="s">
        <v>1705</v>
      </c>
      <c r="AJ506" s="0" t="s">
        <v>2481</v>
      </c>
      <c r="AK506" s="0" t="s">
        <v>2482</v>
      </c>
      <c r="AL506" s="0" t="s">
        <v>2483</v>
      </c>
      <c r="AM506" s="0" t="s">
        <v>94</v>
      </c>
      <c r="AN506" s="26" t="n">
        <f aca="false">IFERROR(E506*(1+IF(AM506="Apartment",Data_Summary!$C$3,0)),"")</f>
        <v>5.44959128065395</v>
      </c>
      <c r="AO506" s="4" t="n">
        <v>46195</v>
      </c>
    </row>
    <row r="507" customFormat="false" ht="15" hidden="false" customHeight="false" outlineLevel="0" collapsed="false">
      <c r="A507" s="0" t="n">
        <f aca="false">IF(AND(ISNUMBER(B507),B507&gt;0,ISNUMBER(AB507),AB507&gt;0,J507&gt;=Data_Summary!$C$1),1,0)</f>
        <v>1</v>
      </c>
      <c r="B507" s="30" t="n">
        <v>558</v>
      </c>
      <c r="C507" s="5" t="n">
        <f aca="false">IF(ISNUMBER(AB507),AB507,"")</f>
        <v>2575</v>
      </c>
      <c r="D507" s="0" t="n">
        <f aca="false">IF(ISNUMBER(C507),C507-U507*Data_Summary!$C$2,"")</f>
        <v>2575</v>
      </c>
      <c r="E507" s="31" t="n">
        <f aca="false">IFERROR(C507/B507,"")</f>
        <v>4.61469534050179</v>
      </c>
      <c r="F507" s="26" t="n">
        <f aca="false">IFERROR(D507/B507,"")</f>
        <v>4.61469534050179</v>
      </c>
      <c r="G507" s="0" t="str">
        <f aca="false">Q507</f>
        <v>1</v>
      </c>
      <c r="H507" s="0" t="str">
        <f aca="false">IFERROR(LEFT(G507,1),"")</f>
        <v>1</v>
      </c>
      <c r="I507" s="0" t="n">
        <f aca="false">IF(LEN(G507)&gt;1,1,0)</f>
        <v>0</v>
      </c>
      <c r="J507" s="4" t="n">
        <v>46099</v>
      </c>
      <c r="K507" s="0" t="s">
        <v>12</v>
      </c>
      <c r="L507" s="0" t="s">
        <v>98</v>
      </c>
      <c r="M507" s="0" t="s">
        <v>226</v>
      </c>
      <c r="N507" s="0" t="s">
        <v>100</v>
      </c>
      <c r="O507" s="0" t="s">
        <v>1891</v>
      </c>
      <c r="Q507" s="0" t="s">
        <v>242</v>
      </c>
      <c r="R507" s="0" t="n">
        <v>1</v>
      </c>
      <c r="S507" s="5" t="n">
        <v>558</v>
      </c>
      <c r="T507" s="0" t="s">
        <v>243</v>
      </c>
      <c r="U507" s="0" t="n">
        <v>0</v>
      </c>
      <c r="V507" s="0" t="s">
        <v>230</v>
      </c>
      <c r="W507" s="0" t="s">
        <v>244</v>
      </c>
      <c r="X507" s="0" t="s">
        <v>232</v>
      </c>
      <c r="Y507" s="0" t="s">
        <v>272</v>
      </c>
      <c r="Z507" s="0" t="s">
        <v>1550</v>
      </c>
      <c r="AA507" s="0" t="s">
        <v>235</v>
      </c>
      <c r="AB507" s="32" t="n">
        <v>2575</v>
      </c>
      <c r="AC507" s="32" t="n">
        <v>2575</v>
      </c>
      <c r="AD507" s="26" t="n">
        <f aca="false">IFERROR(AB507/B507,"")</f>
        <v>4.61469534050179</v>
      </c>
      <c r="AE507" s="26" t="n">
        <f aca="false">IFERROR(AC507/B507,"")</f>
        <v>4.61469534050179</v>
      </c>
      <c r="AF507" s="0" t="s">
        <v>236</v>
      </c>
      <c r="AG507" s="0" t="s">
        <v>236</v>
      </c>
      <c r="AH507" s="0" t="s">
        <v>236</v>
      </c>
      <c r="AI507" s="0" t="s">
        <v>521</v>
      </c>
      <c r="AJ507" s="0" t="s">
        <v>2484</v>
      </c>
      <c r="AK507" s="0" t="s">
        <v>2485</v>
      </c>
      <c r="AL507" s="0" t="s">
        <v>2486</v>
      </c>
      <c r="AM507" s="0" t="s">
        <v>94</v>
      </c>
      <c r="AN507" s="26" t="n">
        <f aca="false">IFERROR(E507*(1+IF(AM507="Apartment",Data_Summary!$C$3,0)),"")</f>
        <v>4.61469534050179</v>
      </c>
      <c r="AO507" s="4" t="n">
        <v>46195</v>
      </c>
    </row>
    <row r="508" customFormat="false" ht="15" hidden="false" customHeight="false" outlineLevel="0" collapsed="false">
      <c r="A508" s="0" t="n">
        <f aca="false">IF(AND(ISNUMBER(B508),B508&gt;0,ISNUMBER(AB508),AB508&gt;0,J508&gt;=Data_Summary!$C$1),1,0)</f>
        <v>1</v>
      </c>
      <c r="B508" s="30" t="n">
        <v>660</v>
      </c>
      <c r="C508" s="5" t="n">
        <f aca="false">IF(ISNUMBER(AB508),AB508,"")</f>
        <v>2750</v>
      </c>
      <c r="D508" s="0" t="n">
        <f aca="false">IF(ISNUMBER(C508),C508-U508*Data_Summary!$C$2,"")</f>
        <v>2750</v>
      </c>
      <c r="E508" s="31" t="n">
        <f aca="false">IFERROR(C508/B508,"")</f>
        <v>4.16666666666667</v>
      </c>
      <c r="F508" s="26" t="n">
        <f aca="false">IFERROR(D508/B508,"")</f>
        <v>4.16666666666667</v>
      </c>
      <c r="G508" s="0" t="str">
        <f aca="false">Q508</f>
        <v>1+1</v>
      </c>
      <c r="H508" s="0" t="str">
        <f aca="false">IFERROR(LEFT(G508,1),"")</f>
        <v>1</v>
      </c>
      <c r="I508" s="0" t="n">
        <f aca="false">IF(LEN(G508)&gt;1,1,0)</f>
        <v>1</v>
      </c>
      <c r="J508" s="4" t="n">
        <v>46097</v>
      </c>
      <c r="K508" s="0" t="s">
        <v>12</v>
      </c>
      <c r="L508" s="0" t="s">
        <v>98</v>
      </c>
      <c r="M508" s="0" t="s">
        <v>226</v>
      </c>
      <c r="N508" s="0" t="s">
        <v>100</v>
      </c>
      <c r="O508" s="0" t="s">
        <v>2487</v>
      </c>
      <c r="Q508" s="0" t="s">
        <v>270</v>
      </c>
      <c r="R508" s="0" t="n">
        <v>2</v>
      </c>
      <c r="S508" s="5" t="n">
        <v>660</v>
      </c>
      <c r="T508" s="0" t="s">
        <v>271</v>
      </c>
      <c r="U508" s="0" t="n">
        <v>0</v>
      </c>
      <c r="V508" s="0" t="s">
        <v>230</v>
      </c>
      <c r="W508" s="0" t="s">
        <v>244</v>
      </c>
      <c r="X508" s="0" t="s">
        <v>232</v>
      </c>
      <c r="Y508" s="0" t="s">
        <v>272</v>
      </c>
      <c r="Z508" s="0" t="s">
        <v>1550</v>
      </c>
      <c r="AA508" s="0" t="s">
        <v>235</v>
      </c>
      <c r="AB508" s="32" t="n">
        <v>2750</v>
      </c>
      <c r="AC508" s="32" t="n">
        <v>2800</v>
      </c>
      <c r="AD508" s="26" t="n">
        <f aca="false">IFERROR(AB508/B508,"")</f>
        <v>4.16666666666667</v>
      </c>
      <c r="AE508" s="26" t="n">
        <f aca="false">IFERROR(AC508/B508,"")</f>
        <v>4.24242424242424</v>
      </c>
      <c r="AF508" s="0" t="s">
        <v>236</v>
      </c>
      <c r="AG508" s="0" t="s">
        <v>236</v>
      </c>
      <c r="AH508" s="0" t="s">
        <v>236</v>
      </c>
      <c r="AI508" s="0" t="s">
        <v>2488</v>
      </c>
      <c r="AJ508" s="0" t="s">
        <v>2489</v>
      </c>
      <c r="AK508" s="0" t="s">
        <v>2490</v>
      </c>
      <c r="AL508" s="0" t="s">
        <v>2491</v>
      </c>
      <c r="AM508" s="0" t="s">
        <v>94</v>
      </c>
      <c r="AN508" s="26" t="n">
        <f aca="false">IFERROR(E508*(1+IF(AM508="Apartment",Data_Summary!$C$3,0)),"")</f>
        <v>4.16666666666667</v>
      </c>
      <c r="AO508" s="4" t="n">
        <v>46195</v>
      </c>
    </row>
    <row r="509" customFormat="false" ht="15" hidden="false" customHeight="false" outlineLevel="0" collapsed="false">
      <c r="A509" s="0" t="n">
        <f aca="false">IF(AND(ISNUMBER(B509),B509&gt;0,ISNUMBER(AB509),AB509&gt;0,J509&gt;=Data_Summary!$C$1),1,0)</f>
        <v>1</v>
      </c>
      <c r="B509" s="33" t="n">
        <v>878</v>
      </c>
      <c r="C509" s="5" t="n">
        <f aca="false">IF(ISNUMBER(AB509),AB509,"")</f>
        <v>3750</v>
      </c>
      <c r="D509" s="0" t="n">
        <f aca="false">IF(ISNUMBER(C509),C509-U509*Data_Summary!$C$2,"")</f>
        <v>3600</v>
      </c>
      <c r="E509" s="34" t="n">
        <f aca="false">IFERROR(C509/B509,"")</f>
        <v>4.27107061503417</v>
      </c>
      <c r="F509" s="26" t="n">
        <f aca="false">IFERROR(D509/B509,"")</f>
        <v>4.1002277904328</v>
      </c>
      <c r="G509" s="0" t="str">
        <f aca="false">Q509</f>
        <v>2</v>
      </c>
      <c r="H509" s="0" t="str">
        <f aca="false">IFERROR(LEFT(G509,1),"")</f>
        <v>2</v>
      </c>
      <c r="I509" s="0" t="n">
        <f aca="false">IF(LEN(G509)&gt;1,1,0)</f>
        <v>0</v>
      </c>
      <c r="J509" s="4" t="n">
        <v>46096</v>
      </c>
      <c r="K509" s="0" t="s">
        <v>12</v>
      </c>
      <c r="L509" s="0" t="s">
        <v>98</v>
      </c>
      <c r="M509" s="0" t="s">
        <v>226</v>
      </c>
      <c r="N509" s="0" t="s">
        <v>100</v>
      </c>
      <c r="O509" s="0" t="s">
        <v>2401</v>
      </c>
      <c r="Q509" s="0" t="s">
        <v>251</v>
      </c>
      <c r="R509" s="0" t="n">
        <v>2</v>
      </c>
      <c r="S509" s="5" t="n">
        <v>878</v>
      </c>
      <c r="T509" s="0" t="s">
        <v>229</v>
      </c>
      <c r="U509" s="0" t="n">
        <v>1</v>
      </c>
      <c r="V509" s="0" t="s">
        <v>230</v>
      </c>
      <c r="W509" s="0" t="s">
        <v>231</v>
      </c>
      <c r="X509" s="0" t="s">
        <v>232</v>
      </c>
      <c r="Y509" s="0" t="s">
        <v>233</v>
      </c>
      <c r="Z509" s="0" t="s">
        <v>1550</v>
      </c>
      <c r="AA509" s="0" t="s">
        <v>235</v>
      </c>
      <c r="AB509" s="32" t="n">
        <v>3750</v>
      </c>
      <c r="AC509" s="32" t="n">
        <v>3750</v>
      </c>
      <c r="AD509" s="26" t="n">
        <f aca="false">IFERROR(AB509/B509,"")</f>
        <v>4.27107061503417</v>
      </c>
      <c r="AE509" s="26" t="n">
        <f aca="false">IFERROR(AC509/B509,"")</f>
        <v>4.27107061503417</v>
      </c>
      <c r="AF509" s="0" t="s">
        <v>236</v>
      </c>
      <c r="AG509" s="0" t="s">
        <v>236</v>
      </c>
      <c r="AH509" s="0" t="s">
        <v>236</v>
      </c>
      <c r="AI509" s="0" t="s">
        <v>1757</v>
      </c>
      <c r="AJ509" s="0" t="s">
        <v>2492</v>
      </c>
      <c r="AK509" s="0" t="s">
        <v>2493</v>
      </c>
      <c r="AL509" s="0" t="s">
        <v>2494</v>
      </c>
      <c r="AM509" s="0" t="s">
        <v>94</v>
      </c>
      <c r="AN509" s="26" t="n">
        <f aca="false">IFERROR(E509*(1+IF(AM509="Apartment",Data_Summary!$C$3,0)),"")</f>
        <v>4.27107061503417</v>
      </c>
      <c r="AO509" s="4" t="n">
        <v>46195</v>
      </c>
    </row>
    <row r="510" customFormat="false" ht="15" hidden="false" customHeight="false" outlineLevel="0" collapsed="false">
      <c r="A510" s="0" t="n">
        <f aca="false">IF(AND(ISNUMBER(B510),B510&gt;0,ISNUMBER(AB510),AB510&gt;0,J510&gt;=Data_Summary!$C$1),1,0)</f>
        <v>1</v>
      </c>
      <c r="B510" s="30" t="n">
        <v>815</v>
      </c>
      <c r="C510" s="5" t="n">
        <f aca="false">IF(ISNUMBER(AB510),AB510,"")</f>
        <v>3699</v>
      </c>
      <c r="D510" s="0" t="n">
        <f aca="false">IF(ISNUMBER(C510),C510-U510*Data_Summary!$C$2,"")</f>
        <v>3549</v>
      </c>
      <c r="E510" s="31" t="n">
        <f aca="false">IFERROR(C510/B510,"")</f>
        <v>4.53865030674847</v>
      </c>
      <c r="F510" s="26" t="n">
        <f aca="false">IFERROR(D510/B510,"")</f>
        <v>4.35460122699387</v>
      </c>
      <c r="G510" s="0" t="str">
        <f aca="false">Q510</f>
        <v>2</v>
      </c>
      <c r="H510" s="0" t="str">
        <f aca="false">IFERROR(LEFT(G510,1),"")</f>
        <v>2</v>
      </c>
      <c r="I510" s="0" t="n">
        <f aca="false">IF(LEN(G510)&gt;1,1,0)</f>
        <v>0</v>
      </c>
      <c r="J510" s="4" t="n">
        <v>46091</v>
      </c>
      <c r="K510" s="0" t="s">
        <v>12</v>
      </c>
      <c r="L510" s="0" t="s">
        <v>98</v>
      </c>
      <c r="M510" s="0" t="s">
        <v>226</v>
      </c>
      <c r="N510" s="0" t="s">
        <v>100</v>
      </c>
      <c r="O510" s="0" t="s">
        <v>2495</v>
      </c>
      <c r="Q510" s="0" t="s">
        <v>251</v>
      </c>
      <c r="R510" s="0" t="n">
        <v>2</v>
      </c>
      <c r="S510" s="5" t="n">
        <v>815</v>
      </c>
      <c r="T510" s="0" t="s">
        <v>229</v>
      </c>
      <c r="U510" s="0" t="n">
        <v>1</v>
      </c>
      <c r="V510" s="0" t="s">
        <v>230</v>
      </c>
      <c r="W510" s="0" t="s">
        <v>244</v>
      </c>
      <c r="X510" s="0" t="s">
        <v>232</v>
      </c>
      <c r="Y510" s="0" t="s">
        <v>308</v>
      </c>
      <c r="Z510" s="0" t="s">
        <v>1550</v>
      </c>
      <c r="AA510" s="0" t="s">
        <v>235</v>
      </c>
      <c r="AB510" s="32" t="n">
        <v>3699</v>
      </c>
      <c r="AC510" s="32" t="n">
        <v>3699</v>
      </c>
      <c r="AD510" s="26" t="n">
        <f aca="false">IFERROR(AB510/B510,"")</f>
        <v>4.53865030674847</v>
      </c>
      <c r="AE510" s="26" t="n">
        <f aca="false">IFERROR(AC510/B510,"")</f>
        <v>4.53865030674847</v>
      </c>
      <c r="AF510" s="0" t="s">
        <v>236</v>
      </c>
      <c r="AG510" s="0" t="s">
        <v>236</v>
      </c>
      <c r="AH510" s="0" t="s">
        <v>236</v>
      </c>
      <c r="AI510" s="0" t="s">
        <v>545</v>
      </c>
      <c r="AJ510" s="0" t="s">
        <v>2496</v>
      </c>
      <c r="AK510" s="0" t="s">
        <v>2497</v>
      </c>
      <c r="AL510" s="0" t="s">
        <v>2498</v>
      </c>
      <c r="AM510" s="0" t="s">
        <v>94</v>
      </c>
      <c r="AN510" s="26" t="n">
        <f aca="false">IFERROR(E510*(1+IF(AM510="Apartment",Data_Summary!$C$3,0)),"")</f>
        <v>4.53865030674847</v>
      </c>
      <c r="AO510" s="4" t="n">
        <v>46195</v>
      </c>
    </row>
    <row r="511" customFormat="false" ht="15" hidden="false" customHeight="false" outlineLevel="0" collapsed="false">
      <c r="A511" s="0" t="n">
        <f aca="false">IF(AND(ISNUMBER(B511),B511&gt;0,ISNUMBER(AB511),AB511&gt;0,J511&gt;=Data_Summary!$C$1),1,0)</f>
        <v>1</v>
      </c>
      <c r="B511" s="30" t="n">
        <v>652</v>
      </c>
      <c r="C511" s="5" t="n">
        <f aca="false">IF(ISNUMBER(AB511),AB511,"")</f>
        <v>2660</v>
      </c>
      <c r="D511" s="0" t="n">
        <f aca="false">IF(ISNUMBER(C511),C511-U511*Data_Summary!$C$2,"")</f>
        <v>2660</v>
      </c>
      <c r="E511" s="31" t="n">
        <f aca="false">IFERROR(C511/B511,"")</f>
        <v>4.07975460122699</v>
      </c>
      <c r="F511" s="26" t="n">
        <f aca="false">IFERROR(D511/B511,"")</f>
        <v>4.07975460122699</v>
      </c>
      <c r="G511" s="0" t="str">
        <f aca="false">Q511</f>
        <v>1+1</v>
      </c>
      <c r="H511" s="0" t="str">
        <f aca="false">IFERROR(LEFT(G511,1),"")</f>
        <v>1</v>
      </c>
      <c r="I511" s="0" t="n">
        <f aca="false">IF(LEN(G511)&gt;1,1,0)</f>
        <v>1</v>
      </c>
      <c r="J511" s="4" t="n">
        <v>46087</v>
      </c>
      <c r="K511" s="0" t="s">
        <v>12</v>
      </c>
      <c r="L511" s="0" t="s">
        <v>98</v>
      </c>
      <c r="M511" s="0" t="s">
        <v>226</v>
      </c>
      <c r="N511" s="0" t="s">
        <v>100</v>
      </c>
      <c r="O511" s="0" t="s">
        <v>2499</v>
      </c>
      <c r="Q511" s="0" t="s">
        <v>270</v>
      </c>
      <c r="R511" s="0" t="n">
        <v>1</v>
      </c>
      <c r="S511" s="5" t="n">
        <v>652</v>
      </c>
      <c r="T511" s="0" t="s">
        <v>271</v>
      </c>
      <c r="U511" s="0" t="n">
        <v>0</v>
      </c>
      <c r="V511" s="0" t="s">
        <v>230</v>
      </c>
      <c r="W511" s="0" t="s">
        <v>244</v>
      </c>
      <c r="X511" s="0" t="s">
        <v>232</v>
      </c>
      <c r="Y511" s="0" t="s">
        <v>272</v>
      </c>
      <c r="Z511" s="0" t="s">
        <v>1550</v>
      </c>
      <c r="AA511" s="0" t="s">
        <v>235</v>
      </c>
      <c r="AB511" s="32" t="n">
        <v>2660</v>
      </c>
      <c r="AC511" s="32" t="n">
        <v>2600</v>
      </c>
      <c r="AD511" s="26" t="n">
        <f aca="false">IFERROR(AB511/B511,"")</f>
        <v>4.07975460122699</v>
      </c>
      <c r="AE511" s="26" t="n">
        <f aca="false">IFERROR(AC511/B511,"")</f>
        <v>3.98773006134969</v>
      </c>
      <c r="AF511" s="0" t="s">
        <v>236</v>
      </c>
      <c r="AG511" s="0" t="s">
        <v>236</v>
      </c>
      <c r="AH511" s="0" t="s">
        <v>230</v>
      </c>
      <c r="AI511" s="0" t="s">
        <v>2500</v>
      </c>
      <c r="AJ511" s="0" t="s">
        <v>2501</v>
      </c>
      <c r="AK511" s="0" t="s">
        <v>2502</v>
      </c>
      <c r="AL511" s="0" t="s">
        <v>2503</v>
      </c>
      <c r="AM511" s="0" t="s">
        <v>94</v>
      </c>
      <c r="AN511" s="26" t="n">
        <f aca="false">IFERROR(E511*(1+IF(AM511="Apartment",Data_Summary!$C$3,0)),"")</f>
        <v>4.07975460122699</v>
      </c>
      <c r="AO511" s="4" t="n">
        <v>46195</v>
      </c>
    </row>
    <row r="512" customFormat="false" ht="15" hidden="false" customHeight="false" outlineLevel="0" collapsed="false">
      <c r="A512" s="0" t="n">
        <f aca="false">IF(AND(ISNUMBER(B512),B512&gt;0,ISNUMBER(AB512),AB512&gt;0,J512&gt;=Data_Summary!$C$1),1,0)</f>
        <v>1</v>
      </c>
      <c r="B512" s="33" t="n">
        <v>2297</v>
      </c>
      <c r="C512" s="5" t="n">
        <f aca="false">IF(ISNUMBER(AB512),AB512,"")</f>
        <v>10000</v>
      </c>
      <c r="D512" s="0" t="n">
        <f aca="false">IF(ISNUMBER(C512),C512-U512*Data_Summary!$C$2,"")</f>
        <v>9700</v>
      </c>
      <c r="E512" s="34" t="n">
        <f aca="false">IFERROR(C512/B512,"")</f>
        <v>4.3535045711798</v>
      </c>
      <c r="F512" s="26" t="n">
        <f aca="false">IFERROR(D512/B512,"")</f>
        <v>4.22289943404441</v>
      </c>
      <c r="G512" s="0" t="str">
        <f aca="false">Q512</f>
        <v>3</v>
      </c>
      <c r="H512" s="0" t="str">
        <f aca="false">IFERROR(LEFT(G512,1),"")</f>
        <v>3</v>
      </c>
      <c r="I512" s="0" t="n">
        <f aca="false">IF(LEN(G512)&gt;1,1,0)</f>
        <v>0</v>
      </c>
      <c r="J512" s="4" t="n">
        <v>46084</v>
      </c>
      <c r="K512" s="0" t="s">
        <v>12</v>
      </c>
      <c r="L512" s="0" t="s">
        <v>98</v>
      </c>
      <c r="M512" s="0" t="s">
        <v>226</v>
      </c>
      <c r="N512" s="0" t="s">
        <v>100</v>
      </c>
      <c r="O512" s="0" t="s">
        <v>2468</v>
      </c>
      <c r="Q512" s="0" t="s">
        <v>228</v>
      </c>
      <c r="R512" s="0" t="n">
        <v>3</v>
      </c>
      <c r="S512" s="5" t="n">
        <v>2297</v>
      </c>
      <c r="T512" s="0" t="s">
        <v>2504</v>
      </c>
      <c r="U512" s="0" t="n">
        <v>2</v>
      </c>
      <c r="V512" s="0" t="s">
        <v>230</v>
      </c>
      <c r="W512" s="0" t="s">
        <v>231</v>
      </c>
      <c r="X512" s="0" t="s">
        <v>232</v>
      </c>
      <c r="Y512" s="0" t="s">
        <v>233</v>
      </c>
      <c r="Z512" s="0" t="s">
        <v>1550</v>
      </c>
      <c r="AA512" s="0" t="s">
        <v>235</v>
      </c>
      <c r="AB512" s="32" t="n">
        <v>10000</v>
      </c>
      <c r="AC512" s="32" t="n">
        <v>11000</v>
      </c>
      <c r="AD512" s="26" t="n">
        <f aca="false">IFERROR(AB512/B512,"")</f>
        <v>4.3535045711798</v>
      </c>
      <c r="AE512" s="26" t="n">
        <f aca="false">IFERROR(AC512/B512,"")</f>
        <v>4.78885502829778</v>
      </c>
      <c r="AF512" s="0" t="s">
        <v>421</v>
      </c>
      <c r="AG512" s="0" t="s">
        <v>236</v>
      </c>
      <c r="AH512" s="0" t="s">
        <v>236</v>
      </c>
      <c r="AI512" s="0" t="s">
        <v>2505</v>
      </c>
      <c r="AJ512" s="0" t="s">
        <v>2506</v>
      </c>
      <c r="AK512" s="0" t="s">
        <v>2507</v>
      </c>
      <c r="AL512" s="0" t="s">
        <v>2508</v>
      </c>
      <c r="AM512" s="0" t="s">
        <v>94</v>
      </c>
      <c r="AN512" s="26" t="n">
        <f aca="false">IFERROR(E512*(1+IF(AM512="Apartment",Data_Summary!$C$3,0)),"")</f>
        <v>4.3535045711798</v>
      </c>
      <c r="AO512" s="4" t="n">
        <v>46195</v>
      </c>
    </row>
    <row r="513" customFormat="false" ht="15" hidden="false" customHeight="false" outlineLevel="0" collapsed="false">
      <c r="A513" s="0" t="n">
        <f aca="false">IF(AND(ISNUMBER(B513),B513&gt;0,ISNUMBER(AB513),AB513&gt;0,J513&gt;=Data_Summary!$C$1),1,0)</f>
        <v>1</v>
      </c>
      <c r="B513" s="33" t="n">
        <v>1004</v>
      </c>
      <c r="C513" s="5" t="n">
        <f aca="false">IF(ISNUMBER(AB513),AB513,"")</f>
        <v>3950</v>
      </c>
      <c r="D513" s="0" t="n">
        <f aca="false">IF(ISNUMBER(C513),C513-U513*Data_Summary!$C$2,"")</f>
        <v>3800</v>
      </c>
      <c r="E513" s="34" t="n">
        <f aca="false">IFERROR(C513/B513,"")</f>
        <v>3.93426294820717</v>
      </c>
      <c r="F513" s="26" t="n">
        <f aca="false">IFERROR(D513/B513,"")</f>
        <v>3.78486055776892</v>
      </c>
      <c r="G513" s="0" t="str">
        <f aca="false">Q513</f>
        <v>3</v>
      </c>
      <c r="H513" s="0" t="str">
        <f aca="false">IFERROR(LEFT(G513,1),"")</f>
        <v>3</v>
      </c>
      <c r="I513" s="0" t="n">
        <f aca="false">IF(LEN(G513)&gt;1,1,0)</f>
        <v>0</v>
      </c>
      <c r="J513" s="4" t="n">
        <v>46080</v>
      </c>
      <c r="K513" s="0" t="s">
        <v>12</v>
      </c>
      <c r="L513" s="0" t="s">
        <v>98</v>
      </c>
      <c r="M513" s="0" t="s">
        <v>226</v>
      </c>
      <c r="N513" s="0" t="s">
        <v>100</v>
      </c>
      <c r="O513" s="0" t="s">
        <v>2509</v>
      </c>
      <c r="Q513" s="0" t="s">
        <v>228</v>
      </c>
      <c r="R513" s="0" t="n">
        <v>2</v>
      </c>
      <c r="S513" s="5" t="n">
        <v>1004</v>
      </c>
      <c r="T513" s="0" t="s">
        <v>259</v>
      </c>
      <c r="U513" s="0" t="n">
        <v>1</v>
      </c>
      <c r="V513" s="0" t="s">
        <v>230</v>
      </c>
      <c r="W513" s="0" t="s">
        <v>244</v>
      </c>
      <c r="X513" s="0" t="s">
        <v>232</v>
      </c>
      <c r="Y513" s="0" t="s">
        <v>297</v>
      </c>
      <c r="Z513" s="0" t="s">
        <v>1550</v>
      </c>
      <c r="AA513" s="0" t="s">
        <v>235</v>
      </c>
      <c r="AB513" s="32" t="n">
        <v>3950</v>
      </c>
      <c r="AC513" s="32" t="n">
        <v>3950</v>
      </c>
      <c r="AD513" s="26" t="n">
        <f aca="false">IFERROR(AB513/B513,"")</f>
        <v>3.93426294820717</v>
      </c>
      <c r="AE513" s="26" t="n">
        <f aca="false">IFERROR(AC513/B513,"")</f>
        <v>3.93426294820717</v>
      </c>
      <c r="AF513" s="0" t="s">
        <v>236</v>
      </c>
      <c r="AG513" s="0" t="s">
        <v>236</v>
      </c>
      <c r="AH513" s="0" t="s">
        <v>236</v>
      </c>
      <c r="AI513" s="0" t="s">
        <v>590</v>
      </c>
      <c r="AJ513" s="0" t="s">
        <v>2510</v>
      </c>
      <c r="AK513" s="0" t="s">
        <v>2511</v>
      </c>
      <c r="AL513" s="0" t="s">
        <v>2512</v>
      </c>
      <c r="AM513" s="0" t="s">
        <v>94</v>
      </c>
      <c r="AN513" s="26" t="n">
        <f aca="false">IFERROR(E513*(1+IF(AM513="Apartment",Data_Summary!$C$3,0)),"")</f>
        <v>3.93426294820717</v>
      </c>
      <c r="AO513" s="4" t="n">
        <v>46195</v>
      </c>
    </row>
    <row r="514" customFormat="false" ht="15" hidden="false" customHeight="false" outlineLevel="0" collapsed="false">
      <c r="A514" s="0" t="n">
        <f aca="false">IF(AND(ISNUMBER(B514),B514&gt;0,ISNUMBER(AB514),AB514&gt;0,J514&gt;=Data_Summary!$C$1),1,0)</f>
        <v>1</v>
      </c>
      <c r="B514" s="30" t="n">
        <v>994</v>
      </c>
      <c r="C514" s="5" t="n">
        <f aca="false">IF(ISNUMBER(AB514),AB514,"")</f>
        <v>4000</v>
      </c>
      <c r="D514" s="0" t="n">
        <f aca="false">IF(ISNUMBER(C514),C514-U514*Data_Summary!$C$2,"")</f>
        <v>3850</v>
      </c>
      <c r="E514" s="31" t="n">
        <f aca="false">IFERROR(C514/B514,"")</f>
        <v>4.02414486921529</v>
      </c>
      <c r="F514" s="26" t="n">
        <f aca="false">IFERROR(D514/B514,"")</f>
        <v>3.87323943661972</v>
      </c>
      <c r="G514" s="0" t="str">
        <f aca="false">Q514</f>
        <v>2+1</v>
      </c>
      <c r="H514" s="0" t="str">
        <f aca="false">IFERROR(LEFT(G514,1),"")</f>
        <v>2</v>
      </c>
      <c r="I514" s="0" t="n">
        <f aca="false">IF(LEN(G514)&gt;1,1,0)</f>
        <v>1</v>
      </c>
      <c r="J514" s="4" t="n">
        <v>46073</v>
      </c>
      <c r="K514" s="0" t="s">
        <v>12</v>
      </c>
      <c r="L514" s="0" t="s">
        <v>98</v>
      </c>
      <c r="M514" s="0" t="s">
        <v>226</v>
      </c>
      <c r="N514" s="0" t="s">
        <v>100</v>
      </c>
      <c r="O514" s="0" t="s">
        <v>395</v>
      </c>
      <c r="Q514" s="0" t="s">
        <v>451</v>
      </c>
      <c r="R514" s="0" t="n">
        <v>2</v>
      </c>
      <c r="S514" s="5" t="n">
        <v>994</v>
      </c>
      <c r="T514" s="0" t="s">
        <v>259</v>
      </c>
      <c r="U514" s="0" t="n">
        <v>1</v>
      </c>
      <c r="V514" s="0" t="s">
        <v>230</v>
      </c>
      <c r="W514" s="0" t="s">
        <v>244</v>
      </c>
      <c r="X514" s="0" t="s">
        <v>232</v>
      </c>
      <c r="Y514" s="0" t="s">
        <v>245</v>
      </c>
      <c r="Z514" s="0" t="s">
        <v>1550</v>
      </c>
      <c r="AA514" s="0" t="s">
        <v>235</v>
      </c>
      <c r="AB514" s="32" t="n">
        <v>4000</v>
      </c>
      <c r="AC514" s="32" t="n">
        <v>4050</v>
      </c>
      <c r="AD514" s="26" t="n">
        <f aca="false">IFERROR(AB514/B514,"")</f>
        <v>4.02414486921529</v>
      </c>
      <c r="AE514" s="26" t="n">
        <f aca="false">IFERROR(AC514/B514,"")</f>
        <v>4.07444668008048</v>
      </c>
      <c r="AF514" s="0" t="s">
        <v>236</v>
      </c>
      <c r="AG514" s="0" t="s">
        <v>236</v>
      </c>
      <c r="AH514" s="0" t="s">
        <v>236</v>
      </c>
      <c r="AI514" s="0" t="s">
        <v>1789</v>
      </c>
      <c r="AJ514" s="0" t="s">
        <v>2513</v>
      </c>
      <c r="AK514" s="0" t="s">
        <v>2514</v>
      </c>
      <c r="AL514" s="0" t="s">
        <v>2515</v>
      </c>
      <c r="AM514" s="0" t="s">
        <v>94</v>
      </c>
      <c r="AN514" s="26" t="n">
        <f aca="false">IFERROR(E514*(1+IF(AM514="Apartment",Data_Summary!$C$3,0)),"")</f>
        <v>4.02414486921529</v>
      </c>
      <c r="AO514" s="4" t="n">
        <v>46195</v>
      </c>
    </row>
    <row r="515" customFormat="false" ht="15" hidden="false" customHeight="false" outlineLevel="0" collapsed="false">
      <c r="A515" s="0" t="n">
        <f aca="false">IF(AND(ISNUMBER(B515),B515&gt;0,ISNUMBER(AB515),AB515&gt;0,J515&gt;=Data_Summary!$C$1),1,0)</f>
        <v>1</v>
      </c>
      <c r="B515" s="30" t="n">
        <v>878</v>
      </c>
      <c r="C515" s="5" t="n">
        <f aca="false">IF(ISNUMBER(AB515),AB515,"")</f>
        <v>3450</v>
      </c>
      <c r="D515" s="0" t="n">
        <f aca="false">IF(ISNUMBER(C515),C515-U515*Data_Summary!$C$2,"")</f>
        <v>3450</v>
      </c>
      <c r="E515" s="31" t="n">
        <f aca="false">IFERROR(C515/B515,"")</f>
        <v>3.92938496583144</v>
      </c>
      <c r="F515" s="26" t="n">
        <f aca="false">IFERROR(D515/B515,"")</f>
        <v>3.92938496583144</v>
      </c>
      <c r="G515" s="0" t="str">
        <f aca="false">Q515</f>
        <v>2</v>
      </c>
      <c r="H515" s="0" t="str">
        <f aca="false">IFERROR(LEFT(G515,1),"")</f>
        <v>2</v>
      </c>
      <c r="I515" s="0" t="n">
        <f aca="false">IF(LEN(G515)&gt;1,1,0)</f>
        <v>0</v>
      </c>
      <c r="J515" s="4" t="n">
        <v>46063</v>
      </c>
      <c r="K515" s="0" t="s">
        <v>12</v>
      </c>
      <c r="L515" s="0" t="s">
        <v>98</v>
      </c>
      <c r="M515" s="0" t="s">
        <v>226</v>
      </c>
      <c r="N515" s="0" t="s">
        <v>100</v>
      </c>
      <c r="O515" s="0" t="s">
        <v>2396</v>
      </c>
      <c r="Q515" s="0" t="s">
        <v>251</v>
      </c>
      <c r="R515" s="0" t="n">
        <v>2</v>
      </c>
      <c r="S515" s="5" t="n">
        <v>878</v>
      </c>
      <c r="T515" s="0" t="s">
        <v>229</v>
      </c>
      <c r="U515" s="0" t="n">
        <v>0</v>
      </c>
      <c r="V515" s="0" t="s">
        <v>230</v>
      </c>
      <c r="W515" s="0" t="s">
        <v>244</v>
      </c>
      <c r="X515" s="0" t="s">
        <v>232</v>
      </c>
      <c r="Y515" s="0" t="s">
        <v>233</v>
      </c>
      <c r="Z515" s="0" t="s">
        <v>1550</v>
      </c>
      <c r="AA515" s="0" t="s">
        <v>235</v>
      </c>
      <c r="AB515" s="32" t="n">
        <v>3450</v>
      </c>
      <c r="AC515" s="32" t="n">
        <v>3600</v>
      </c>
      <c r="AD515" s="26" t="n">
        <f aca="false">IFERROR(AB515/B515,"")</f>
        <v>3.92938496583144</v>
      </c>
      <c r="AE515" s="26" t="n">
        <f aca="false">IFERROR(AC515/B515,"")</f>
        <v>4.1002277904328</v>
      </c>
      <c r="AF515" s="0" t="s">
        <v>236</v>
      </c>
      <c r="AG515" s="0" t="s">
        <v>236</v>
      </c>
      <c r="AH515" s="0" t="s">
        <v>236</v>
      </c>
      <c r="AI515" s="0" t="s">
        <v>1806</v>
      </c>
      <c r="AJ515" s="0" t="s">
        <v>2516</v>
      </c>
      <c r="AK515" s="0" t="s">
        <v>2517</v>
      </c>
      <c r="AL515" s="0" t="s">
        <v>2518</v>
      </c>
      <c r="AM515" s="0" t="s">
        <v>94</v>
      </c>
      <c r="AN515" s="26" t="n">
        <f aca="false">IFERROR(E515*(1+IF(AM515="Apartment",Data_Summary!$C$3,0)),"")</f>
        <v>3.92938496583144</v>
      </c>
      <c r="AO515" s="4" t="n">
        <v>46195</v>
      </c>
    </row>
    <row r="516" customFormat="false" ht="15" hidden="false" customHeight="false" outlineLevel="0" collapsed="false">
      <c r="A516" s="0" t="n">
        <f aca="false">IF(AND(ISNUMBER(B516),B516&gt;0,ISNUMBER(AB516),AB516&gt;0,J516&gt;=Data_Summary!$C$1),1,0)</f>
        <v>1</v>
      </c>
      <c r="B516" s="30" t="n">
        <v>531</v>
      </c>
      <c r="C516" s="5" t="n">
        <f aca="false">IF(ISNUMBER(AB516),AB516,"")</f>
        <v>2300</v>
      </c>
      <c r="D516" s="0" t="n">
        <f aca="false">IF(ISNUMBER(C516),C516-U516*Data_Summary!$C$2,"")</f>
        <v>2300</v>
      </c>
      <c r="E516" s="31" t="n">
        <f aca="false">IFERROR(C516/B516,"")</f>
        <v>4.33145009416196</v>
      </c>
      <c r="F516" s="26" t="n">
        <f aca="false">IFERROR(D516/B516,"")</f>
        <v>4.33145009416196</v>
      </c>
      <c r="G516" s="0" t="str">
        <f aca="false">Q516</f>
        <v>1</v>
      </c>
      <c r="H516" s="0" t="str">
        <f aca="false">IFERROR(LEFT(G516,1),"")</f>
        <v>1</v>
      </c>
      <c r="I516" s="0" t="n">
        <f aca="false">IF(LEN(G516)&gt;1,1,0)</f>
        <v>0</v>
      </c>
      <c r="J516" s="4" t="n">
        <v>46035</v>
      </c>
      <c r="K516" s="0" t="s">
        <v>12</v>
      </c>
      <c r="L516" s="0" t="s">
        <v>98</v>
      </c>
      <c r="M516" s="0" t="s">
        <v>226</v>
      </c>
      <c r="N516" s="0" t="s">
        <v>100</v>
      </c>
      <c r="O516" s="0" t="s">
        <v>2519</v>
      </c>
      <c r="Q516" s="0" t="s">
        <v>242</v>
      </c>
      <c r="R516" s="0" t="n">
        <v>1</v>
      </c>
      <c r="S516" s="5" t="n">
        <v>531</v>
      </c>
      <c r="T516" s="0" t="s">
        <v>243</v>
      </c>
      <c r="U516" s="0" t="n">
        <v>0</v>
      </c>
      <c r="V516" s="0" t="s">
        <v>230</v>
      </c>
      <c r="W516" s="0" t="s">
        <v>231</v>
      </c>
      <c r="X516" s="0" t="s">
        <v>232</v>
      </c>
      <c r="Y516" s="0" t="s">
        <v>272</v>
      </c>
      <c r="Z516" s="0" t="s">
        <v>1550</v>
      </c>
      <c r="AA516" s="0" t="s">
        <v>235</v>
      </c>
      <c r="AB516" s="32" t="n">
        <v>2300</v>
      </c>
      <c r="AC516" s="32" t="n">
        <v>2350</v>
      </c>
      <c r="AD516" s="26" t="n">
        <f aca="false">IFERROR(AB516/B516,"")</f>
        <v>4.33145009416196</v>
      </c>
      <c r="AE516" s="26" t="n">
        <f aca="false">IFERROR(AC516/B516,"")</f>
        <v>4.4256120527307</v>
      </c>
      <c r="AF516" s="0" t="s">
        <v>236</v>
      </c>
      <c r="AG516" s="0" t="s">
        <v>236</v>
      </c>
      <c r="AH516" s="0" t="s">
        <v>236</v>
      </c>
      <c r="AI516" s="0" t="s">
        <v>673</v>
      </c>
      <c r="AJ516" s="0" t="s">
        <v>2520</v>
      </c>
      <c r="AK516" s="0" t="s">
        <v>2521</v>
      </c>
      <c r="AL516" s="0" t="s">
        <v>2522</v>
      </c>
      <c r="AM516" s="0" t="s">
        <v>94</v>
      </c>
      <c r="AN516" s="26" t="n">
        <f aca="false">IFERROR(E516*(1+IF(AM516="Apartment",Data_Summary!$C$3,0)),"")</f>
        <v>4.33145009416196</v>
      </c>
      <c r="AO516" s="4" t="n">
        <v>46195</v>
      </c>
    </row>
    <row r="517" customFormat="false" ht="15" hidden="false" customHeight="false" outlineLevel="0" collapsed="false">
      <c r="A517" s="0" t="n">
        <f aca="false">IF(AND(ISNUMBER(B517),B517&gt;0,ISNUMBER(AB517),AB517&gt;0,J517&gt;=Data_Summary!$C$1),1,0)</f>
        <v>1</v>
      </c>
      <c r="B517" s="33" t="n">
        <v>2350</v>
      </c>
      <c r="C517" s="5" t="n">
        <f aca="false">IF(ISNUMBER(AB517),AB517,"")</f>
        <v>14500</v>
      </c>
      <c r="D517" s="0" t="n">
        <f aca="false">IF(ISNUMBER(C517),C517-U517*Data_Summary!$C$2,"")</f>
        <v>14200</v>
      </c>
      <c r="E517" s="34" t="n">
        <f aca="false">IFERROR(C517/B517,"")</f>
        <v>6.17021276595745</v>
      </c>
      <c r="F517" s="26" t="n">
        <f aca="false">IFERROR(D517/B517,"")</f>
        <v>6.04255319148936</v>
      </c>
      <c r="G517" s="0" t="str">
        <f aca="false">Q517</f>
        <v>2+1</v>
      </c>
      <c r="H517" s="0" t="str">
        <f aca="false">IFERROR(LEFT(G517,1),"")</f>
        <v>2</v>
      </c>
      <c r="I517" s="0" t="n">
        <f aca="false">IF(LEN(G517)&gt;1,1,0)</f>
        <v>1</v>
      </c>
      <c r="J517" s="4" t="n">
        <v>46030</v>
      </c>
      <c r="K517" s="0" t="s">
        <v>12</v>
      </c>
      <c r="L517" s="0" t="s">
        <v>98</v>
      </c>
      <c r="M517" s="0" t="s">
        <v>226</v>
      </c>
      <c r="N517" s="0" t="s">
        <v>100</v>
      </c>
      <c r="O517" s="0" t="s">
        <v>2523</v>
      </c>
      <c r="Q517" s="0" t="s">
        <v>451</v>
      </c>
      <c r="R517" s="0" t="n">
        <v>3</v>
      </c>
      <c r="S517" s="5" t="n">
        <v>2350</v>
      </c>
      <c r="T517" s="0" t="s">
        <v>2504</v>
      </c>
      <c r="U517" s="0" t="n">
        <v>2</v>
      </c>
      <c r="V517" s="0" t="s">
        <v>230</v>
      </c>
      <c r="W517" s="0" t="s">
        <v>231</v>
      </c>
      <c r="X517" s="0" t="s">
        <v>232</v>
      </c>
      <c r="Y517" s="0" t="s">
        <v>308</v>
      </c>
      <c r="Z517" s="0" t="s">
        <v>1550</v>
      </c>
      <c r="AA517" s="0" t="s">
        <v>235</v>
      </c>
      <c r="AB517" s="32" t="n">
        <v>14500</v>
      </c>
      <c r="AC517" s="32" t="n">
        <v>15500</v>
      </c>
      <c r="AD517" s="26" t="n">
        <f aca="false">IFERROR(AB517/B517,"")</f>
        <v>6.17021276595745</v>
      </c>
      <c r="AE517" s="26" t="n">
        <f aca="false">IFERROR(AC517/B517,"")</f>
        <v>6.59574468085106</v>
      </c>
      <c r="AF517" s="0" t="s">
        <v>230</v>
      </c>
      <c r="AG517" s="0" t="s">
        <v>236</v>
      </c>
      <c r="AH517" s="0" t="s">
        <v>236</v>
      </c>
      <c r="AI517" s="0" t="s">
        <v>2524</v>
      </c>
      <c r="AJ517" s="0" t="s">
        <v>2525</v>
      </c>
      <c r="AK517" s="0" t="s">
        <v>2526</v>
      </c>
      <c r="AL517" s="0" t="s">
        <v>2527</v>
      </c>
      <c r="AM517" s="0" t="s">
        <v>94</v>
      </c>
      <c r="AN517" s="26" t="n">
        <f aca="false">IFERROR(E517*(1+IF(AM517="Apartment",Data_Summary!$C$3,0)),"")</f>
        <v>6.17021276595745</v>
      </c>
      <c r="AO517" s="4" t="n">
        <v>46195</v>
      </c>
    </row>
    <row r="518" customFormat="false" ht="15" hidden="false" customHeight="false" outlineLevel="0" collapsed="false">
      <c r="A518" s="0" t="n">
        <f aca="false">IF(AND(ISNUMBER(B518),B518&gt;0,ISNUMBER(AB518),AB518&gt;0,J518&gt;=Data_Summary!$C$1),1,0)</f>
        <v>1</v>
      </c>
      <c r="B518" s="30" t="n">
        <v>994</v>
      </c>
      <c r="C518" s="5" t="n">
        <f aca="false">IF(ISNUMBER(AB518),AB518,"")</f>
        <v>4250</v>
      </c>
      <c r="D518" s="0" t="n">
        <f aca="false">IF(ISNUMBER(C518),C518-U518*Data_Summary!$C$2,"")</f>
        <v>3950</v>
      </c>
      <c r="E518" s="31" t="n">
        <f aca="false">IFERROR(C518/B518,"")</f>
        <v>4.27565392354125</v>
      </c>
      <c r="F518" s="26" t="n">
        <f aca="false">IFERROR(D518/B518,"")</f>
        <v>3.9738430583501</v>
      </c>
      <c r="G518" s="0" t="str">
        <f aca="false">Q518</f>
        <v>2+1</v>
      </c>
      <c r="H518" s="0" t="str">
        <f aca="false">IFERROR(LEFT(G518,1),"")</f>
        <v>2</v>
      </c>
      <c r="I518" s="0" t="n">
        <f aca="false">IF(LEN(G518)&gt;1,1,0)</f>
        <v>1</v>
      </c>
      <c r="J518" s="4" t="n">
        <v>46014</v>
      </c>
      <c r="K518" s="0" t="s">
        <v>12</v>
      </c>
      <c r="L518" s="0" t="s">
        <v>98</v>
      </c>
      <c r="M518" s="0" t="s">
        <v>226</v>
      </c>
      <c r="N518" s="0" t="s">
        <v>100</v>
      </c>
      <c r="O518" s="0" t="s">
        <v>773</v>
      </c>
      <c r="Q518" s="0" t="s">
        <v>451</v>
      </c>
      <c r="R518" s="0" t="n">
        <v>2</v>
      </c>
      <c r="S518" s="5" t="n">
        <v>994</v>
      </c>
      <c r="T518" s="0" t="s">
        <v>259</v>
      </c>
      <c r="U518" s="0" t="n">
        <v>2</v>
      </c>
      <c r="V518" s="0" t="s">
        <v>230</v>
      </c>
      <c r="W518" s="0" t="s">
        <v>231</v>
      </c>
      <c r="X518" s="0" t="s">
        <v>232</v>
      </c>
      <c r="Y518" s="0" t="s">
        <v>245</v>
      </c>
      <c r="Z518" s="0" t="s">
        <v>1550</v>
      </c>
      <c r="AA518" s="0" t="s">
        <v>235</v>
      </c>
      <c r="AB518" s="32" t="n">
        <v>4250</v>
      </c>
      <c r="AC518" s="32" t="n">
        <v>4250</v>
      </c>
      <c r="AD518" s="26" t="n">
        <f aca="false">IFERROR(AB518/B518,"")</f>
        <v>4.27565392354125</v>
      </c>
      <c r="AE518" s="26" t="n">
        <f aca="false">IFERROR(AC518/B518,"")</f>
        <v>4.27565392354125</v>
      </c>
      <c r="AF518" s="0" t="s">
        <v>236</v>
      </c>
      <c r="AG518" s="0" t="s">
        <v>236</v>
      </c>
      <c r="AH518" s="0" t="s">
        <v>236</v>
      </c>
      <c r="AI518" s="0" t="s">
        <v>2528</v>
      </c>
      <c r="AJ518" s="0" t="s">
        <v>2529</v>
      </c>
      <c r="AK518" s="0" t="s">
        <v>2530</v>
      </c>
      <c r="AL518" s="0" t="s">
        <v>2531</v>
      </c>
      <c r="AM518" s="0" t="s">
        <v>94</v>
      </c>
      <c r="AN518" s="26" t="n">
        <f aca="false">IFERROR(E518*(1+IF(AM518="Apartment",Data_Summary!$C$3,0)),"")</f>
        <v>4.27565392354125</v>
      </c>
      <c r="AO518" s="4" t="n">
        <v>46195</v>
      </c>
    </row>
    <row r="519" customFormat="false" ht="15" hidden="false" customHeight="false" outlineLevel="0" collapsed="false">
      <c r="A519" s="0" t="n">
        <f aca="false">IF(AND(ISNUMBER(B519),B519&gt;0,ISNUMBER(AB519),AB519&gt;0,J519&gt;=Data_Summary!$C$1),1,0)</f>
        <v>1</v>
      </c>
      <c r="B519" s="30" t="n">
        <v>1004</v>
      </c>
      <c r="C519" s="5" t="n">
        <f aca="false">IF(ISNUMBER(AB519),AB519,"")</f>
        <v>4000</v>
      </c>
      <c r="D519" s="0" t="n">
        <f aca="false">IF(ISNUMBER(C519),C519-U519*Data_Summary!$C$2,"")</f>
        <v>3850</v>
      </c>
      <c r="E519" s="31" t="n">
        <f aca="false">IFERROR(C519/B519,"")</f>
        <v>3.98406374501992</v>
      </c>
      <c r="F519" s="26" t="n">
        <f aca="false">IFERROR(D519/B519,"")</f>
        <v>3.83466135458167</v>
      </c>
      <c r="G519" s="0" t="str">
        <f aca="false">Q519</f>
        <v>3</v>
      </c>
      <c r="H519" s="0" t="str">
        <f aca="false">IFERROR(LEFT(G519,1),"")</f>
        <v>3</v>
      </c>
      <c r="I519" s="0" t="n">
        <f aca="false">IF(LEN(G519)&gt;1,1,0)</f>
        <v>0</v>
      </c>
      <c r="J519" s="4" t="n">
        <v>46014</v>
      </c>
      <c r="K519" s="0" t="s">
        <v>12</v>
      </c>
      <c r="L519" s="0" t="s">
        <v>98</v>
      </c>
      <c r="M519" s="0" t="s">
        <v>226</v>
      </c>
      <c r="N519" s="0" t="s">
        <v>100</v>
      </c>
      <c r="O519" s="0" t="s">
        <v>1569</v>
      </c>
      <c r="Q519" s="0" t="s">
        <v>228</v>
      </c>
      <c r="R519" s="0" t="n">
        <v>2</v>
      </c>
      <c r="S519" s="5" t="n">
        <v>1004</v>
      </c>
      <c r="T519" s="0" t="s">
        <v>265</v>
      </c>
      <c r="U519" s="0" t="n">
        <v>1</v>
      </c>
      <c r="V519" s="0" t="s">
        <v>230</v>
      </c>
      <c r="W519" s="0" t="s">
        <v>244</v>
      </c>
      <c r="X519" s="0" t="s">
        <v>232</v>
      </c>
      <c r="Y519" s="0" t="s">
        <v>245</v>
      </c>
      <c r="Z519" s="0" t="s">
        <v>1550</v>
      </c>
      <c r="AA519" s="0" t="s">
        <v>235</v>
      </c>
      <c r="AB519" s="32" t="n">
        <v>4000</v>
      </c>
      <c r="AC519" s="32" t="n">
        <v>4250</v>
      </c>
      <c r="AD519" s="26" t="n">
        <f aca="false">IFERROR(AB519/B519,"")</f>
        <v>3.98406374501992</v>
      </c>
      <c r="AE519" s="26" t="n">
        <f aca="false">IFERROR(AC519/B519,"")</f>
        <v>4.23306772908367</v>
      </c>
      <c r="AF519" s="0" t="s">
        <v>236</v>
      </c>
      <c r="AG519" s="0" t="s">
        <v>236</v>
      </c>
      <c r="AH519" s="0" t="s">
        <v>236</v>
      </c>
      <c r="AI519" s="0" t="s">
        <v>2528</v>
      </c>
      <c r="AJ519" s="0" t="s">
        <v>2532</v>
      </c>
      <c r="AK519" s="0" t="s">
        <v>2533</v>
      </c>
      <c r="AL519" s="0" t="s">
        <v>2534</v>
      </c>
      <c r="AM519" s="0" t="s">
        <v>94</v>
      </c>
      <c r="AN519" s="26" t="n">
        <f aca="false">IFERROR(E519*(1+IF(AM519="Apartment",Data_Summary!$C$3,0)),"")</f>
        <v>3.98406374501992</v>
      </c>
      <c r="AO519" s="4" t="n">
        <v>46195</v>
      </c>
    </row>
    <row r="520" customFormat="false" ht="15" hidden="false" customHeight="false" outlineLevel="0" collapsed="false">
      <c r="A520" s="0" t="n">
        <f aca="false">IF(AND(ISNUMBER(B520),B520&gt;0,ISNUMBER(AB520),AB520&gt;0,J520&gt;=Data_Summary!$C$1),1,0)</f>
        <v>1</v>
      </c>
      <c r="B520" s="30" t="n">
        <v>523</v>
      </c>
      <c r="C520" s="5" t="n">
        <f aca="false">IF(ISNUMBER(AB520),AB520,"")</f>
        <v>2450</v>
      </c>
      <c r="D520" s="0" t="n">
        <f aca="false">IF(ISNUMBER(C520),C520-U520*Data_Summary!$C$2,"")</f>
        <v>2450</v>
      </c>
      <c r="E520" s="31" t="n">
        <f aca="false">IFERROR(C520/B520,"")</f>
        <v>4.68451242829828</v>
      </c>
      <c r="F520" s="26" t="n">
        <f aca="false">IFERROR(D520/B520,"")</f>
        <v>4.68451242829828</v>
      </c>
      <c r="G520" s="0" t="str">
        <f aca="false">Q520</f>
        <v>1</v>
      </c>
      <c r="H520" s="0" t="str">
        <f aca="false">IFERROR(LEFT(G520,1),"")</f>
        <v>1</v>
      </c>
      <c r="I520" s="0" t="n">
        <f aca="false">IF(LEN(G520)&gt;1,1,0)</f>
        <v>0</v>
      </c>
      <c r="J520" s="4" t="n">
        <v>46014</v>
      </c>
      <c r="K520" s="0" t="s">
        <v>12</v>
      </c>
      <c r="L520" s="0" t="s">
        <v>98</v>
      </c>
      <c r="M520" s="0" t="s">
        <v>226</v>
      </c>
      <c r="N520" s="0" t="s">
        <v>100</v>
      </c>
      <c r="O520" s="0" t="s">
        <v>2535</v>
      </c>
      <c r="Q520" s="0" t="s">
        <v>242</v>
      </c>
      <c r="R520" s="0" t="n">
        <v>1</v>
      </c>
      <c r="S520" s="5" t="n">
        <v>523</v>
      </c>
      <c r="T520" s="0" t="s">
        <v>243</v>
      </c>
      <c r="U520" s="0" t="n">
        <v>0</v>
      </c>
      <c r="V520" s="0" t="s">
        <v>230</v>
      </c>
      <c r="W520" s="0" t="s">
        <v>231</v>
      </c>
      <c r="X520" s="0" t="s">
        <v>232</v>
      </c>
      <c r="Y520" s="0" t="s">
        <v>272</v>
      </c>
      <c r="Z520" s="0" t="s">
        <v>1550</v>
      </c>
      <c r="AA520" s="0" t="s">
        <v>235</v>
      </c>
      <c r="AB520" s="32" t="n">
        <v>2450</v>
      </c>
      <c r="AC520" s="32" t="n">
        <v>2450</v>
      </c>
      <c r="AD520" s="26" t="n">
        <f aca="false">IFERROR(AB520/B520,"")</f>
        <v>4.68451242829828</v>
      </c>
      <c r="AE520" s="26" t="n">
        <f aca="false">IFERROR(AC520/B520,"")</f>
        <v>4.68451242829828</v>
      </c>
      <c r="AF520" s="0" t="s">
        <v>236</v>
      </c>
      <c r="AG520" s="0" t="s">
        <v>236</v>
      </c>
      <c r="AH520" s="0" t="s">
        <v>236</v>
      </c>
      <c r="AI520" s="0" t="s">
        <v>2528</v>
      </c>
      <c r="AJ520" s="0" t="s">
        <v>2536</v>
      </c>
      <c r="AK520" s="0" t="s">
        <v>2537</v>
      </c>
      <c r="AL520" s="0" t="s">
        <v>2538</v>
      </c>
      <c r="AM520" s="0" t="s">
        <v>94</v>
      </c>
      <c r="AN520" s="26" t="n">
        <f aca="false">IFERROR(E520*(1+IF(AM520="Apartment",Data_Summary!$C$3,0)),"")</f>
        <v>4.68451242829828</v>
      </c>
      <c r="AO520" s="4" t="n">
        <v>46195</v>
      </c>
    </row>
    <row r="521" customFormat="false" ht="15" hidden="false" customHeight="false" outlineLevel="0" collapsed="false">
      <c r="A521" s="0" t="n">
        <f aca="false">IF(AND(ISNUMBER(B521),B521&gt;0,ISNUMBER(AB521),AB521&gt;0,J521&gt;=Data_Summary!$C$1),1,0)</f>
        <v>1</v>
      </c>
      <c r="B521" s="30" t="n">
        <v>998</v>
      </c>
      <c r="C521" s="5" t="n">
        <f aca="false">IF(ISNUMBER(AB521),AB521,"")</f>
        <v>4100</v>
      </c>
      <c r="D521" s="0" t="n">
        <f aca="false">IF(ISNUMBER(C521),C521-U521*Data_Summary!$C$2,"")</f>
        <v>3950</v>
      </c>
      <c r="E521" s="31" t="n">
        <f aca="false">IFERROR(C521/B521,"")</f>
        <v>4.10821643286573</v>
      </c>
      <c r="F521" s="26" t="n">
        <f aca="false">IFERROR(D521/B521,"")</f>
        <v>3.95791583166333</v>
      </c>
      <c r="G521" s="0" t="str">
        <f aca="false">Q521</f>
        <v>2+1</v>
      </c>
      <c r="H521" s="0" t="str">
        <f aca="false">IFERROR(LEFT(G521,1),"")</f>
        <v>2</v>
      </c>
      <c r="I521" s="0" t="n">
        <f aca="false">IF(LEN(G521)&gt;1,1,0)</f>
        <v>1</v>
      </c>
      <c r="J521" s="4" t="n">
        <v>46003</v>
      </c>
      <c r="K521" s="0" t="s">
        <v>12</v>
      </c>
      <c r="L521" s="0" t="s">
        <v>98</v>
      </c>
      <c r="M521" s="0" t="s">
        <v>226</v>
      </c>
      <c r="N521" s="0" t="s">
        <v>100</v>
      </c>
      <c r="O521" s="0" t="s">
        <v>2351</v>
      </c>
      <c r="Q521" s="0" t="s">
        <v>451</v>
      </c>
      <c r="R521" s="0" t="n">
        <v>2</v>
      </c>
      <c r="S521" s="5" t="n">
        <v>998</v>
      </c>
      <c r="T521" s="0" t="s">
        <v>259</v>
      </c>
      <c r="U521" s="0" t="n">
        <v>1</v>
      </c>
      <c r="V521" s="0" t="s">
        <v>230</v>
      </c>
      <c r="W521" s="0" t="s">
        <v>244</v>
      </c>
      <c r="X521" s="0" t="s">
        <v>232</v>
      </c>
      <c r="Y521" s="0" t="s">
        <v>245</v>
      </c>
      <c r="Z521" s="0" t="s">
        <v>1550</v>
      </c>
      <c r="AA521" s="0" t="s">
        <v>235</v>
      </c>
      <c r="AB521" s="32" t="n">
        <v>4100</v>
      </c>
      <c r="AC521" s="32" t="n">
        <v>4350</v>
      </c>
      <c r="AD521" s="26" t="n">
        <f aca="false">IFERROR(AB521/B521,"")</f>
        <v>4.10821643286573</v>
      </c>
      <c r="AE521" s="26" t="n">
        <f aca="false">IFERROR(AC521/B521,"")</f>
        <v>4.35871743486974</v>
      </c>
      <c r="AF521" s="0" t="s">
        <v>236</v>
      </c>
      <c r="AG521" s="0" t="s">
        <v>236</v>
      </c>
      <c r="AH521" s="0" t="s">
        <v>236</v>
      </c>
      <c r="AI521" s="0" t="s">
        <v>2539</v>
      </c>
      <c r="AJ521" s="0" t="s">
        <v>2540</v>
      </c>
      <c r="AK521" s="0" t="s">
        <v>2541</v>
      </c>
      <c r="AL521" s="0" t="s">
        <v>2542</v>
      </c>
      <c r="AM521" s="0" t="s">
        <v>94</v>
      </c>
      <c r="AN521" s="26" t="n">
        <f aca="false">IFERROR(E521*(1+IF(AM521="Apartment",Data_Summary!$C$3,0)),"")</f>
        <v>4.10821643286573</v>
      </c>
      <c r="AO521" s="4" t="n">
        <v>46195</v>
      </c>
    </row>
    <row r="522" customFormat="false" ht="15" hidden="false" customHeight="false" outlineLevel="0" collapsed="false">
      <c r="A522" s="0" t="n">
        <f aca="false">IF(AND(ISNUMBER(B522),B522&gt;0,ISNUMBER(AB522),AB522&gt;0,J522&gt;=Data_Summary!$C$1),1,0)</f>
        <v>1</v>
      </c>
      <c r="B522" s="30" t="n">
        <v>994</v>
      </c>
      <c r="C522" s="5" t="n">
        <f aca="false">IF(ISNUMBER(AB522),AB522,"")</f>
        <v>4150</v>
      </c>
      <c r="D522" s="0" t="n">
        <f aca="false">IF(ISNUMBER(C522),C522-U522*Data_Summary!$C$2,"")</f>
        <v>4000</v>
      </c>
      <c r="E522" s="31" t="n">
        <f aca="false">IFERROR(C522/B522,"")</f>
        <v>4.17505030181087</v>
      </c>
      <c r="F522" s="26" t="n">
        <f aca="false">IFERROR(D522/B522,"")</f>
        <v>4.02414486921529</v>
      </c>
      <c r="G522" s="0" t="str">
        <f aca="false">Q522</f>
        <v>2+1</v>
      </c>
      <c r="H522" s="0" t="str">
        <f aca="false">IFERROR(LEFT(G522,1),"")</f>
        <v>2</v>
      </c>
      <c r="I522" s="0" t="n">
        <f aca="false">IF(LEN(G522)&gt;1,1,0)</f>
        <v>1</v>
      </c>
      <c r="J522" s="4" t="n">
        <v>46000</v>
      </c>
      <c r="K522" s="0" t="s">
        <v>12</v>
      </c>
      <c r="L522" s="0" t="s">
        <v>98</v>
      </c>
      <c r="M522" s="0" t="s">
        <v>226</v>
      </c>
      <c r="N522" s="0" t="s">
        <v>100</v>
      </c>
      <c r="O522" s="0" t="s">
        <v>497</v>
      </c>
      <c r="Q522" s="0" t="s">
        <v>451</v>
      </c>
      <c r="R522" s="0" t="n">
        <v>2</v>
      </c>
      <c r="S522" s="5" t="n">
        <v>994</v>
      </c>
      <c r="T522" s="0" t="s">
        <v>259</v>
      </c>
      <c r="U522" s="0" t="n">
        <v>1</v>
      </c>
      <c r="V522" s="0" t="s">
        <v>230</v>
      </c>
      <c r="W522" s="0" t="s">
        <v>231</v>
      </c>
      <c r="X522" s="0" t="s">
        <v>232</v>
      </c>
      <c r="Y522" s="0" t="s">
        <v>245</v>
      </c>
      <c r="Z522" s="0" t="s">
        <v>1550</v>
      </c>
      <c r="AA522" s="0" t="s">
        <v>235</v>
      </c>
      <c r="AB522" s="32" t="n">
        <v>4150</v>
      </c>
      <c r="AC522" s="32" t="n">
        <v>4250</v>
      </c>
      <c r="AD522" s="26" t="n">
        <f aca="false">IFERROR(AB522/B522,"")</f>
        <v>4.17505030181087</v>
      </c>
      <c r="AE522" s="26" t="n">
        <f aca="false">IFERROR(AC522/B522,"")</f>
        <v>4.27565392354125</v>
      </c>
      <c r="AF522" s="0" t="s">
        <v>236</v>
      </c>
      <c r="AG522" s="0" t="s">
        <v>236</v>
      </c>
      <c r="AH522" s="0" t="s">
        <v>230</v>
      </c>
      <c r="AI522" s="0" t="s">
        <v>755</v>
      </c>
      <c r="AJ522" s="0" t="s">
        <v>2543</v>
      </c>
      <c r="AK522" s="0" t="s">
        <v>2544</v>
      </c>
      <c r="AL522" s="0" t="s">
        <v>2545</v>
      </c>
      <c r="AM522" s="0" t="s">
        <v>94</v>
      </c>
      <c r="AN522" s="26" t="n">
        <f aca="false">IFERROR(E522*(1+IF(AM522="Apartment",Data_Summary!$C$3,0)),"")</f>
        <v>4.17505030181087</v>
      </c>
      <c r="AO522" s="4" t="n">
        <v>46195</v>
      </c>
    </row>
    <row r="523" customFormat="false" ht="15" hidden="false" customHeight="false" outlineLevel="0" collapsed="false">
      <c r="A523" s="0" t="n">
        <f aca="false">IF(AND(ISNUMBER(B523),B523&gt;0,ISNUMBER(AB523),AB523&gt;0,J523&gt;=Data_Summary!$C$1),1,0)</f>
        <v>1</v>
      </c>
      <c r="B523" s="33" t="n">
        <v>815</v>
      </c>
      <c r="C523" s="5" t="n">
        <f aca="false">IF(ISNUMBER(AB523),AB523,"")</f>
        <v>3550</v>
      </c>
      <c r="D523" s="0" t="n">
        <f aca="false">IF(ISNUMBER(C523),C523-U523*Data_Summary!$C$2,"")</f>
        <v>3400</v>
      </c>
      <c r="E523" s="34" t="n">
        <f aca="false">IFERROR(C523/B523,"")</f>
        <v>4.3558282208589</v>
      </c>
      <c r="F523" s="26" t="n">
        <f aca="false">IFERROR(D523/B523,"")</f>
        <v>4.17177914110429</v>
      </c>
      <c r="G523" s="0" t="str">
        <f aca="false">Q523</f>
        <v>2</v>
      </c>
      <c r="H523" s="0" t="str">
        <f aca="false">IFERROR(LEFT(G523,1),"")</f>
        <v>2</v>
      </c>
      <c r="I523" s="0" t="n">
        <f aca="false">IF(LEN(G523)&gt;1,1,0)</f>
        <v>0</v>
      </c>
      <c r="J523" s="4" t="n">
        <v>45988</v>
      </c>
      <c r="K523" s="0" t="s">
        <v>12</v>
      </c>
      <c r="L523" s="0" t="s">
        <v>98</v>
      </c>
      <c r="M523" s="0" t="s">
        <v>226</v>
      </c>
      <c r="N523" s="0" t="s">
        <v>100</v>
      </c>
      <c r="O523" s="0" t="s">
        <v>2267</v>
      </c>
      <c r="Q523" s="0" t="s">
        <v>251</v>
      </c>
      <c r="R523" s="0" t="n">
        <v>2</v>
      </c>
      <c r="S523" s="5" t="n">
        <v>815</v>
      </c>
      <c r="T523" s="0" t="s">
        <v>259</v>
      </c>
      <c r="U523" s="0" t="n">
        <v>1</v>
      </c>
      <c r="V523" s="0" t="s">
        <v>230</v>
      </c>
      <c r="W523" s="0" t="s">
        <v>2546</v>
      </c>
      <c r="X523" s="0" t="s">
        <v>232</v>
      </c>
      <c r="Y523" s="0" t="s">
        <v>308</v>
      </c>
      <c r="Z523" s="0" t="s">
        <v>1550</v>
      </c>
      <c r="AA523" s="0" t="s">
        <v>235</v>
      </c>
      <c r="AB523" s="32" t="n">
        <v>3550</v>
      </c>
      <c r="AC523" s="32" t="n">
        <v>3599</v>
      </c>
      <c r="AD523" s="26" t="n">
        <f aca="false">IFERROR(AB523/B523,"")</f>
        <v>4.3558282208589</v>
      </c>
      <c r="AE523" s="26" t="n">
        <f aca="false">IFERROR(AC523/B523,"")</f>
        <v>4.4159509202454</v>
      </c>
      <c r="AF523" s="0" t="s">
        <v>236</v>
      </c>
      <c r="AG523" s="0" t="s">
        <v>236</v>
      </c>
      <c r="AH523" s="0" t="s">
        <v>236</v>
      </c>
      <c r="AI523" s="0" t="s">
        <v>2547</v>
      </c>
      <c r="AJ523" s="0" t="s">
        <v>2548</v>
      </c>
      <c r="AK523" s="0" t="s">
        <v>2549</v>
      </c>
      <c r="AL523" s="0" t="s">
        <v>2550</v>
      </c>
      <c r="AM523" s="0" t="s">
        <v>94</v>
      </c>
      <c r="AN523" s="26" t="n">
        <f aca="false">IFERROR(E523*(1+IF(AM523="Apartment",Data_Summary!$C$3,0)),"")</f>
        <v>4.3558282208589</v>
      </c>
      <c r="AO523" s="4" t="n">
        <v>46195</v>
      </c>
    </row>
    <row r="524" customFormat="false" ht="15" hidden="false" customHeight="false" outlineLevel="0" collapsed="false">
      <c r="A524" s="0" t="n">
        <f aca="false">IF(AND(ISNUMBER(B524),B524&gt;0,ISNUMBER(AB524),AB524&gt;0,J524&gt;=Data_Summary!$C$1),1,0)</f>
        <v>1</v>
      </c>
      <c r="B524" s="30" t="n">
        <v>927</v>
      </c>
      <c r="C524" s="5" t="n">
        <f aca="false">IF(ISNUMBER(AB524),AB524,"")</f>
        <v>4100</v>
      </c>
      <c r="D524" s="0" t="n">
        <f aca="false">IF(ISNUMBER(C524),C524-U524*Data_Summary!$C$2,"")</f>
        <v>3950</v>
      </c>
      <c r="E524" s="31" t="n">
        <f aca="false">IFERROR(C524/B524,"")</f>
        <v>4.42286947141316</v>
      </c>
      <c r="F524" s="26" t="n">
        <f aca="false">IFERROR(D524/B524,"")</f>
        <v>4.26105717367853</v>
      </c>
      <c r="G524" s="0" t="str">
        <f aca="false">Q524</f>
        <v>2</v>
      </c>
      <c r="H524" s="0" t="str">
        <f aca="false">IFERROR(LEFT(G524,1),"")</f>
        <v>2</v>
      </c>
      <c r="I524" s="0" t="n">
        <f aca="false">IF(LEN(G524)&gt;1,1,0)</f>
        <v>0</v>
      </c>
      <c r="J524" s="4" t="n">
        <v>45974</v>
      </c>
      <c r="K524" s="0" t="s">
        <v>12</v>
      </c>
      <c r="L524" s="0" t="s">
        <v>98</v>
      </c>
      <c r="M524" s="0" t="s">
        <v>226</v>
      </c>
      <c r="N524" s="0" t="s">
        <v>100</v>
      </c>
      <c r="O524" s="0" t="s">
        <v>2551</v>
      </c>
      <c r="Q524" s="0" t="s">
        <v>251</v>
      </c>
      <c r="R524" s="0" t="n">
        <v>2</v>
      </c>
      <c r="S524" s="5" t="n">
        <v>927</v>
      </c>
      <c r="T524" s="0" t="s">
        <v>259</v>
      </c>
      <c r="U524" s="0" t="n">
        <v>1</v>
      </c>
      <c r="V524" s="0" t="s">
        <v>230</v>
      </c>
      <c r="X524" s="0" t="s">
        <v>232</v>
      </c>
      <c r="Y524" s="0" t="s">
        <v>260</v>
      </c>
      <c r="Z524" s="0" t="s">
        <v>1550</v>
      </c>
      <c r="AA524" s="0" t="s">
        <v>235</v>
      </c>
      <c r="AB524" s="32" t="n">
        <v>4100</v>
      </c>
      <c r="AC524" s="32" t="n">
        <v>4200</v>
      </c>
      <c r="AD524" s="26" t="n">
        <f aca="false">IFERROR(AB524/B524,"")</f>
        <v>4.42286947141316</v>
      </c>
      <c r="AE524" s="26" t="n">
        <f aca="false">IFERROR(AC524/B524,"")</f>
        <v>4.53074433656958</v>
      </c>
      <c r="AF524" s="0" t="s">
        <v>236</v>
      </c>
      <c r="AG524" s="0" t="s">
        <v>236</v>
      </c>
      <c r="AH524" s="0" t="s">
        <v>236</v>
      </c>
      <c r="AI524" s="0" t="s">
        <v>2552</v>
      </c>
      <c r="AJ524" s="0" t="s">
        <v>2553</v>
      </c>
      <c r="AK524" s="0" t="s">
        <v>2554</v>
      </c>
      <c r="AL524" s="0" t="s">
        <v>2555</v>
      </c>
      <c r="AM524" s="0" t="s">
        <v>94</v>
      </c>
      <c r="AN524" s="26" t="n">
        <f aca="false">IFERROR(E524*(1+IF(AM524="Apartment",Data_Summary!$C$3,0)),"")</f>
        <v>4.42286947141316</v>
      </c>
      <c r="AO524" s="4" t="n">
        <v>46195</v>
      </c>
    </row>
    <row r="525" customFormat="false" ht="15" hidden="false" customHeight="false" outlineLevel="0" collapsed="false">
      <c r="A525" s="0" t="n">
        <f aca="false">IF(AND(ISNUMBER(B525),B525&gt;0,ISNUMBER(AB525),AB525&gt;0,J525&gt;=Data_Summary!$C$1),1,0)</f>
        <v>1</v>
      </c>
      <c r="B525" s="30" t="n">
        <v>527</v>
      </c>
      <c r="C525" s="5" t="n">
        <f aca="false">IF(ISNUMBER(AB525),AB525,"")</f>
        <v>2450</v>
      </c>
      <c r="D525" s="0" t="n">
        <f aca="false">IF(ISNUMBER(C525),C525-U525*Data_Summary!$C$2,"")</f>
        <v>2450</v>
      </c>
      <c r="E525" s="31" t="n">
        <f aca="false">IFERROR(C525/B525,"")</f>
        <v>4.64895635673624</v>
      </c>
      <c r="F525" s="26" t="n">
        <f aca="false">IFERROR(D525/B525,"")</f>
        <v>4.64895635673624</v>
      </c>
      <c r="G525" s="0" t="str">
        <f aca="false">Q525</f>
        <v>1</v>
      </c>
      <c r="H525" s="0" t="str">
        <f aca="false">IFERROR(LEFT(G525,1),"")</f>
        <v>1</v>
      </c>
      <c r="I525" s="0" t="n">
        <f aca="false">IF(LEN(G525)&gt;1,1,0)</f>
        <v>0</v>
      </c>
      <c r="J525" s="4" t="n">
        <v>45955</v>
      </c>
      <c r="K525" s="0" t="s">
        <v>12</v>
      </c>
      <c r="L525" s="0" t="s">
        <v>98</v>
      </c>
      <c r="M525" s="0" t="s">
        <v>226</v>
      </c>
      <c r="N525" s="0" t="s">
        <v>100</v>
      </c>
      <c r="O525" s="0" t="s">
        <v>2556</v>
      </c>
      <c r="Q525" s="0" t="s">
        <v>242</v>
      </c>
      <c r="R525" s="0" t="n">
        <v>1</v>
      </c>
      <c r="S525" s="5" t="n">
        <v>527</v>
      </c>
      <c r="T525" s="0" t="s">
        <v>243</v>
      </c>
      <c r="U525" s="0" t="n">
        <v>0</v>
      </c>
      <c r="V525" s="0" t="s">
        <v>230</v>
      </c>
      <c r="W525" s="0" t="s">
        <v>244</v>
      </c>
      <c r="X525" s="0" t="s">
        <v>232</v>
      </c>
      <c r="Y525" s="0" t="s">
        <v>272</v>
      </c>
      <c r="Z525" s="0" t="s">
        <v>1550</v>
      </c>
      <c r="AA525" s="0" t="s">
        <v>235</v>
      </c>
      <c r="AB525" s="32" t="n">
        <v>2450</v>
      </c>
      <c r="AC525" s="32" t="n">
        <v>2450</v>
      </c>
      <c r="AD525" s="26" t="n">
        <f aca="false">IFERROR(AB525/B525,"")</f>
        <v>4.64895635673624</v>
      </c>
      <c r="AE525" s="26" t="n">
        <f aca="false">IFERROR(AC525/B525,"")</f>
        <v>4.64895635673624</v>
      </c>
      <c r="AF525" s="0" t="s">
        <v>236</v>
      </c>
      <c r="AG525" s="0" t="s">
        <v>236</v>
      </c>
      <c r="AH525" s="0" t="s">
        <v>236</v>
      </c>
      <c r="AI525" s="0" t="s">
        <v>828</v>
      </c>
      <c r="AJ525" s="0" t="s">
        <v>2557</v>
      </c>
      <c r="AK525" s="0" t="s">
        <v>2558</v>
      </c>
      <c r="AL525" s="0" t="s">
        <v>2559</v>
      </c>
      <c r="AM525" s="0" t="s">
        <v>94</v>
      </c>
      <c r="AN525" s="26" t="n">
        <f aca="false">IFERROR(E525*(1+IF(AM525="Apartment",Data_Summary!$C$3,0)),"")</f>
        <v>4.64895635673624</v>
      </c>
      <c r="AO525" s="4" t="n">
        <v>46195</v>
      </c>
    </row>
    <row r="526" customFormat="false" ht="15" hidden="false" customHeight="false" outlineLevel="0" collapsed="false">
      <c r="A526" s="0" t="n">
        <f aca="false">IF(AND(ISNUMBER(B526),B526&gt;0,ISNUMBER(AB526),AB526&gt;0,J526&gt;=Data_Summary!$C$1),1,0)</f>
        <v>1</v>
      </c>
      <c r="B526" s="30" t="n">
        <v>878</v>
      </c>
      <c r="C526" s="5" t="n">
        <f aca="false">IF(ISNUMBER(AB526),AB526,"")</f>
        <v>3900</v>
      </c>
      <c r="D526" s="0" t="n">
        <f aca="false">IF(ISNUMBER(C526),C526-U526*Data_Summary!$C$2,"")</f>
        <v>3750</v>
      </c>
      <c r="E526" s="31" t="n">
        <f aca="false">IFERROR(C526/B526,"")</f>
        <v>4.44191343963554</v>
      </c>
      <c r="F526" s="26" t="n">
        <f aca="false">IFERROR(D526/B526,"")</f>
        <v>4.27107061503417</v>
      </c>
      <c r="G526" s="0" t="str">
        <f aca="false">Q526</f>
        <v>2</v>
      </c>
      <c r="H526" s="0" t="str">
        <f aca="false">IFERROR(LEFT(G526,1),"")</f>
        <v>2</v>
      </c>
      <c r="I526" s="0" t="n">
        <f aca="false">IF(LEN(G526)&gt;1,1,0)</f>
        <v>0</v>
      </c>
      <c r="J526" s="4" t="n">
        <v>45952</v>
      </c>
      <c r="K526" s="0" t="s">
        <v>12</v>
      </c>
      <c r="L526" s="0" t="s">
        <v>98</v>
      </c>
      <c r="M526" s="0" t="s">
        <v>226</v>
      </c>
      <c r="N526" s="0" t="s">
        <v>100</v>
      </c>
      <c r="O526" s="0" t="s">
        <v>2560</v>
      </c>
      <c r="Q526" s="0" t="s">
        <v>251</v>
      </c>
      <c r="R526" s="0" t="n">
        <v>2</v>
      </c>
      <c r="S526" s="5" t="n">
        <v>878</v>
      </c>
      <c r="T526" s="0" t="s">
        <v>229</v>
      </c>
      <c r="U526" s="0" t="n">
        <v>1</v>
      </c>
      <c r="V526" s="0" t="s">
        <v>230</v>
      </c>
      <c r="W526" s="0" t="s">
        <v>244</v>
      </c>
      <c r="X526" s="0" t="s">
        <v>232</v>
      </c>
      <c r="Y526" s="0" t="s">
        <v>233</v>
      </c>
      <c r="Z526" s="0" t="s">
        <v>1550</v>
      </c>
      <c r="AA526" s="0" t="s">
        <v>235</v>
      </c>
      <c r="AB526" s="32" t="n">
        <v>3900</v>
      </c>
      <c r="AC526" s="32" t="n">
        <v>3900</v>
      </c>
      <c r="AD526" s="26" t="n">
        <f aca="false">IFERROR(AB526/B526,"")</f>
        <v>4.44191343963554</v>
      </c>
      <c r="AE526" s="26" t="n">
        <f aca="false">IFERROR(AC526/B526,"")</f>
        <v>4.44191343963554</v>
      </c>
      <c r="AF526" s="0" t="s">
        <v>236</v>
      </c>
      <c r="AG526" s="0" t="s">
        <v>236</v>
      </c>
      <c r="AH526" s="0" t="s">
        <v>236</v>
      </c>
      <c r="AI526" s="0" t="s">
        <v>2561</v>
      </c>
      <c r="AJ526" s="0" t="s">
        <v>2562</v>
      </c>
      <c r="AK526" s="0" t="s">
        <v>2563</v>
      </c>
      <c r="AL526" s="0" t="s">
        <v>2564</v>
      </c>
      <c r="AM526" s="0" t="s">
        <v>94</v>
      </c>
      <c r="AN526" s="26" t="n">
        <f aca="false">IFERROR(E526*(1+IF(AM526="Apartment",Data_Summary!$C$3,0)),"")</f>
        <v>4.44191343963554</v>
      </c>
      <c r="AO526" s="4" t="n">
        <v>46195</v>
      </c>
    </row>
    <row r="527" customFormat="false" ht="15" hidden="false" customHeight="false" outlineLevel="0" collapsed="false">
      <c r="A527" s="0" t="n">
        <f aca="false">IF(AND(ISNUMBER(B527),B527&gt;0,ISNUMBER(AB527),AB527&gt;0,J527&gt;=Data_Summary!$C$1),1,0)</f>
        <v>1</v>
      </c>
      <c r="B527" s="30" t="n">
        <v>878</v>
      </c>
      <c r="C527" s="5" t="n">
        <f aca="false">IF(ISNUMBER(AB527),AB527,"")</f>
        <v>3800</v>
      </c>
      <c r="D527" s="0" t="n">
        <f aca="false">IF(ISNUMBER(C527),C527-U527*Data_Summary!$C$2,"")</f>
        <v>3650</v>
      </c>
      <c r="E527" s="31" t="n">
        <f aca="false">IFERROR(C527/B527,"")</f>
        <v>4.32801822323462</v>
      </c>
      <c r="F527" s="26" t="n">
        <f aca="false">IFERROR(D527/B527,"")</f>
        <v>4.15717539863326</v>
      </c>
      <c r="G527" s="0" t="str">
        <f aca="false">Q527</f>
        <v>2</v>
      </c>
      <c r="H527" s="0" t="str">
        <f aca="false">IFERROR(LEFT(G527,1),"")</f>
        <v>2</v>
      </c>
      <c r="I527" s="0" t="n">
        <f aca="false">IF(LEN(G527)&gt;1,1,0)</f>
        <v>0</v>
      </c>
      <c r="J527" s="4" t="n">
        <v>45943</v>
      </c>
      <c r="K527" s="0" t="s">
        <v>12</v>
      </c>
      <c r="L527" s="0" t="s">
        <v>98</v>
      </c>
      <c r="M527" s="0" t="s">
        <v>226</v>
      </c>
      <c r="N527" s="0" t="s">
        <v>100</v>
      </c>
      <c r="O527" s="0" t="s">
        <v>2565</v>
      </c>
      <c r="Q527" s="0" t="s">
        <v>251</v>
      </c>
      <c r="R527" s="0" t="n">
        <v>2</v>
      </c>
      <c r="S527" s="5" t="n">
        <v>878</v>
      </c>
      <c r="T527" s="0" t="s">
        <v>229</v>
      </c>
      <c r="U527" s="0" t="n">
        <v>1</v>
      </c>
      <c r="V527" s="0" t="s">
        <v>230</v>
      </c>
      <c r="W527" s="0" t="s">
        <v>244</v>
      </c>
      <c r="X527" s="0" t="s">
        <v>232</v>
      </c>
      <c r="Y527" s="0" t="s">
        <v>233</v>
      </c>
      <c r="Z527" s="0" t="s">
        <v>1550</v>
      </c>
      <c r="AA527" s="0" t="s">
        <v>235</v>
      </c>
      <c r="AB527" s="32" t="n">
        <v>3800</v>
      </c>
      <c r="AC527" s="32" t="n">
        <v>4000</v>
      </c>
      <c r="AD527" s="26" t="n">
        <f aca="false">IFERROR(AB527/B527,"")</f>
        <v>4.32801822323462</v>
      </c>
      <c r="AE527" s="26" t="n">
        <f aca="false">IFERROR(AC527/B527,"")</f>
        <v>4.55580865603645</v>
      </c>
      <c r="AF527" s="0" t="s">
        <v>236</v>
      </c>
      <c r="AG527" s="0" t="s">
        <v>236</v>
      </c>
      <c r="AH527" s="0" t="s">
        <v>236</v>
      </c>
      <c r="AI527" s="0" t="s">
        <v>2566</v>
      </c>
      <c r="AJ527" s="0" t="s">
        <v>2567</v>
      </c>
      <c r="AK527" s="0" t="s">
        <v>2568</v>
      </c>
      <c r="AL527" s="0" t="s">
        <v>2569</v>
      </c>
      <c r="AM527" s="0" t="s">
        <v>94</v>
      </c>
      <c r="AN527" s="26" t="n">
        <f aca="false">IFERROR(E527*(1+IF(AM527="Apartment",Data_Summary!$C$3,0)),"")</f>
        <v>4.32801822323462</v>
      </c>
      <c r="AO527" s="4" t="n">
        <v>46195</v>
      </c>
    </row>
    <row r="528" customFormat="false" ht="15" hidden="false" customHeight="false" outlineLevel="0" collapsed="false">
      <c r="A528" s="0" t="n">
        <f aca="false">IF(AND(ISNUMBER(B528),B528&gt;0,ISNUMBER(AB528),AB528&gt;0,J528&gt;=Data_Summary!$C$1),1,0)</f>
        <v>1</v>
      </c>
      <c r="B528" s="30" t="n">
        <v>558</v>
      </c>
      <c r="C528" s="5" t="n">
        <f aca="false">IF(ISNUMBER(AB528),AB528,"")</f>
        <v>2400</v>
      </c>
      <c r="D528" s="0" t="n">
        <f aca="false">IF(ISNUMBER(C528),C528-U528*Data_Summary!$C$2,"")</f>
        <v>2400</v>
      </c>
      <c r="E528" s="31" t="n">
        <f aca="false">IFERROR(C528/B528,"")</f>
        <v>4.3010752688172</v>
      </c>
      <c r="F528" s="26" t="n">
        <f aca="false">IFERROR(D528/B528,"")</f>
        <v>4.3010752688172</v>
      </c>
      <c r="G528" s="0" t="str">
        <f aca="false">Q528</f>
        <v>1</v>
      </c>
      <c r="H528" s="0" t="str">
        <f aca="false">IFERROR(LEFT(G528,1),"")</f>
        <v>1</v>
      </c>
      <c r="I528" s="0" t="n">
        <f aca="false">IF(LEN(G528)&gt;1,1,0)</f>
        <v>0</v>
      </c>
      <c r="J528" s="4" t="n">
        <v>45927</v>
      </c>
      <c r="K528" s="0" t="s">
        <v>12</v>
      </c>
      <c r="L528" s="0" t="s">
        <v>98</v>
      </c>
      <c r="M528" s="0" t="s">
        <v>226</v>
      </c>
      <c r="N528" s="0" t="s">
        <v>100</v>
      </c>
      <c r="O528" s="0" t="s">
        <v>1004</v>
      </c>
      <c r="Q528" s="0" t="s">
        <v>242</v>
      </c>
      <c r="R528" s="0" t="n">
        <v>1</v>
      </c>
      <c r="S528" s="5" t="n">
        <v>558</v>
      </c>
      <c r="T528" s="0" t="s">
        <v>243</v>
      </c>
      <c r="U528" s="0" t="n">
        <v>0</v>
      </c>
      <c r="V528" s="0" t="s">
        <v>230</v>
      </c>
      <c r="W528" s="0" t="s">
        <v>244</v>
      </c>
      <c r="X528" s="0" t="s">
        <v>232</v>
      </c>
      <c r="Y528" s="0" t="s">
        <v>272</v>
      </c>
      <c r="Z528" s="0" t="s">
        <v>1550</v>
      </c>
      <c r="AA528" s="0" t="s">
        <v>235</v>
      </c>
      <c r="AB528" s="32" t="n">
        <v>2400</v>
      </c>
      <c r="AC528" s="32" t="n">
        <v>2450</v>
      </c>
      <c r="AD528" s="26" t="n">
        <f aca="false">IFERROR(AB528/B528,"")</f>
        <v>4.3010752688172</v>
      </c>
      <c r="AE528" s="26" t="n">
        <f aca="false">IFERROR(AC528/B528,"")</f>
        <v>4.39068100358423</v>
      </c>
      <c r="AF528" s="0" t="s">
        <v>236</v>
      </c>
      <c r="AG528" s="0" t="s">
        <v>236</v>
      </c>
      <c r="AH528" s="0" t="s">
        <v>236</v>
      </c>
      <c r="AI528" s="0" t="s">
        <v>2570</v>
      </c>
      <c r="AJ528" s="0" t="s">
        <v>2571</v>
      </c>
      <c r="AK528" s="0" t="s">
        <v>2572</v>
      </c>
      <c r="AL528" s="0" t="s">
        <v>2573</v>
      </c>
      <c r="AM528" s="0" t="s">
        <v>94</v>
      </c>
      <c r="AN528" s="26" t="n">
        <f aca="false">IFERROR(E528*(1+IF(AM528="Apartment",Data_Summary!$C$3,0)),"")</f>
        <v>4.3010752688172</v>
      </c>
      <c r="AO528" s="4" t="n">
        <v>46195</v>
      </c>
    </row>
    <row r="529" customFormat="false" ht="15" hidden="false" customHeight="false" outlineLevel="0" collapsed="false">
      <c r="A529" s="0" t="n">
        <f aca="false">IF(AND(ISNUMBER(B529),B529&gt;0,ISNUMBER(AB529),AB529&gt;0,J529&gt;=Data_Summary!$C$1),1,0)</f>
        <v>1</v>
      </c>
      <c r="B529" s="30" t="n">
        <v>652</v>
      </c>
      <c r="C529" s="5" t="n">
        <f aca="false">IF(ISNUMBER(AB529),AB529,"")</f>
        <v>2900</v>
      </c>
      <c r="D529" s="0" t="n">
        <f aca="false">IF(ISNUMBER(C529),C529-U529*Data_Summary!$C$2,"")</f>
        <v>2900</v>
      </c>
      <c r="E529" s="31" t="n">
        <f aca="false">IFERROR(C529/B529,"")</f>
        <v>4.4478527607362</v>
      </c>
      <c r="F529" s="26" t="n">
        <f aca="false">IFERROR(D529/B529,"")</f>
        <v>4.4478527607362</v>
      </c>
      <c r="G529" s="0" t="str">
        <f aca="false">Q529</f>
        <v>1+1</v>
      </c>
      <c r="H529" s="0" t="str">
        <f aca="false">IFERROR(LEFT(G529,1),"")</f>
        <v>1</v>
      </c>
      <c r="I529" s="0" t="n">
        <f aca="false">IF(LEN(G529)&gt;1,1,0)</f>
        <v>1</v>
      </c>
      <c r="J529" s="4" t="n">
        <v>45918</v>
      </c>
      <c r="K529" s="0" t="s">
        <v>12</v>
      </c>
      <c r="L529" s="0" t="s">
        <v>98</v>
      </c>
      <c r="M529" s="0" t="s">
        <v>226</v>
      </c>
      <c r="N529" s="0" t="s">
        <v>100</v>
      </c>
      <c r="O529" s="0" t="s">
        <v>2574</v>
      </c>
      <c r="Q529" s="0" t="s">
        <v>270</v>
      </c>
      <c r="R529" s="0" t="n">
        <v>1</v>
      </c>
      <c r="S529" s="5" t="n">
        <v>652</v>
      </c>
      <c r="T529" s="0" t="s">
        <v>271</v>
      </c>
      <c r="U529" s="0" t="n">
        <v>0</v>
      </c>
      <c r="V529" s="0" t="s">
        <v>230</v>
      </c>
      <c r="W529" s="0" t="s">
        <v>244</v>
      </c>
      <c r="X529" s="0" t="s">
        <v>232</v>
      </c>
      <c r="Y529" s="0" t="s">
        <v>272</v>
      </c>
      <c r="Z529" s="0" t="s">
        <v>1550</v>
      </c>
      <c r="AA529" s="0" t="s">
        <v>235</v>
      </c>
      <c r="AB529" s="32" t="n">
        <v>2900</v>
      </c>
      <c r="AC529" s="32" t="n">
        <v>2550</v>
      </c>
      <c r="AD529" s="26" t="n">
        <f aca="false">IFERROR(AB529/B529,"")</f>
        <v>4.4478527607362</v>
      </c>
      <c r="AE529" s="26" t="n">
        <f aca="false">IFERROR(AC529/B529,"")</f>
        <v>3.91104294478528</v>
      </c>
      <c r="AF529" s="0" t="s">
        <v>236</v>
      </c>
      <c r="AG529" s="0" t="s">
        <v>236</v>
      </c>
      <c r="AH529" s="0" t="s">
        <v>236</v>
      </c>
      <c r="AI529" s="0" t="s">
        <v>868</v>
      </c>
      <c r="AJ529" s="0" t="s">
        <v>2575</v>
      </c>
      <c r="AK529" s="0" t="s">
        <v>2576</v>
      </c>
      <c r="AL529" s="0" t="s">
        <v>2577</v>
      </c>
      <c r="AM529" s="0" t="s">
        <v>94</v>
      </c>
      <c r="AN529" s="26" t="n">
        <f aca="false">IFERROR(E529*(1+IF(AM529="Apartment",Data_Summary!$C$3,0)),"")</f>
        <v>4.4478527607362</v>
      </c>
      <c r="AO529" s="4" t="n">
        <v>46195</v>
      </c>
    </row>
    <row r="530" customFormat="false" ht="15" hidden="false" customHeight="false" outlineLevel="0" collapsed="false">
      <c r="A530" s="0" t="n">
        <f aca="false">IF(AND(ISNUMBER(B530),B530&gt;0,ISNUMBER(AB530),AB530&gt;0,J530&gt;=Data_Summary!$C$1),1,0)</f>
        <v>1</v>
      </c>
      <c r="B530" s="30" t="n">
        <v>815</v>
      </c>
      <c r="C530" s="5" t="n">
        <f aca="false">IF(ISNUMBER(AB530),AB530,"")</f>
        <v>3800</v>
      </c>
      <c r="D530" s="0" t="n">
        <f aca="false">IF(ISNUMBER(C530),C530-U530*Data_Summary!$C$2,"")</f>
        <v>3650</v>
      </c>
      <c r="E530" s="31" t="n">
        <f aca="false">IFERROR(C530/B530,"")</f>
        <v>4.66257668711656</v>
      </c>
      <c r="F530" s="26" t="n">
        <f aca="false">IFERROR(D530/B530,"")</f>
        <v>4.47852760736196</v>
      </c>
      <c r="G530" s="0" t="str">
        <f aca="false">Q530</f>
        <v>2</v>
      </c>
      <c r="H530" s="0" t="str">
        <f aca="false">IFERROR(LEFT(G530,1),"")</f>
        <v>2</v>
      </c>
      <c r="I530" s="0" t="n">
        <f aca="false">IF(LEN(G530)&gt;1,1,0)</f>
        <v>0</v>
      </c>
      <c r="J530" s="4" t="n">
        <v>45916</v>
      </c>
      <c r="K530" s="0" t="s">
        <v>12</v>
      </c>
      <c r="L530" s="0" t="s">
        <v>98</v>
      </c>
      <c r="M530" s="0" t="s">
        <v>226</v>
      </c>
      <c r="N530" s="0" t="s">
        <v>100</v>
      </c>
      <c r="O530" s="0" t="s">
        <v>558</v>
      </c>
      <c r="Q530" s="0" t="s">
        <v>251</v>
      </c>
      <c r="R530" s="0" t="n">
        <v>2</v>
      </c>
      <c r="S530" s="5" t="n">
        <v>815</v>
      </c>
      <c r="T530" s="0" t="s">
        <v>229</v>
      </c>
      <c r="U530" s="0" t="n">
        <v>1</v>
      </c>
      <c r="V530" s="0" t="s">
        <v>230</v>
      </c>
      <c r="W530" s="0" t="s">
        <v>231</v>
      </c>
      <c r="X530" s="0" t="s">
        <v>232</v>
      </c>
      <c r="Y530" s="0" t="s">
        <v>308</v>
      </c>
      <c r="Z530" s="0" t="s">
        <v>1550</v>
      </c>
      <c r="AA530" s="0" t="s">
        <v>235</v>
      </c>
      <c r="AB530" s="32" t="n">
        <v>3800</v>
      </c>
      <c r="AC530" s="32" t="n">
        <v>3800</v>
      </c>
      <c r="AD530" s="26" t="n">
        <f aca="false">IFERROR(AB530/B530,"")</f>
        <v>4.66257668711656</v>
      </c>
      <c r="AE530" s="26" t="n">
        <f aca="false">IFERROR(AC530/B530,"")</f>
        <v>4.66257668711656</v>
      </c>
      <c r="AF530" s="0" t="s">
        <v>236</v>
      </c>
      <c r="AG530" s="0" t="s">
        <v>236</v>
      </c>
      <c r="AH530" s="0" t="s">
        <v>236</v>
      </c>
      <c r="AI530" s="0" t="s">
        <v>2578</v>
      </c>
      <c r="AJ530" s="0" t="s">
        <v>2579</v>
      </c>
      <c r="AK530" s="0" t="s">
        <v>2580</v>
      </c>
      <c r="AL530" s="0" t="s">
        <v>2581</v>
      </c>
      <c r="AM530" s="0" t="s">
        <v>94</v>
      </c>
      <c r="AN530" s="26" t="n">
        <f aca="false">IFERROR(E530*(1+IF(AM530="Apartment",Data_Summary!$C$3,0)),"")</f>
        <v>4.66257668711656</v>
      </c>
      <c r="AO530" s="4" t="n">
        <v>46195</v>
      </c>
    </row>
    <row r="531" customFormat="false" ht="15" hidden="false" customHeight="false" outlineLevel="0" collapsed="false">
      <c r="A531" s="0" t="n">
        <f aca="false">IF(AND(ISNUMBER(B531),B531&gt;0,ISNUMBER(AB531),AB531&gt;0,J531&gt;=Data_Summary!$C$1),1,0)</f>
        <v>1</v>
      </c>
      <c r="B531" s="33" t="n">
        <v>998</v>
      </c>
      <c r="C531" s="5" t="n">
        <f aca="false">IF(ISNUMBER(AB531),AB531,"")</f>
        <v>5500</v>
      </c>
      <c r="D531" s="0" t="n">
        <f aca="false">IF(ISNUMBER(C531),C531-U531*Data_Summary!$C$2,"")</f>
        <v>5350</v>
      </c>
      <c r="E531" s="34" t="n">
        <f aca="false">IFERROR(C531/B531,"")</f>
        <v>5.51102204408818</v>
      </c>
      <c r="F531" s="26" t="n">
        <f aca="false">IFERROR(D531/B531,"")</f>
        <v>5.36072144288577</v>
      </c>
      <c r="G531" s="0" t="str">
        <f aca="false">Q531</f>
        <v>2+1</v>
      </c>
      <c r="H531" s="0" t="str">
        <f aca="false">IFERROR(LEFT(G531,1),"")</f>
        <v>2</v>
      </c>
      <c r="I531" s="0" t="n">
        <f aca="false">IF(LEN(G531)&gt;1,1,0)</f>
        <v>1</v>
      </c>
      <c r="J531" s="4" t="n">
        <v>45902</v>
      </c>
      <c r="K531" s="0" t="s">
        <v>12</v>
      </c>
      <c r="L531" s="0" t="s">
        <v>98</v>
      </c>
      <c r="M531" s="0" t="s">
        <v>226</v>
      </c>
      <c r="N531" s="0" t="s">
        <v>100</v>
      </c>
      <c r="O531" s="0" t="s">
        <v>972</v>
      </c>
      <c r="Q531" s="0" t="s">
        <v>451</v>
      </c>
      <c r="R531" s="0" t="n">
        <v>2</v>
      </c>
      <c r="S531" s="5" t="n">
        <v>998</v>
      </c>
      <c r="T531" s="0" t="s">
        <v>265</v>
      </c>
      <c r="U531" s="0" t="n">
        <v>1</v>
      </c>
      <c r="V531" s="0" t="s">
        <v>230</v>
      </c>
      <c r="W531" s="0" t="s">
        <v>244</v>
      </c>
      <c r="X531" s="0" t="s">
        <v>232</v>
      </c>
      <c r="Y531" s="0" t="s">
        <v>245</v>
      </c>
      <c r="Z531" s="0" t="s">
        <v>1550</v>
      </c>
      <c r="AA531" s="0" t="s">
        <v>235</v>
      </c>
      <c r="AB531" s="32" t="n">
        <v>5500</v>
      </c>
      <c r="AC531" s="32" t="n">
        <v>5500</v>
      </c>
      <c r="AD531" s="26" t="n">
        <f aca="false">IFERROR(AB531/B531,"")</f>
        <v>5.51102204408818</v>
      </c>
      <c r="AE531" s="26" t="n">
        <f aca="false">IFERROR(AC531/B531,"")</f>
        <v>5.51102204408818</v>
      </c>
      <c r="AF531" s="0" t="s">
        <v>230</v>
      </c>
      <c r="AG531" s="0" t="s">
        <v>236</v>
      </c>
      <c r="AH531" s="0" t="s">
        <v>236</v>
      </c>
      <c r="AI531" s="0" t="s">
        <v>2582</v>
      </c>
      <c r="AJ531" s="0" t="s">
        <v>2583</v>
      </c>
      <c r="AK531" s="0" t="s">
        <v>2584</v>
      </c>
      <c r="AL531" s="0" t="s">
        <v>2585</v>
      </c>
      <c r="AM531" s="0" t="s">
        <v>94</v>
      </c>
      <c r="AN531" s="26" t="n">
        <f aca="false">IFERROR(E531*(1+IF(AM531="Apartment",Data_Summary!$C$3,0)),"")</f>
        <v>5.51102204408818</v>
      </c>
      <c r="AO531" s="4" t="n">
        <v>46195</v>
      </c>
    </row>
    <row r="532" customFormat="false" ht="15" hidden="false" customHeight="false" outlineLevel="0" collapsed="false">
      <c r="A532" s="0" t="n">
        <f aca="false">IF(AND(ISNUMBER(B532),B532&gt;0,ISNUMBER(AB532),AB532&gt;0,J532&gt;=Data_Summary!$C$1),1,0)</f>
        <v>1</v>
      </c>
      <c r="B532" s="30" t="n">
        <v>1004</v>
      </c>
      <c r="C532" s="5" t="n">
        <f aca="false">IF(ISNUMBER(AB532),AB532,"")</f>
        <v>4100</v>
      </c>
      <c r="D532" s="0" t="n">
        <f aca="false">IF(ISNUMBER(C532),C532-U532*Data_Summary!$C$2,"")</f>
        <v>3950</v>
      </c>
      <c r="E532" s="31" t="n">
        <f aca="false">IFERROR(C532/B532,"")</f>
        <v>4.08366533864542</v>
      </c>
      <c r="F532" s="26" t="n">
        <f aca="false">IFERROR(D532/B532,"")</f>
        <v>3.93426294820717</v>
      </c>
      <c r="G532" s="0" t="str">
        <f aca="false">Q532</f>
        <v>3</v>
      </c>
      <c r="H532" s="0" t="str">
        <f aca="false">IFERROR(LEFT(G532,1),"")</f>
        <v>3</v>
      </c>
      <c r="I532" s="0" t="n">
        <f aca="false">IF(LEN(G532)&gt;1,1,0)</f>
        <v>0</v>
      </c>
      <c r="J532" s="4" t="n">
        <v>45896</v>
      </c>
      <c r="K532" s="0" t="s">
        <v>12</v>
      </c>
      <c r="L532" s="0" t="s">
        <v>98</v>
      </c>
      <c r="M532" s="0" t="s">
        <v>226</v>
      </c>
      <c r="N532" s="0" t="s">
        <v>100</v>
      </c>
      <c r="O532" s="0" t="s">
        <v>506</v>
      </c>
      <c r="Q532" s="0" t="s">
        <v>228</v>
      </c>
      <c r="R532" s="0" t="n">
        <v>2</v>
      </c>
      <c r="S532" s="5" t="n">
        <v>1004</v>
      </c>
      <c r="T532" s="0" t="s">
        <v>265</v>
      </c>
      <c r="U532" s="0" t="n">
        <v>1</v>
      </c>
      <c r="V532" s="0" t="s">
        <v>230</v>
      </c>
      <c r="W532" s="0" t="s">
        <v>244</v>
      </c>
      <c r="X532" s="0" t="s">
        <v>232</v>
      </c>
      <c r="Y532" s="0" t="s">
        <v>245</v>
      </c>
      <c r="Z532" s="0" t="s">
        <v>1550</v>
      </c>
      <c r="AA532" s="0" t="s">
        <v>235</v>
      </c>
      <c r="AB532" s="32" t="n">
        <v>4100</v>
      </c>
      <c r="AC532" s="32" t="n">
        <v>4100</v>
      </c>
      <c r="AD532" s="26" t="n">
        <f aca="false">IFERROR(AB532/B532,"")</f>
        <v>4.08366533864542</v>
      </c>
      <c r="AE532" s="26" t="n">
        <f aca="false">IFERROR(AC532/B532,"")</f>
        <v>4.08366533864542</v>
      </c>
      <c r="AF532" s="0" t="s">
        <v>236</v>
      </c>
      <c r="AG532" s="0" t="s">
        <v>236</v>
      </c>
      <c r="AH532" s="0" t="s">
        <v>236</v>
      </c>
      <c r="AI532" s="0" t="s">
        <v>2586</v>
      </c>
      <c r="AJ532" s="0" t="s">
        <v>2587</v>
      </c>
      <c r="AK532" s="0" t="s">
        <v>2588</v>
      </c>
      <c r="AL532" s="0" t="s">
        <v>2589</v>
      </c>
      <c r="AM532" s="0" t="s">
        <v>94</v>
      </c>
      <c r="AN532" s="26" t="n">
        <f aca="false">IFERROR(E532*(1+IF(AM532="Apartment",Data_Summary!$C$3,0)),"")</f>
        <v>4.08366533864542</v>
      </c>
      <c r="AO532" s="4" t="n">
        <v>46195</v>
      </c>
    </row>
    <row r="533" customFormat="false" ht="15" hidden="false" customHeight="false" outlineLevel="0" collapsed="false">
      <c r="A533" s="0" t="n">
        <f aca="false">IF(AND(ISNUMBER(B533),B533&gt;0,ISNUMBER(AB533),AB533&gt;0,J533&gt;=Data_Summary!$C$1),1,0)</f>
        <v>1</v>
      </c>
      <c r="B533" s="30" t="n">
        <v>527</v>
      </c>
      <c r="C533" s="5" t="n">
        <f aca="false">IF(ISNUMBER(AB533),AB533,"")</f>
        <v>2500</v>
      </c>
      <c r="D533" s="0" t="n">
        <f aca="false">IF(ISNUMBER(C533),C533-U533*Data_Summary!$C$2,"")</f>
        <v>2500</v>
      </c>
      <c r="E533" s="31" t="n">
        <f aca="false">IFERROR(C533/B533,"")</f>
        <v>4.7438330170778</v>
      </c>
      <c r="F533" s="26" t="n">
        <f aca="false">IFERROR(D533/B533,"")</f>
        <v>4.7438330170778</v>
      </c>
      <c r="G533" s="0" t="str">
        <f aca="false">Q533</f>
        <v>1</v>
      </c>
      <c r="H533" s="0" t="str">
        <f aca="false">IFERROR(LEFT(G533,1),"")</f>
        <v>1</v>
      </c>
      <c r="I533" s="0" t="n">
        <f aca="false">IF(LEN(G533)&gt;1,1,0)</f>
        <v>0</v>
      </c>
      <c r="J533" s="4" t="n">
        <v>45895</v>
      </c>
      <c r="K533" s="0" t="s">
        <v>12</v>
      </c>
      <c r="L533" s="0" t="s">
        <v>98</v>
      </c>
      <c r="M533" s="0" t="s">
        <v>226</v>
      </c>
      <c r="N533" s="0" t="s">
        <v>100</v>
      </c>
      <c r="O533" s="0" t="s">
        <v>2329</v>
      </c>
      <c r="Q533" s="0" t="s">
        <v>242</v>
      </c>
      <c r="R533" s="0" t="n">
        <v>1</v>
      </c>
      <c r="S533" s="5" t="n">
        <v>527</v>
      </c>
      <c r="T533" s="0" t="s">
        <v>243</v>
      </c>
      <c r="U533" s="0" t="n">
        <v>0</v>
      </c>
      <c r="V533" s="0" t="s">
        <v>230</v>
      </c>
      <c r="W533" s="0" t="s">
        <v>231</v>
      </c>
      <c r="X533" s="0" t="s">
        <v>232</v>
      </c>
      <c r="Y533" s="0" t="s">
        <v>272</v>
      </c>
      <c r="Z533" s="0" t="s">
        <v>1550</v>
      </c>
      <c r="AA533" s="0" t="s">
        <v>235</v>
      </c>
      <c r="AB533" s="32" t="n">
        <v>2500</v>
      </c>
      <c r="AC533" s="32" t="n">
        <v>2500</v>
      </c>
      <c r="AD533" s="26" t="n">
        <f aca="false">IFERROR(AB533/B533,"")</f>
        <v>4.7438330170778</v>
      </c>
      <c r="AE533" s="26" t="n">
        <f aca="false">IFERROR(AC533/B533,"")</f>
        <v>4.7438330170778</v>
      </c>
      <c r="AF533" s="0" t="s">
        <v>236</v>
      </c>
      <c r="AG533" s="0" t="s">
        <v>236</v>
      </c>
      <c r="AH533" s="0" t="s">
        <v>236</v>
      </c>
      <c r="AI533" s="0" t="s">
        <v>2034</v>
      </c>
      <c r="AJ533" s="0" t="s">
        <v>2590</v>
      </c>
      <c r="AK533" s="0" t="s">
        <v>2591</v>
      </c>
      <c r="AL533" s="0" t="s">
        <v>2592</v>
      </c>
      <c r="AM533" s="0" t="s">
        <v>94</v>
      </c>
      <c r="AN533" s="26" t="n">
        <f aca="false">IFERROR(E533*(1+IF(AM533="Apartment",Data_Summary!$C$3,0)),"")</f>
        <v>4.7438330170778</v>
      </c>
      <c r="AO533" s="4" t="n">
        <v>46195</v>
      </c>
    </row>
    <row r="534" customFormat="false" ht="15" hidden="false" customHeight="false" outlineLevel="0" collapsed="false">
      <c r="A534" s="0" t="n">
        <f aca="false">IF(AND(ISNUMBER(B534),B534&gt;0,ISNUMBER(AB534),AB534&gt;0,J534&gt;=Data_Summary!$C$1),1,0)</f>
        <v>1</v>
      </c>
      <c r="B534" s="30" t="n">
        <v>558</v>
      </c>
      <c r="C534" s="5" t="n">
        <f aca="false">IF(ISNUMBER(AB534),AB534,"")</f>
        <v>2600</v>
      </c>
      <c r="D534" s="0" t="n">
        <f aca="false">IF(ISNUMBER(C534),C534-U534*Data_Summary!$C$2,"")</f>
        <v>2600</v>
      </c>
      <c r="E534" s="31" t="n">
        <f aca="false">IFERROR(C534/B534,"")</f>
        <v>4.65949820788531</v>
      </c>
      <c r="F534" s="26" t="n">
        <f aca="false">IFERROR(D534/B534,"")</f>
        <v>4.65949820788531</v>
      </c>
      <c r="G534" s="0" t="str">
        <f aca="false">Q534</f>
        <v>1</v>
      </c>
      <c r="H534" s="0" t="str">
        <f aca="false">IFERROR(LEFT(G534,1),"")</f>
        <v>1</v>
      </c>
      <c r="I534" s="0" t="n">
        <f aca="false">IF(LEN(G534)&gt;1,1,0)</f>
        <v>0</v>
      </c>
      <c r="J534" s="4" t="n">
        <v>45882</v>
      </c>
      <c r="K534" s="0" t="s">
        <v>12</v>
      </c>
      <c r="L534" s="0" t="s">
        <v>98</v>
      </c>
      <c r="M534" s="0" t="s">
        <v>226</v>
      </c>
      <c r="N534" s="0" t="s">
        <v>100</v>
      </c>
      <c r="O534" s="0" t="s">
        <v>2593</v>
      </c>
      <c r="Q534" s="0" t="s">
        <v>242</v>
      </c>
      <c r="R534" s="0" t="n">
        <v>1</v>
      </c>
      <c r="S534" s="5" t="n">
        <v>558</v>
      </c>
      <c r="T534" s="0" t="s">
        <v>243</v>
      </c>
      <c r="U534" s="0" t="n">
        <v>0</v>
      </c>
      <c r="V534" s="0" t="s">
        <v>230</v>
      </c>
      <c r="W534" s="0" t="s">
        <v>244</v>
      </c>
      <c r="X534" s="0" t="s">
        <v>232</v>
      </c>
      <c r="Y534" s="0" t="s">
        <v>272</v>
      </c>
      <c r="Z534" s="0" t="s">
        <v>1550</v>
      </c>
      <c r="AA534" s="0" t="s">
        <v>235</v>
      </c>
      <c r="AB534" s="32" t="n">
        <v>2600</v>
      </c>
      <c r="AC534" s="32" t="n">
        <v>2500</v>
      </c>
      <c r="AD534" s="26" t="n">
        <f aca="false">IFERROR(AB534/B534,"")</f>
        <v>4.65949820788531</v>
      </c>
      <c r="AE534" s="26" t="n">
        <f aca="false">IFERROR(AC534/B534,"")</f>
        <v>4.48028673835125</v>
      </c>
      <c r="AF534" s="0" t="s">
        <v>236</v>
      </c>
      <c r="AG534" s="0" t="s">
        <v>236</v>
      </c>
      <c r="AH534" s="0" t="s">
        <v>236</v>
      </c>
      <c r="AI534" s="0" t="s">
        <v>922</v>
      </c>
      <c r="AJ534" s="0" t="s">
        <v>2594</v>
      </c>
      <c r="AK534" s="0" t="s">
        <v>2595</v>
      </c>
      <c r="AL534" s="0" t="s">
        <v>2596</v>
      </c>
      <c r="AM534" s="0" t="s">
        <v>94</v>
      </c>
      <c r="AN534" s="26" t="n">
        <f aca="false">IFERROR(E534*(1+IF(AM534="Apartment",Data_Summary!$C$3,0)),"")</f>
        <v>4.65949820788531</v>
      </c>
      <c r="AO534" s="4" t="n">
        <v>46195</v>
      </c>
    </row>
    <row r="535" customFormat="false" ht="15" hidden="false" customHeight="false" outlineLevel="0" collapsed="false">
      <c r="A535" s="0" t="n">
        <f aca="false">IF(AND(ISNUMBER(B535),B535&gt;0,ISNUMBER(AB535),AB535&gt;0,J535&gt;=Data_Summary!$C$1),1,0)</f>
        <v>1</v>
      </c>
      <c r="B535" s="30" t="n">
        <v>1982</v>
      </c>
      <c r="C535" s="5" t="n">
        <f aca="false">IF(ISNUMBER(AB535),AB535,"")</f>
        <v>11800</v>
      </c>
      <c r="D535" s="0" t="n">
        <f aca="false">IF(ISNUMBER(C535),C535-U535*Data_Summary!$C$2,"")</f>
        <v>11650</v>
      </c>
      <c r="E535" s="31" t="n">
        <f aca="false">IFERROR(C535/B535,"")</f>
        <v>5.95358224016145</v>
      </c>
      <c r="F535" s="26" t="n">
        <f aca="false">IFERROR(D535/B535,"")</f>
        <v>5.87790110998991</v>
      </c>
      <c r="G535" s="0" t="str">
        <f aca="false">Q535</f>
        <v>2</v>
      </c>
      <c r="H535" s="0" t="str">
        <f aca="false">IFERROR(LEFT(G535,1),"")</f>
        <v>2</v>
      </c>
      <c r="I535" s="0" t="n">
        <f aca="false">IF(LEN(G535)&gt;1,1,0)</f>
        <v>0</v>
      </c>
      <c r="J535" s="4" t="n">
        <v>45875</v>
      </c>
      <c r="K535" s="0" t="s">
        <v>12</v>
      </c>
      <c r="L535" s="0" t="s">
        <v>98</v>
      </c>
      <c r="M535" s="0" t="s">
        <v>226</v>
      </c>
      <c r="N535" s="0" t="s">
        <v>100</v>
      </c>
      <c r="O535" s="0" t="s">
        <v>1926</v>
      </c>
      <c r="Q535" s="0" t="s">
        <v>251</v>
      </c>
      <c r="R535" s="0" t="n">
        <v>4</v>
      </c>
      <c r="S535" s="5" t="n">
        <v>1982</v>
      </c>
      <c r="T535" s="0" t="s">
        <v>2597</v>
      </c>
      <c r="U535" s="0" t="n">
        <v>1</v>
      </c>
      <c r="V535" s="0" t="s">
        <v>230</v>
      </c>
      <c r="W535" s="0" t="s">
        <v>231</v>
      </c>
      <c r="X535" s="0" t="s">
        <v>232</v>
      </c>
      <c r="Y535" s="0" t="s">
        <v>233</v>
      </c>
      <c r="Z535" s="0" t="s">
        <v>1550</v>
      </c>
      <c r="AA535" s="0" t="s">
        <v>235</v>
      </c>
      <c r="AB535" s="32" t="n">
        <v>11800</v>
      </c>
      <c r="AC535" s="32" t="n">
        <v>11000</v>
      </c>
      <c r="AD535" s="26" t="n">
        <f aca="false">IFERROR(AB535/B535,"")</f>
        <v>5.95358224016145</v>
      </c>
      <c r="AE535" s="26" t="n">
        <f aca="false">IFERROR(AC535/B535,"")</f>
        <v>5.54994954591322</v>
      </c>
      <c r="AF535" s="0" t="s">
        <v>236</v>
      </c>
      <c r="AG535" s="0" t="s">
        <v>236</v>
      </c>
      <c r="AH535" s="0" t="s">
        <v>236</v>
      </c>
      <c r="AI535" s="0" t="s">
        <v>955</v>
      </c>
      <c r="AJ535" s="0" t="s">
        <v>2598</v>
      </c>
      <c r="AK535" s="0" t="s">
        <v>2599</v>
      </c>
      <c r="AL535" s="0" t="s">
        <v>2600</v>
      </c>
      <c r="AM535" s="0" t="s">
        <v>94</v>
      </c>
      <c r="AN535" s="26" t="n">
        <f aca="false">IFERROR(E535*(1+IF(AM535="Apartment",Data_Summary!$C$3,0)),"")</f>
        <v>5.95358224016145</v>
      </c>
      <c r="AO535" s="4" t="n">
        <v>46195</v>
      </c>
    </row>
    <row r="536" customFormat="false" ht="15" hidden="false" customHeight="false" outlineLevel="0" collapsed="false">
      <c r="A536" s="0" t="n">
        <f aca="false">IF(AND(ISNUMBER(B536),B536&gt;0,ISNUMBER(AB536),AB536&gt;0,J536&gt;=Data_Summary!$C$1),1,0)</f>
        <v>1</v>
      </c>
      <c r="B536" s="30" t="n">
        <v>994</v>
      </c>
      <c r="C536" s="5" t="n">
        <f aca="false">IF(ISNUMBER(AB536),AB536,"")</f>
        <v>4100</v>
      </c>
      <c r="D536" s="0" t="n">
        <f aca="false">IF(ISNUMBER(C536),C536-U536*Data_Summary!$C$2,"")</f>
        <v>3950</v>
      </c>
      <c r="E536" s="31" t="n">
        <f aca="false">IFERROR(C536/B536,"")</f>
        <v>4.12474849094567</v>
      </c>
      <c r="F536" s="26" t="n">
        <f aca="false">IFERROR(D536/B536,"")</f>
        <v>3.9738430583501</v>
      </c>
      <c r="G536" s="0" t="str">
        <f aca="false">Q536</f>
        <v>2+1</v>
      </c>
      <c r="H536" s="0" t="str">
        <f aca="false">IFERROR(LEFT(G536,1),"")</f>
        <v>2</v>
      </c>
      <c r="I536" s="0" t="n">
        <f aca="false">IF(LEN(G536)&gt;1,1,0)</f>
        <v>1</v>
      </c>
      <c r="J536" s="4" t="n">
        <v>45866</v>
      </c>
      <c r="K536" s="0" t="s">
        <v>12</v>
      </c>
      <c r="L536" s="0" t="s">
        <v>98</v>
      </c>
      <c r="M536" s="0" t="s">
        <v>226</v>
      </c>
      <c r="N536" s="0" t="s">
        <v>100</v>
      </c>
      <c r="O536" s="0" t="s">
        <v>317</v>
      </c>
      <c r="Q536" s="0" t="s">
        <v>451</v>
      </c>
      <c r="R536" s="0" t="n">
        <v>2</v>
      </c>
      <c r="S536" s="5" t="n">
        <v>994</v>
      </c>
      <c r="T536" s="0" t="s">
        <v>259</v>
      </c>
      <c r="U536" s="0" t="n">
        <v>1</v>
      </c>
      <c r="V536" s="0" t="s">
        <v>230</v>
      </c>
      <c r="W536" s="0" t="s">
        <v>244</v>
      </c>
      <c r="X536" s="0" t="s">
        <v>232</v>
      </c>
      <c r="Y536" s="0" t="s">
        <v>245</v>
      </c>
      <c r="Z536" s="0" t="s">
        <v>1550</v>
      </c>
      <c r="AA536" s="0" t="s">
        <v>235</v>
      </c>
      <c r="AB536" s="32" t="n">
        <v>4100</v>
      </c>
      <c r="AC536" s="32" t="n">
        <v>4100</v>
      </c>
      <c r="AD536" s="26" t="n">
        <f aca="false">IFERROR(AB536/B536,"")</f>
        <v>4.12474849094567</v>
      </c>
      <c r="AE536" s="26" t="n">
        <f aca="false">IFERROR(AC536/B536,"")</f>
        <v>4.12474849094567</v>
      </c>
      <c r="AF536" s="0" t="s">
        <v>236</v>
      </c>
      <c r="AG536" s="0" t="s">
        <v>236</v>
      </c>
      <c r="AH536" s="0" t="s">
        <v>236</v>
      </c>
      <c r="AI536" s="0" t="s">
        <v>1000</v>
      </c>
      <c r="AJ536" s="0" t="s">
        <v>2601</v>
      </c>
      <c r="AK536" s="0" t="s">
        <v>2602</v>
      </c>
      <c r="AL536" s="0" t="s">
        <v>2603</v>
      </c>
      <c r="AM536" s="0" t="s">
        <v>94</v>
      </c>
      <c r="AN536" s="26" t="n">
        <f aca="false">IFERROR(E536*(1+IF(AM536="Apartment",Data_Summary!$C$3,0)),"")</f>
        <v>4.12474849094567</v>
      </c>
      <c r="AO536" s="4" t="n">
        <v>46195</v>
      </c>
    </row>
    <row r="537" customFormat="false" ht="15" hidden="false" customHeight="false" outlineLevel="0" collapsed="false">
      <c r="A537" s="0" t="n">
        <f aca="false">IF(AND(ISNUMBER(B537),B537&gt;0,ISNUMBER(AB537),AB537&gt;0,J537&gt;=Data_Summary!$C$1),1,0)</f>
        <v>1</v>
      </c>
      <c r="B537" s="30" t="n">
        <v>927</v>
      </c>
      <c r="C537" s="5" t="n">
        <f aca="false">IF(ISNUMBER(AB537),AB537,"")</f>
        <v>3975</v>
      </c>
      <c r="D537" s="0" t="n">
        <f aca="false">IF(ISNUMBER(C537),C537-U537*Data_Summary!$C$2,"")</f>
        <v>3825</v>
      </c>
      <c r="E537" s="31" t="n">
        <f aca="false">IFERROR(C537/B537,"")</f>
        <v>4.28802588996764</v>
      </c>
      <c r="F537" s="26" t="n">
        <f aca="false">IFERROR(D537/B537,"")</f>
        <v>4.12621359223301</v>
      </c>
      <c r="G537" s="0" t="str">
        <f aca="false">Q537</f>
        <v>2</v>
      </c>
      <c r="H537" s="0" t="str">
        <f aca="false">IFERROR(LEFT(G537,1),"")</f>
        <v>2</v>
      </c>
      <c r="I537" s="0" t="n">
        <f aca="false">IF(LEN(G537)&gt;1,1,0)</f>
        <v>0</v>
      </c>
      <c r="J537" s="4" t="n">
        <v>45863</v>
      </c>
      <c r="K537" s="0" t="s">
        <v>12</v>
      </c>
      <c r="L537" s="0" t="s">
        <v>98</v>
      </c>
      <c r="M537" s="0" t="s">
        <v>226</v>
      </c>
      <c r="N537" s="0" t="s">
        <v>100</v>
      </c>
      <c r="O537" s="0" t="s">
        <v>2604</v>
      </c>
      <c r="Q537" s="0" t="s">
        <v>251</v>
      </c>
      <c r="R537" s="0" t="n">
        <v>2</v>
      </c>
      <c r="S537" s="5" t="n">
        <v>927</v>
      </c>
      <c r="T537" s="0" t="s">
        <v>259</v>
      </c>
      <c r="U537" s="0" t="n">
        <v>1</v>
      </c>
      <c r="V537" s="0" t="s">
        <v>230</v>
      </c>
      <c r="W537" s="0" t="s">
        <v>244</v>
      </c>
      <c r="X537" s="0" t="s">
        <v>232</v>
      </c>
      <c r="Y537" s="0" t="s">
        <v>260</v>
      </c>
      <c r="Z537" s="0" t="s">
        <v>1550</v>
      </c>
      <c r="AA537" s="0" t="s">
        <v>235</v>
      </c>
      <c r="AB537" s="32" t="n">
        <v>3975</v>
      </c>
      <c r="AC537" s="32" t="n">
        <v>3950</v>
      </c>
      <c r="AD537" s="26" t="n">
        <f aca="false">IFERROR(AB537/B537,"")</f>
        <v>4.28802588996764</v>
      </c>
      <c r="AE537" s="26" t="n">
        <f aca="false">IFERROR(AC537/B537,"")</f>
        <v>4.26105717367853</v>
      </c>
      <c r="AF537" s="0" t="s">
        <v>236</v>
      </c>
      <c r="AG537" s="0" t="s">
        <v>236</v>
      </c>
      <c r="AH537" s="0" t="s">
        <v>236</v>
      </c>
      <c r="AI537" s="0" t="s">
        <v>1009</v>
      </c>
      <c r="AJ537" s="0" t="s">
        <v>2605</v>
      </c>
      <c r="AK537" s="0" t="s">
        <v>2606</v>
      </c>
      <c r="AL537" s="0" t="s">
        <v>2607</v>
      </c>
      <c r="AM537" s="0" t="s">
        <v>94</v>
      </c>
      <c r="AN537" s="26" t="n">
        <f aca="false">IFERROR(E537*(1+IF(AM537="Apartment",Data_Summary!$C$3,0)),"")</f>
        <v>4.28802588996764</v>
      </c>
      <c r="AO537" s="4" t="n">
        <v>46195</v>
      </c>
    </row>
    <row r="538" customFormat="false" ht="15" hidden="false" customHeight="false" outlineLevel="0" collapsed="false">
      <c r="A538" s="0" t="n">
        <f aca="false">IF(AND(ISNUMBER(B538),B538&gt;0,ISNUMBER(AB538),AB538&gt;0,J538&gt;=Data_Summary!$C$1),1,0)</f>
        <v>1</v>
      </c>
      <c r="B538" s="30" t="n">
        <v>1004</v>
      </c>
      <c r="C538" s="5" t="n">
        <f aca="false">IF(ISNUMBER(AB538),AB538,"")</f>
        <v>4000</v>
      </c>
      <c r="D538" s="0" t="n">
        <f aca="false">IF(ISNUMBER(C538),C538-U538*Data_Summary!$C$2,"")</f>
        <v>3850</v>
      </c>
      <c r="E538" s="31" t="n">
        <f aca="false">IFERROR(C538/B538,"")</f>
        <v>3.98406374501992</v>
      </c>
      <c r="F538" s="26" t="n">
        <f aca="false">IFERROR(D538/B538,"")</f>
        <v>3.83466135458167</v>
      </c>
      <c r="G538" s="0" t="str">
        <f aca="false">Q538</f>
        <v>3</v>
      </c>
      <c r="H538" s="0" t="str">
        <f aca="false">IFERROR(LEFT(G538,1),"")</f>
        <v>3</v>
      </c>
      <c r="I538" s="0" t="n">
        <f aca="false">IF(LEN(G538)&gt;1,1,0)</f>
        <v>0</v>
      </c>
      <c r="J538" s="4" t="n">
        <v>45862</v>
      </c>
      <c r="K538" s="0" t="s">
        <v>12</v>
      </c>
      <c r="L538" s="0" t="s">
        <v>98</v>
      </c>
      <c r="M538" s="0" t="s">
        <v>226</v>
      </c>
      <c r="N538" s="0" t="s">
        <v>100</v>
      </c>
      <c r="O538" s="0" t="s">
        <v>2509</v>
      </c>
      <c r="Q538" s="0" t="s">
        <v>228</v>
      </c>
      <c r="R538" s="0" t="n">
        <v>2</v>
      </c>
      <c r="S538" s="5" t="n">
        <v>1004</v>
      </c>
      <c r="T538" s="0" t="s">
        <v>265</v>
      </c>
      <c r="U538" s="0" t="n">
        <v>1</v>
      </c>
      <c r="V538" s="0" t="s">
        <v>230</v>
      </c>
      <c r="W538" s="0" t="s">
        <v>244</v>
      </c>
      <c r="X538" s="0" t="s">
        <v>232</v>
      </c>
      <c r="Y538" s="0" t="s">
        <v>297</v>
      </c>
      <c r="Z538" s="0" t="s">
        <v>1550</v>
      </c>
      <c r="AA538" s="0" t="s">
        <v>235</v>
      </c>
      <c r="AB538" s="32" t="n">
        <v>4000</v>
      </c>
      <c r="AC538" s="32" t="n">
        <v>4000</v>
      </c>
      <c r="AD538" s="26" t="n">
        <f aca="false">IFERROR(AB538/B538,"")</f>
        <v>3.98406374501992</v>
      </c>
      <c r="AE538" s="26" t="n">
        <f aca="false">IFERROR(AC538/B538,"")</f>
        <v>3.98406374501992</v>
      </c>
      <c r="AF538" s="0" t="s">
        <v>236</v>
      </c>
      <c r="AG538" s="0" t="s">
        <v>236</v>
      </c>
      <c r="AH538" s="0" t="s">
        <v>236</v>
      </c>
      <c r="AI538" s="0" t="s">
        <v>1021</v>
      </c>
      <c r="AJ538" s="0" t="s">
        <v>2608</v>
      </c>
      <c r="AK538" s="0" t="s">
        <v>2609</v>
      </c>
      <c r="AL538" s="0" t="s">
        <v>2610</v>
      </c>
      <c r="AM538" s="0" t="s">
        <v>94</v>
      </c>
      <c r="AN538" s="26" t="n">
        <f aca="false">IFERROR(E538*(1+IF(AM538="Apartment",Data_Summary!$C$3,0)),"")</f>
        <v>3.98406374501992</v>
      </c>
      <c r="AO538" s="4" t="n">
        <v>46195</v>
      </c>
    </row>
    <row r="539" customFormat="false" ht="15" hidden="false" customHeight="false" outlineLevel="0" collapsed="false">
      <c r="A539" s="0" t="n">
        <f aca="false">IF(AND(ISNUMBER(B539),B539&gt;0,ISNUMBER(AB539),AB539&gt;0,J539&gt;=Data_Summary!$C$1),1,0)</f>
        <v>1</v>
      </c>
      <c r="B539" s="30" t="n">
        <v>1004</v>
      </c>
      <c r="C539" s="5" t="n">
        <f aca="false">IF(ISNUMBER(AB539),AB539,"")</f>
        <v>4350</v>
      </c>
      <c r="D539" s="0" t="n">
        <f aca="false">IF(ISNUMBER(C539),C539-U539*Data_Summary!$C$2,"")</f>
        <v>4200</v>
      </c>
      <c r="E539" s="31" t="n">
        <f aca="false">IFERROR(C539/B539,"")</f>
        <v>4.33266932270916</v>
      </c>
      <c r="F539" s="26" t="n">
        <f aca="false">IFERROR(D539/B539,"")</f>
        <v>4.18326693227092</v>
      </c>
      <c r="G539" s="0" t="str">
        <f aca="false">Q539</f>
        <v>3</v>
      </c>
      <c r="H539" s="0" t="str">
        <f aca="false">IFERROR(LEFT(G539,1),"")</f>
        <v>3</v>
      </c>
      <c r="I539" s="0" t="n">
        <f aca="false">IF(LEN(G539)&gt;1,1,0)</f>
        <v>0</v>
      </c>
      <c r="J539" s="4" t="n">
        <v>45861</v>
      </c>
      <c r="K539" s="0" t="s">
        <v>12</v>
      </c>
      <c r="L539" s="0" t="s">
        <v>98</v>
      </c>
      <c r="M539" s="0" t="s">
        <v>226</v>
      </c>
      <c r="N539" s="0" t="s">
        <v>100</v>
      </c>
      <c r="O539" s="0" t="s">
        <v>832</v>
      </c>
      <c r="Q539" s="0" t="s">
        <v>228</v>
      </c>
      <c r="R539" s="0" t="n">
        <v>2</v>
      </c>
      <c r="S539" s="5" t="n">
        <v>1004</v>
      </c>
      <c r="T539" s="0" t="s">
        <v>265</v>
      </c>
      <c r="U539" s="0" t="n">
        <v>1</v>
      </c>
      <c r="V539" s="0" t="s">
        <v>230</v>
      </c>
      <c r="W539" s="0" t="s">
        <v>231</v>
      </c>
      <c r="X539" s="0" t="s">
        <v>232</v>
      </c>
      <c r="Y539" s="0" t="s">
        <v>245</v>
      </c>
      <c r="Z539" s="0" t="s">
        <v>1550</v>
      </c>
      <c r="AA539" s="0" t="s">
        <v>235</v>
      </c>
      <c r="AB539" s="32" t="n">
        <v>4350</v>
      </c>
      <c r="AC539" s="32" t="n">
        <v>4500</v>
      </c>
      <c r="AD539" s="26" t="n">
        <f aca="false">IFERROR(AB539/B539,"")</f>
        <v>4.33266932270916</v>
      </c>
      <c r="AE539" s="26" t="n">
        <f aca="false">IFERROR(AC539/B539,"")</f>
        <v>4.48207171314741</v>
      </c>
      <c r="AF539" s="0" t="s">
        <v>236</v>
      </c>
      <c r="AG539" s="0" t="s">
        <v>236</v>
      </c>
      <c r="AH539" s="0" t="s">
        <v>236</v>
      </c>
      <c r="AI539" s="0" t="s">
        <v>2098</v>
      </c>
      <c r="AJ539" s="0" t="s">
        <v>2611</v>
      </c>
      <c r="AK539" s="0" t="s">
        <v>2612</v>
      </c>
      <c r="AL539" s="0" t="s">
        <v>2613</v>
      </c>
      <c r="AM539" s="0" t="s">
        <v>94</v>
      </c>
      <c r="AN539" s="26" t="n">
        <f aca="false">IFERROR(E539*(1+IF(AM539="Apartment",Data_Summary!$C$3,0)),"")</f>
        <v>4.33266932270916</v>
      </c>
      <c r="AO539" s="4" t="n">
        <v>46195</v>
      </c>
    </row>
    <row r="540" customFormat="false" ht="15" hidden="false" customHeight="false" outlineLevel="0" collapsed="false">
      <c r="A540" s="0" t="n">
        <f aca="false">IF(AND(ISNUMBER(B540),B540&gt;0,ISNUMBER(AB540),AB540&gt;0,J540&gt;=Data_Summary!$C$1),1,0)</f>
        <v>1</v>
      </c>
      <c r="B540" s="30" t="n">
        <v>1004</v>
      </c>
      <c r="C540" s="5" t="n">
        <f aca="false">IF(ISNUMBER(AB540),AB540,"")</f>
        <v>4000</v>
      </c>
      <c r="D540" s="0" t="n">
        <f aca="false">IF(ISNUMBER(C540),C540-U540*Data_Summary!$C$2,"")</f>
        <v>3850</v>
      </c>
      <c r="E540" s="31" t="n">
        <f aca="false">IFERROR(C540/B540,"")</f>
        <v>3.98406374501992</v>
      </c>
      <c r="F540" s="26" t="n">
        <f aca="false">IFERROR(D540/B540,"")</f>
        <v>3.83466135458167</v>
      </c>
      <c r="G540" s="0" t="str">
        <f aca="false">Q540</f>
        <v>3</v>
      </c>
      <c r="H540" s="0" t="str">
        <f aca="false">IFERROR(LEFT(G540,1),"")</f>
        <v>3</v>
      </c>
      <c r="I540" s="0" t="n">
        <f aca="false">IF(LEN(G540)&gt;1,1,0)</f>
        <v>0</v>
      </c>
      <c r="J540" s="4" t="n">
        <v>45860</v>
      </c>
      <c r="K540" s="0" t="s">
        <v>12</v>
      </c>
      <c r="L540" s="0" t="s">
        <v>98</v>
      </c>
      <c r="M540" s="0" t="s">
        <v>226</v>
      </c>
      <c r="N540" s="0" t="s">
        <v>100</v>
      </c>
      <c r="O540" s="0" t="s">
        <v>2614</v>
      </c>
      <c r="Q540" s="0" t="s">
        <v>228</v>
      </c>
      <c r="R540" s="0" t="n">
        <v>2</v>
      </c>
      <c r="S540" s="5" t="n">
        <v>1004</v>
      </c>
      <c r="T540" s="0" t="s">
        <v>265</v>
      </c>
      <c r="U540" s="0" t="n">
        <v>1</v>
      </c>
      <c r="V540" s="0" t="s">
        <v>230</v>
      </c>
      <c r="W540" s="0" t="s">
        <v>231</v>
      </c>
      <c r="X540" s="0" t="s">
        <v>232</v>
      </c>
      <c r="Y540" s="0" t="s">
        <v>245</v>
      </c>
      <c r="Z540" s="0" t="s">
        <v>1550</v>
      </c>
      <c r="AA540" s="0" t="s">
        <v>235</v>
      </c>
      <c r="AB540" s="32" t="n">
        <v>4000</v>
      </c>
      <c r="AC540" s="32" t="n">
        <v>4000</v>
      </c>
      <c r="AD540" s="26" t="n">
        <f aca="false">IFERROR(AB540/B540,"")</f>
        <v>3.98406374501992</v>
      </c>
      <c r="AE540" s="26" t="n">
        <f aca="false">IFERROR(AC540/B540,"")</f>
        <v>3.98406374501992</v>
      </c>
      <c r="AF540" s="0" t="s">
        <v>236</v>
      </c>
      <c r="AG540" s="0" t="s">
        <v>236</v>
      </c>
      <c r="AH540" s="0" t="s">
        <v>236</v>
      </c>
      <c r="AI540" s="0" t="s">
        <v>1026</v>
      </c>
      <c r="AJ540" s="0" t="s">
        <v>2615</v>
      </c>
      <c r="AK540" s="0" t="s">
        <v>2616</v>
      </c>
      <c r="AL540" s="0" t="s">
        <v>2617</v>
      </c>
      <c r="AM540" s="0" t="s">
        <v>94</v>
      </c>
      <c r="AN540" s="26" t="n">
        <f aca="false">IFERROR(E540*(1+IF(AM540="Apartment",Data_Summary!$C$3,0)),"")</f>
        <v>3.98406374501992</v>
      </c>
      <c r="AO540" s="4" t="n">
        <v>46195</v>
      </c>
    </row>
    <row r="541" customFormat="false" ht="15" hidden="false" customHeight="false" outlineLevel="0" collapsed="false">
      <c r="A541" s="0" t="n">
        <f aca="false">IF(AND(ISNUMBER(B541),B541&gt;0,ISNUMBER(AB541),AB541&gt;0,J541&gt;=Data_Summary!$C$1),1,0)</f>
        <v>1</v>
      </c>
      <c r="B541" s="30" t="n">
        <v>652</v>
      </c>
      <c r="C541" s="5" t="n">
        <f aca="false">IF(ISNUMBER(AB541),AB541,"")</f>
        <v>2800</v>
      </c>
      <c r="D541" s="0" t="n">
        <f aca="false">IF(ISNUMBER(C541),C541-U541*Data_Summary!$C$2,"")</f>
        <v>2800</v>
      </c>
      <c r="E541" s="31" t="n">
        <f aca="false">IFERROR(C541/B541,"")</f>
        <v>4.29447852760736</v>
      </c>
      <c r="F541" s="26" t="n">
        <f aca="false">IFERROR(D541/B541,"")</f>
        <v>4.29447852760736</v>
      </c>
      <c r="G541" s="0" t="str">
        <f aca="false">Q541</f>
        <v>1+1</v>
      </c>
      <c r="H541" s="0" t="str">
        <f aca="false">IFERROR(LEFT(G541,1),"")</f>
        <v>1</v>
      </c>
      <c r="I541" s="0" t="n">
        <f aca="false">IF(LEN(G541)&gt;1,1,0)</f>
        <v>1</v>
      </c>
      <c r="J541" s="4" t="n">
        <v>45856</v>
      </c>
      <c r="K541" s="0" t="s">
        <v>12</v>
      </c>
      <c r="L541" s="0" t="s">
        <v>98</v>
      </c>
      <c r="M541" s="0" t="s">
        <v>226</v>
      </c>
      <c r="N541" s="0" t="s">
        <v>100</v>
      </c>
      <c r="O541" s="0" t="s">
        <v>1513</v>
      </c>
      <c r="Q541" s="0" t="s">
        <v>270</v>
      </c>
      <c r="R541" s="0" t="n">
        <v>1</v>
      </c>
      <c r="S541" s="5" t="n">
        <v>652</v>
      </c>
      <c r="T541" s="0" t="s">
        <v>271</v>
      </c>
      <c r="U541" s="0" t="n">
        <v>0</v>
      </c>
      <c r="V541" s="0" t="s">
        <v>230</v>
      </c>
      <c r="W541" s="0" t="s">
        <v>244</v>
      </c>
      <c r="X541" s="0" t="s">
        <v>232</v>
      </c>
      <c r="Y541" s="0" t="s">
        <v>272</v>
      </c>
      <c r="Z541" s="0" t="s">
        <v>1550</v>
      </c>
      <c r="AA541" s="0" t="s">
        <v>235</v>
      </c>
      <c r="AB541" s="32" t="n">
        <v>2800</v>
      </c>
      <c r="AC541" s="32" t="n">
        <v>2650</v>
      </c>
      <c r="AD541" s="26" t="n">
        <f aca="false">IFERROR(AB541/B541,"")</f>
        <v>4.29447852760736</v>
      </c>
      <c r="AE541" s="26" t="n">
        <f aca="false">IFERROR(AC541/B541,"")</f>
        <v>4.06441717791411</v>
      </c>
      <c r="AF541" s="0" t="s">
        <v>236</v>
      </c>
      <c r="AG541" s="0" t="s">
        <v>236</v>
      </c>
      <c r="AH541" s="0" t="s">
        <v>236</v>
      </c>
      <c r="AI541" s="0" t="s">
        <v>1049</v>
      </c>
      <c r="AJ541" s="0" t="s">
        <v>2618</v>
      </c>
      <c r="AK541" s="0" t="s">
        <v>2619</v>
      </c>
      <c r="AL541" s="0" t="s">
        <v>2620</v>
      </c>
      <c r="AM541" s="0" t="s">
        <v>94</v>
      </c>
      <c r="AN541" s="26" t="n">
        <f aca="false">IFERROR(E541*(1+IF(AM541="Apartment",Data_Summary!$C$3,0)),"")</f>
        <v>4.29447852760736</v>
      </c>
      <c r="AO541" s="4" t="n">
        <v>46195</v>
      </c>
    </row>
    <row r="542" customFormat="false" ht="15" hidden="false" customHeight="false" outlineLevel="0" collapsed="false">
      <c r="A542" s="0" t="n">
        <f aca="false">IF(AND(ISNUMBER(B542),B542&gt;0,ISNUMBER(AB542),AB542&gt;0,J542&gt;=Data_Summary!$C$1),1,0)</f>
        <v>1</v>
      </c>
      <c r="B542" s="30" t="n">
        <v>523</v>
      </c>
      <c r="C542" s="5" t="n">
        <f aca="false">IF(ISNUMBER(AB542),AB542,"")</f>
        <v>2400</v>
      </c>
      <c r="D542" s="0" t="n">
        <f aca="false">IF(ISNUMBER(C542),C542-U542*Data_Summary!$C$2,"")</f>
        <v>2400</v>
      </c>
      <c r="E542" s="31" t="n">
        <f aca="false">IFERROR(C542/B542,"")</f>
        <v>4.58891013384321</v>
      </c>
      <c r="F542" s="26" t="n">
        <f aca="false">IFERROR(D542/B542,"")</f>
        <v>4.58891013384321</v>
      </c>
      <c r="G542" s="0" t="str">
        <f aca="false">Q542</f>
        <v>1</v>
      </c>
      <c r="H542" s="0" t="str">
        <f aca="false">IFERROR(LEFT(G542,1),"")</f>
        <v>1</v>
      </c>
      <c r="I542" s="0" t="n">
        <f aca="false">IF(LEN(G542)&gt;1,1,0)</f>
        <v>0</v>
      </c>
      <c r="J542" s="4" t="n">
        <v>45856</v>
      </c>
      <c r="K542" s="0" t="s">
        <v>12</v>
      </c>
      <c r="L542" s="0" t="s">
        <v>98</v>
      </c>
      <c r="M542" s="0" t="s">
        <v>226</v>
      </c>
      <c r="N542" s="0" t="s">
        <v>100</v>
      </c>
      <c r="O542" s="0" t="s">
        <v>2621</v>
      </c>
      <c r="Q542" s="0" t="s">
        <v>242</v>
      </c>
      <c r="R542" s="0" t="n">
        <v>1</v>
      </c>
      <c r="S542" s="5" t="n">
        <v>523</v>
      </c>
      <c r="T542" s="0" t="s">
        <v>243</v>
      </c>
      <c r="U542" s="0" t="n">
        <v>0</v>
      </c>
      <c r="V542" s="0" t="s">
        <v>230</v>
      </c>
      <c r="W542" s="0" t="s">
        <v>244</v>
      </c>
      <c r="X542" s="0" t="s">
        <v>232</v>
      </c>
      <c r="Y542" s="0" t="s">
        <v>272</v>
      </c>
      <c r="Z542" s="0" t="s">
        <v>1550</v>
      </c>
      <c r="AA542" s="0" t="s">
        <v>235</v>
      </c>
      <c r="AB542" s="32" t="n">
        <v>2400</v>
      </c>
      <c r="AC542" s="32" t="n">
        <v>2400</v>
      </c>
      <c r="AD542" s="26" t="n">
        <f aca="false">IFERROR(AB542/B542,"")</f>
        <v>4.58891013384321</v>
      </c>
      <c r="AE542" s="26" t="n">
        <f aca="false">IFERROR(AC542/B542,"")</f>
        <v>4.58891013384321</v>
      </c>
      <c r="AF542" s="0" t="s">
        <v>236</v>
      </c>
      <c r="AG542" s="0" t="s">
        <v>236</v>
      </c>
      <c r="AH542" s="0" t="s">
        <v>236</v>
      </c>
      <c r="AI542" s="0" t="s">
        <v>1049</v>
      </c>
      <c r="AJ542" s="0" t="s">
        <v>2622</v>
      </c>
      <c r="AK542" s="0" t="s">
        <v>2623</v>
      </c>
      <c r="AL542" s="0" t="s">
        <v>2624</v>
      </c>
      <c r="AM542" s="0" t="s">
        <v>94</v>
      </c>
      <c r="AN542" s="26" t="n">
        <f aca="false">IFERROR(E542*(1+IF(AM542="Apartment",Data_Summary!$C$3,0)),"")</f>
        <v>4.58891013384321</v>
      </c>
      <c r="AO542" s="4" t="n">
        <v>46195</v>
      </c>
    </row>
    <row r="543" customFormat="false" ht="15" hidden="false" customHeight="false" outlineLevel="0" collapsed="false">
      <c r="A543" s="0" t="n">
        <f aca="false">IF(AND(ISNUMBER(B543),B543&gt;0,ISNUMBER(AB543),AB543&gt;0,J543&gt;=Data_Summary!$C$1),1,0)</f>
        <v>1</v>
      </c>
      <c r="B543" s="30" t="n">
        <v>660</v>
      </c>
      <c r="C543" s="5" t="n">
        <f aca="false">IF(ISNUMBER(AB543),AB543,"")</f>
        <v>2800</v>
      </c>
      <c r="D543" s="0" t="n">
        <f aca="false">IF(ISNUMBER(C543),C543-U543*Data_Summary!$C$2,"")</f>
        <v>2800</v>
      </c>
      <c r="E543" s="31" t="n">
        <f aca="false">IFERROR(C543/B543,"")</f>
        <v>4.24242424242424</v>
      </c>
      <c r="F543" s="26" t="n">
        <f aca="false">IFERROR(D543/B543,"")</f>
        <v>4.24242424242424</v>
      </c>
      <c r="G543" s="0" t="str">
        <f aca="false">Q543</f>
        <v>1+1</v>
      </c>
      <c r="H543" s="0" t="str">
        <f aca="false">IFERROR(LEFT(G543,1),"")</f>
        <v>1</v>
      </c>
      <c r="I543" s="0" t="n">
        <f aca="false">IF(LEN(G543)&gt;1,1,0)</f>
        <v>1</v>
      </c>
      <c r="J543" s="4" t="n">
        <v>45845</v>
      </c>
      <c r="K543" s="0" t="s">
        <v>12</v>
      </c>
      <c r="L543" s="0" t="s">
        <v>98</v>
      </c>
      <c r="M543" s="0" t="s">
        <v>226</v>
      </c>
      <c r="N543" s="0" t="s">
        <v>100</v>
      </c>
      <c r="O543" s="0" t="s">
        <v>2625</v>
      </c>
      <c r="Q543" s="0" t="s">
        <v>270</v>
      </c>
      <c r="R543" s="0" t="n">
        <v>2</v>
      </c>
      <c r="S543" s="5" t="n">
        <v>660</v>
      </c>
      <c r="T543" s="0" t="s">
        <v>271</v>
      </c>
      <c r="U543" s="0" t="n">
        <v>0</v>
      </c>
      <c r="V543" s="0" t="s">
        <v>230</v>
      </c>
      <c r="W543" s="0" t="s">
        <v>244</v>
      </c>
      <c r="X543" s="0" t="s">
        <v>232</v>
      </c>
      <c r="Y543" s="0" t="s">
        <v>272</v>
      </c>
      <c r="Z543" s="0" t="s">
        <v>1550</v>
      </c>
      <c r="AA543" s="0" t="s">
        <v>235</v>
      </c>
      <c r="AB543" s="32" t="n">
        <v>2800</v>
      </c>
      <c r="AC543" s="32" t="n">
        <v>2800</v>
      </c>
      <c r="AD543" s="26" t="n">
        <f aca="false">IFERROR(AB543/B543,"")</f>
        <v>4.24242424242424</v>
      </c>
      <c r="AE543" s="26" t="n">
        <f aca="false">IFERROR(AC543/B543,"")</f>
        <v>4.24242424242424</v>
      </c>
      <c r="AF543" s="0" t="s">
        <v>236</v>
      </c>
      <c r="AG543" s="0" t="s">
        <v>236</v>
      </c>
      <c r="AH543" s="0" t="s">
        <v>236</v>
      </c>
      <c r="AI543" s="0" t="s">
        <v>1143</v>
      </c>
      <c r="AJ543" s="0" t="s">
        <v>2626</v>
      </c>
      <c r="AK543" s="0" t="s">
        <v>2627</v>
      </c>
      <c r="AL543" s="0" t="s">
        <v>2628</v>
      </c>
      <c r="AM543" s="0" t="s">
        <v>94</v>
      </c>
      <c r="AN543" s="26" t="n">
        <f aca="false">IFERROR(E543*(1+IF(AM543="Apartment",Data_Summary!$C$3,0)),"")</f>
        <v>4.24242424242424</v>
      </c>
      <c r="AO543" s="4" t="n">
        <v>46195</v>
      </c>
    </row>
    <row r="544" customFormat="false" ht="15" hidden="false" customHeight="false" outlineLevel="0" collapsed="false">
      <c r="A544" s="0" t="n">
        <f aca="false">IF(AND(ISNUMBER(B544),B544&gt;0,ISNUMBER(AB544),AB544&gt;0,J544&gt;=Data_Summary!$C$1),1,0)</f>
        <v>1</v>
      </c>
      <c r="B544" s="33" t="n">
        <v>652</v>
      </c>
      <c r="C544" s="5" t="n">
        <f aca="false">IF(ISNUMBER(AB544),AB544,"")</f>
        <v>2800</v>
      </c>
      <c r="D544" s="0" t="n">
        <f aca="false">IF(ISNUMBER(C544),C544-U544*Data_Summary!$C$2,"")</f>
        <v>2800</v>
      </c>
      <c r="E544" s="34" t="n">
        <f aca="false">IFERROR(C544/B544,"")</f>
        <v>4.29447852760736</v>
      </c>
      <c r="F544" s="26" t="n">
        <f aca="false">IFERROR(D544/B544,"")</f>
        <v>4.29447852760736</v>
      </c>
      <c r="G544" s="0" t="str">
        <f aca="false">Q544</f>
        <v>1+1</v>
      </c>
      <c r="H544" s="0" t="str">
        <f aca="false">IFERROR(LEFT(G544,1),"")</f>
        <v>1</v>
      </c>
      <c r="I544" s="0" t="n">
        <f aca="false">IF(LEN(G544)&gt;1,1,0)</f>
        <v>1</v>
      </c>
      <c r="J544" s="4" t="n">
        <v>45842</v>
      </c>
      <c r="K544" s="0" t="s">
        <v>12</v>
      </c>
      <c r="L544" s="0" t="s">
        <v>98</v>
      </c>
      <c r="M544" s="0" t="s">
        <v>226</v>
      </c>
      <c r="N544" s="0" t="s">
        <v>100</v>
      </c>
      <c r="O544" s="0" t="s">
        <v>2629</v>
      </c>
      <c r="Q544" s="0" t="s">
        <v>270</v>
      </c>
      <c r="R544" s="0" t="n">
        <v>1</v>
      </c>
      <c r="S544" s="5" t="n">
        <v>652</v>
      </c>
      <c r="T544" s="0" t="s">
        <v>271</v>
      </c>
      <c r="U544" s="0" t="n">
        <v>0</v>
      </c>
      <c r="V544" s="0" t="s">
        <v>230</v>
      </c>
      <c r="W544" s="0" t="s">
        <v>244</v>
      </c>
      <c r="X544" s="0" t="s">
        <v>232</v>
      </c>
      <c r="Y544" s="0" t="s">
        <v>272</v>
      </c>
      <c r="Z544" s="0" t="s">
        <v>1550</v>
      </c>
      <c r="AA544" s="0" t="s">
        <v>235</v>
      </c>
      <c r="AB544" s="32" t="n">
        <v>2800</v>
      </c>
      <c r="AC544" s="32" t="n">
        <v>2800</v>
      </c>
      <c r="AD544" s="26" t="n">
        <f aca="false">IFERROR(AB544/B544,"")</f>
        <v>4.29447852760736</v>
      </c>
      <c r="AE544" s="26" t="n">
        <f aca="false">IFERROR(AC544/B544,"")</f>
        <v>4.29447852760736</v>
      </c>
      <c r="AF544" s="0" t="s">
        <v>236</v>
      </c>
      <c r="AG544" s="0" t="s">
        <v>236</v>
      </c>
      <c r="AH544" s="0" t="s">
        <v>236</v>
      </c>
      <c r="AI544" s="0" t="s">
        <v>1166</v>
      </c>
      <c r="AJ544" s="0" t="s">
        <v>2630</v>
      </c>
      <c r="AK544" s="0" t="s">
        <v>2631</v>
      </c>
      <c r="AL544" s="0" t="s">
        <v>2632</v>
      </c>
      <c r="AM544" s="0" t="s">
        <v>94</v>
      </c>
      <c r="AN544" s="26" t="n">
        <f aca="false">IFERROR(E544*(1+IF(AM544="Apartment",Data_Summary!$C$3,0)),"")</f>
        <v>4.29447852760736</v>
      </c>
      <c r="AO544" s="4" t="n">
        <v>46195</v>
      </c>
    </row>
    <row r="545" customFormat="false" ht="15" hidden="false" customHeight="false" outlineLevel="0" collapsed="false">
      <c r="A545" s="0" t="n">
        <f aca="false">IF(AND(ISNUMBER(B545),B545&gt;0,ISNUMBER(AB545),AB545&gt;0,J545&gt;=Data_Summary!$C$1),1,0)</f>
        <v>1</v>
      </c>
      <c r="B545" s="33" t="n">
        <v>660</v>
      </c>
      <c r="C545" s="5" t="n">
        <f aca="false">IF(ISNUMBER(AB545),AB545,"")</f>
        <v>2550</v>
      </c>
      <c r="D545" s="0" t="n">
        <f aca="false">IF(ISNUMBER(C545),C545-U545*Data_Summary!$C$2,"")</f>
        <v>2550</v>
      </c>
      <c r="E545" s="34" t="n">
        <f aca="false">IFERROR(C545/B545,"")</f>
        <v>3.86363636363636</v>
      </c>
      <c r="F545" s="26" t="n">
        <f aca="false">IFERROR(D545/B545,"")</f>
        <v>3.86363636363636</v>
      </c>
      <c r="G545" s="0" t="str">
        <f aca="false">Q545</f>
        <v>1+1</v>
      </c>
      <c r="H545" s="0" t="str">
        <f aca="false">IFERROR(LEFT(G545,1),"")</f>
        <v>1</v>
      </c>
      <c r="I545" s="0" t="n">
        <f aca="false">IF(LEN(G545)&gt;1,1,0)</f>
        <v>1</v>
      </c>
      <c r="J545" s="4" t="n">
        <v>45833</v>
      </c>
      <c r="K545" s="0" t="s">
        <v>12</v>
      </c>
      <c r="L545" s="0" t="s">
        <v>98</v>
      </c>
      <c r="M545" s="0" t="s">
        <v>226</v>
      </c>
      <c r="N545" s="0" t="s">
        <v>100</v>
      </c>
      <c r="O545" s="0" t="s">
        <v>2633</v>
      </c>
      <c r="Q545" s="0" t="s">
        <v>270</v>
      </c>
      <c r="R545" s="0" t="n">
        <v>2</v>
      </c>
      <c r="S545" s="5" t="n">
        <v>660</v>
      </c>
      <c r="T545" s="0" t="s">
        <v>243</v>
      </c>
      <c r="U545" s="0" t="n">
        <v>0</v>
      </c>
      <c r="V545" s="0" t="s">
        <v>230</v>
      </c>
      <c r="W545" s="0" t="s">
        <v>244</v>
      </c>
      <c r="X545" s="0" t="s">
        <v>232</v>
      </c>
      <c r="Y545" s="0" t="s">
        <v>272</v>
      </c>
      <c r="Z545" s="0" t="s">
        <v>1550</v>
      </c>
      <c r="AA545" s="0" t="s">
        <v>235</v>
      </c>
      <c r="AB545" s="32" t="n">
        <v>2550</v>
      </c>
      <c r="AC545" s="32" t="n">
        <v>2550</v>
      </c>
      <c r="AD545" s="26" t="n">
        <f aca="false">IFERROR(AB545/B545,"")</f>
        <v>3.86363636363636</v>
      </c>
      <c r="AE545" s="26" t="n">
        <f aca="false">IFERROR(AC545/B545,"")</f>
        <v>3.86363636363636</v>
      </c>
      <c r="AF545" s="0" t="s">
        <v>236</v>
      </c>
      <c r="AG545" s="0" t="s">
        <v>236</v>
      </c>
      <c r="AH545" s="0" t="s">
        <v>236</v>
      </c>
      <c r="AI545" s="0" t="s">
        <v>1246</v>
      </c>
      <c r="AJ545" s="0" t="s">
        <v>2634</v>
      </c>
      <c r="AK545" s="0" t="s">
        <v>2635</v>
      </c>
      <c r="AL545" s="0" t="s">
        <v>2636</v>
      </c>
      <c r="AM545" s="0" t="s">
        <v>94</v>
      </c>
      <c r="AN545" s="26" t="n">
        <f aca="false">IFERROR(E545*(1+IF(AM545="Apartment",Data_Summary!$C$3,0)),"")</f>
        <v>3.86363636363636</v>
      </c>
      <c r="AO545" s="4" t="n">
        <v>46195</v>
      </c>
    </row>
    <row r="546" customFormat="false" ht="15" hidden="false" customHeight="false" outlineLevel="0" collapsed="false">
      <c r="A546" s="0" t="n">
        <f aca="false">IF(AND(ISNUMBER(B546),B546&gt;0,ISNUMBER(AB546),AB546&gt;0,J546&gt;=Data_Summary!$C$1),1,0)</f>
        <v>1</v>
      </c>
      <c r="B546" s="33" t="n">
        <v>509</v>
      </c>
      <c r="C546" s="5" t="n">
        <f aca="false">IF(ISNUMBER(AB546),AB546,"")</f>
        <v>2450</v>
      </c>
      <c r="D546" s="0" t="n">
        <f aca="false">IF(ISNUMBER(C546),C546-U546*Data_Summary!$C$2,"")</f>
        <v>2450</v>
      </c>
      <c r="E546" s="34" t="n">
        <f aca="false">IFERROR(C546/B546,"")</f>
        <v>4.81335952848723</v>
      </c>
      <c r="F546" s="26" t="n">
        <f aca="false">IFERROR(D546/B546,"")</f>
        <v>4.81335952848723</v>
      </c>
      <c r="G546" s="0" t="str">
        <f aca="false">Q546</f>
        <v>1</v>
      </c>
      <c r="H546" s="0" t="str">
        <f aca="false">IFERROR(LEFT(G546,1),"")</f>
        <v>1</v>
      </c>
      <c r="I546" s="0" t="n">
        <f aca="false">IF(LEN(G546)&gt;1,1,0)</f>
        <v>0</v>
      </c>
      <c r="J546" s="4" t="n">
        <v>45828</v>
      </c>
      <c r="K546" s="0" t="s">
        <v>12</v>
      </c>
      <c r="L546" s="0" t="s">
        <v>98</v>
      </c>
      <c r="M546" s="0" t="s">
        <v>226</v>
      </c>
      <c r="N546" s="0" t="s">
        <v>100</v>
      </c>
      <c r="O546" s="0" t="s">
        <v>2410</v>
      </c>
      <c r="Q546" s="0" t="s">
        <v>242</v>
      </c>
      <c r="R546" s="0" t="n">
        <v>1</v>
      </c>
      <c r="S546" s="5" t="n">
        <v>509</v>
      </c>
      <c r="T546" s="0" t="s">
        <v>243</v>
      </c>
      <c r="U546" s="0" t="n">
        <v>0</v>
      </c>
      <c r="V546" s="0" t="s">
        <v>230</v>
      </c>
      <c r="W546" s="0" t="s">
        <v>244</v>
      </c>
      <c r="Y546" s="0" t="s">
        <v>253</v>
      </c>
      <c r="Z546" s="0" t="s">
        <v>1550</v>
      </c>
      <c r="AA546" s="0" t="s">
        <v>235</v>
      </c>
      <c r="AB546" s="32" t="n">
        <v>2450</v>
      </c>
      <c r="AC546" s="32" t="n">
        <v>2500</v>
      </c>
      <c r="AD546" s="26" t="n">
        <f aca="false">IFERROR(AB546/B546,"")</f>
        <v>4.81335952848723</v>
      </c>
      <c r="AE546" s="26" t="n">
        <f aca="false">IFERROR(AC546/B546,"")</f>
        <v>4.91159135559922</v>
      </c>
      <c r="AF546" s="0" t="s">
        <v>421</v>
      </c>
      <c r="AG546" s="0" t="s">
        <v>236</v>
      </c>
      <c r="AH546" s="0" t="s">
        <v>236</v>
      </c>
      <c r="AI546" s="0" t="s">
        <v>1315</v>
      </c>
      <c r="AJ546" s="0" t="s">
        <v>2637</v>
      </c>
      <c r="AK546" s="0" t="s">
        <v>2638</v>
      </c>
      <c r="AL546" s="0" t="s">
        <v>2639</v>
      </c>
      <c r="AM546" s="0" t="s">
        <v>94</v>
      </c>
      <c r="AN546" s="26" t="n">
        <f aca="false">IFERROR(E546*(1+IF(AM546="Apartment",Data_Summary!$C$3,0)),"")</f>
        <v>4.81335952848723</v>
      </c>
      <c r="AO546" s="4" t="n">
        <v>46195</v>
      </c>
    </row>
    <row r="547" customFormat="false" ht="15" hidden="false" customHeight="false" outlineLevel="0" collapsed="false">
      <c r="A547" s="0" t="n">
        <f aca="false">IF(AND(ISNUMBER(B547),B547&gt;0,ISNUMBER(AB547),AB547&gt;0,J547&gt;=Data_Summary!$C$1),1,0)</f>
        <v>1</v>
      </c>
      <c r="B547" s="30" t="n">
        <v>1752</v>
      </c>
      <c r="C547" s="5" t="n">
        <f aca="false">IF(ISNUMBER(AB547),AB547,"")</f>
        <v>9000</v>
      </c>
      <c r="D547" s="0" t="n">
        <f aca="false">IF(ISNUMBER(C547),C547-U547*Data_Summary!$C$2,"")</f>
        <v>8850</v>
      </c>
      <c r="E547" s="31" t="n">
        <f aca="false">IFERROR(C547/B547,"")</f>
        <v>5.13698630136986</v>
      </c>
      <c r="F547" s="26" t="n">
        <f aca="false">IFERROR(D547/B547,"")</f>
        <v>5.0513698630137</v>
      </c>
      <c r="G547" s="0" t="str">
        <f aca="false">Q547</f>
        <v>2+1</v>
      </c>
      <c r="H547" s="0" t="str">
        <f aca="false">IFERROR(LEFT(G547,1),"")</f>
        <v>2</v>
      </c>
      <c r="I547" s="0" t="n">
        <f aca="false">IF(LEN(G547)&gt;1,1,0)</f>
        <v>1</v>
      </c>
      <c r="J547" s="4" t="n">
        <v>45819</v>
      </c>
      <c r="K547" s="0" t="s">
        <v>12</v>
      </c>
      <c r="L547" s="0" t="s">
        <v>98</v>
      </c>
      <c r="M547" s="0" t="s">
        <v>226</v>
      </c>
      <c r="N547" s="0" t="s">
        <v>100</v>
      </c>
      <c r="O547" s="0" t="s">
        <v>1638</v>
      </c>
      <c r="Q547" s="0" t="s">
        <v>451</v>
      </c>
      <c r="R547" s="0" t="n">
        <v>3</v>
      </c>
      <c r="S547" s="5" t="n">
        <v>1752</v>
      </c>
      <c r="T547" s="0" t="s">
        <v>2640</v>
      </c>
      <c r="U547" s="0" t="n">
        <v>1</v>
      </c>
      <c r="V547" s="0" t="s">
        <v>230</v>
      </c>
      <c r="W547" s="0" t="s">
        <v>244</v>
      </c>
      <c r="X547" s="0" t="s">
        <v>232</v>
      </c>
      <c r="Y547" s="0" t="s">
        <v>278</v>
      </c>
      <c r="Z547" s="0" t="s">
        <v>1550</v>
      </c>
      <c r="AA547" s="0" t="s">
        <v>235</v>
      </c>
      <c r="AB547" s="32" t="n">
        <v>9000</v>
      </c>
      <c r="AC547" s="32" t="n">
        <v>8800</v>
      </c>
      <c r="AD547" s="26" t="n">
        <f aca="false">IFERROR(AB547/B547,"")</f>
        <v>5.13698630136986</v>
      </c>
      <c r="AE547" s="26" t="n">
        <f aca="false">IFERROR(AC547/B547,"")</f>
        <v>5.02283105022831</v>
      </c>
      <c r="AF547" s="0" t="s">
        <v>236</v>
      </c>
      <c r="AG547" s="0" t="s">
        <v>236</v>
      </c>
      <c r="AH547" s="0" t="s">
        <v>236</v>
      </c>
      <c r="AI547" s="0" t="s">
        <v>1409</v>
      </c>
      <c r="AJ547" s="0" t="s">
        <v>2641</v>
      </c>
      <c r="AK547" s="0" t="s">
        <v>2642</v>
      </c>
      <c r="AL547" s="0" t="s">
        <v>2643</v>
      </c>
      <c r="AM547" s="0" t="s">
        <v>94</v>
      </c>
      <c r="AN547" s="26" t="n">
        <f aca="false">IFERROR(E547*(1+IF(AM547="Apartment",Data_Summary!$C$3,0)),"")</f>
        <v>5.13698630136986</v>
      </c>
      <c r="AO547" s="4" t="n">
        <v>46195</v>
      </c>
    </row>
    <row r="548" customFormat="false" ht="15" hidden="false" customHeight="false" outlineLevel="0" collapsed="false">
      <c r="A548" s="0" t="n">
        <f aca="false">IF(AND(ISNUMBER(B548),B548&gt;0,ISNUMBER(AB548),AB548&gt;0,J548&gt;=Data_Summary!$C$1),1,0)</f>
        <v>1</v>
      </c>
      <c r="B548" s="30" t="n">
        <v>1886</v>
      </c>
      <c r="C548" s="5" t="n">
        <f aca="false">IF(ISNUMBER(AB548),AB548,"")</f>
        <v>11000</v>
      </c>
      <c r="D548" s="0" t="n">
        <f aca="false">IF(ISNUMBER(C548),C548-U548*Data_Summary!$C$2,"")</f>
        <v>10850</v>
      </c>
      <c r="E548" s="31" t="n">
        <f aca="false">IFERROR(C548/B548,"")</f>
        <v>5.83244962884411</v>
      </c>
      <c r="F548" s="26" t="n">
        <f aca="false">IFERROR(D548/B548,"")</f>
        <v>5.75291622481442</v>
      </c>
      <c r="G548" s="0" t="str">
        <f aca="false">Q548</f>
        <v>3</v>
      </c>
      <c r="H548" s="0" t="str">
        <f aca="false">IFERROR(LEFT(G548,1),"")</f>
        <v>3</v>
      </c>
      <c r="I548" s="0" t="n">
        <f aca="false">IF(LEN(G548)&gt;1,1,0)</f>
        <v>0</v>
      </c>
      <c r="J548" s="4" t="n">
        <v>45780</v>
      </c>
      <c r="K548" s="0" t="s">
        <v>12</v>
      </c>
      <c r="L548" s="0" t="s">
        <v>98</v>
      </c>
      <c r="M548" s="0" t="s">
        <v>226</v>
      </c>
      <c r="N548" s="0" t="s">
        <v>100</v>
      </c>
      <c r="O548" s="0" t="s">
        <v>2644</v>
      </c>
      <c r="Q548" s="0" t="s">
        <v>228</v>
      </c>
      <c r="R548" s="0" t="n">
        <v>3</v>
      </c>
      <c r="S548" s="5" t="n">
        <v>1886</v>
      </c>
      <c r="T548" s="0" t="s">
        <v>2597</v>
      </c>
      <c r="U548" s="0" t="n">
        <v>1</v>
      </c>
      <c r="V548" s="0" t="s">
        <v>230</v>
      </c>
      <c r="W548" s="0" t="s">
        <v>231</v>
      </c>
      <c r="X548" s="0" t="s">
        <v>232</v>
      </c>
      <c r="Y548" s="0" t="s">
        <v>233</v>
      </c>
      <c r="Z548" s="0" t="s">
        <v>1550</v>
      </c>
      <c r="AA548" s="0" t="s">
        <v>235</v>
      </c>
      <c r="AB548" s="32" t="n">
        <v>11000</v>
      </c>
      <c r="AC548" s="32" t="n">
        <v>11000</v>
      </c>
      <c r="AD548" s="26" t="n">
        <f aca="false">IFERROR(AB548/B548,"")</f>
        <v>5.83244962884411</v>
      </c>
      <c r="AE548" s="26" t="n">
        <f aca="false">IFERROR(AC548/B548,"")</f>
        <v>5.83244962884411</v>
      </c>
      <c r="AF548" s="0" t="s">
        <v>236</v>
      </c>
      <c r="AG548" s="0" t="s">
        <v>236</v>
      </c>
      <c r="AH548" s="0" t="s">
        <v>236</v>
      </c>
      <c r="AI548" s="0" t="s">
        <v>2645</v>
      </c>
      <c r="AJ548" s="0" t="s">
        <v>2646</v>
      </c>
      <c r="AK548" s="0" t="s">
        <v>2647</v>
      </c>
      <c r="AL548" s="0" t="s">
        <v>2648</v>
      </c>
      <c r="AM548" s="0" t="s">
        <v>94</v>
      </c>
      <c r="AN548" s="26" t="n">
        <f aca="false">IFERROR(E548*(1+IF(AM548="Apartment",Data_Summary!$C$3,0)),"")</f>
        <v>5.83244962884411</v>
      </c>
      <c r="AO548" s="4" t="n">
        <v>46195</v>
      </c>
    </row>
    <row r="549" customFormat="false" ht="15" hidden="false" customHeight="false" outlineLevel="0" collapsed="false">
      <c r="A549" s="0" t="n">
        <f aca="false">IF(AND(ISNUMBER(B549),B549&gt;0,ISNUMBER(AB549),AB549&gt;0,J549&gt;=Data_Summary!$C$1),1,0)</f>
        <v>1</v>
      </c>
      <c r="B549" s="30" t="n">
        <v>1699</v>
      </c>
      <c r="C549" s="5" t="n">
        <f aca="false">IF(ISNUMBER(AB549),AB549,"")</f>
        <v>8200</v>
      </c>
      <c r="D549" s="0" t="n">
        <f aca="false">IF(ISNUMBER(C549),C549-U549*Data_Summary!$C$2,"")</f>
        <v>8050</v>
      </c>
      <c r="E549" s="31" t="n">
        <f aca="false">IFERROR(C549/B549,"")</f>
        <v>4.82636845203061</v>
      </c>
      <c r="F549" s="26" t="n">
        <f aca="false">IFERROR(D549/B549,"")</f>
        <v>4.73808122424956</v>
      </c>
      <c r="G549" s="0" t="str">
        <f aca="false">Q549</f>
        <v>2</v>
      </c>
      <c r="H549" s="0" t="str">
        <f aca="false">IFERROR(LEFT(G549,1),"")</f>
        <v>2</v>
      </c>
      <c r="I549" s="0" t="n">
        <f aca="false">IF(LEN(G549)&gt;1,1,0)</f>
        <v>0</v>
      </c>
      <c r="J549" s="4" t="n">
        <v>45764</v>
      </c>
      <c r="K549" s="0" t="s">
        <v>12</v>
      </c>
      <c r="L549" s="0" t="s">
        <v>98</v>
      </c>
      <c r="M549" s="0" t="s">
        <v>226</v>
      </c>
      <c r="N549" s="0" t="s">
        <v>100</v>
      </c>
      <c r="O549" s="0" t="s">
        <v>2633</v>
      </c>
      <c r="Q549" s="0" t="s">
        <v>251</v>
      </c>
      <c r="R549" s="0" t="n">
        <v>3</v>
      </c>
      <c r="S549" s="5" t="n">
        <v>1699</v>
      </c>
      <c r="T549" s="0" t="s">
        <v>2640</v>
      </c>
      <c r="U549" s="0" t="n">
        <v>1</v>
      </c>
      <c r="V549" s="0" t="s">
        <v>230</v>
      </c>
      <c r="W549" s="0" t="s">
        <v>231</v>
      </c>
      <c r="X549" s="0" t="s">
        <v>232</v>
      </c>
      <c r="Y549" s="0" t="s">
        <v>297</v>
      </c>
      <c r="Z549" s="0" t="s">
        <v>1550</v>
      </c>
      <c r="AA549" s="0" t="s">
        <v>235</v>
      </c>
      <c r="AB549" s="32" t="n">
        <v>8200</v>
      </c>
      <c r="AC549" s="32" t="n">
        <v>8000</v>
      </c>
      <c r="AD549" s="26" t="n">
        <f aca="false">IFERROR(AB549/B549,"")</f>
        <v>4.82636845203061</v>
      </c>
      <c r="AE549" s="26" t="n">
        <f aca="false">IFERROR(AC549/B549,"")</f>
        <v>4.70865214832254</v>
      </c>
      <c r="AF549" s="0" t="s">
        <v>236</v>
      </c>
      <c r="AG549" s="0" t="s">
        <v>236</v>
      </c>
      <c r="AH549" s="0" t="s">
        <v>236</v>
      </c>
      <c r="AI549" s="0" t="s">
        <v>2272</v>
      </c>
      <c r="AJ549" s="0" t="s">
        <v>2649</v>
      </c>
      <c r="AK549" s="0" t="s">
        <v>2650</v>
      </c>
      <c r="AL549" s="0" t="s">
        <v>2651</v>
      </c>
      <c r="AM549" s="0" t="s">
        <v>94</v>
      </c>
      <c r="AN549" s="26" t="n">
        <f aca="false">IFERROR(E549*(1+IF(AM549="Apartment",Data_Summary!$C$3,0)),"")</f>
        <v>4.82636845203061</v>
      </c>
      <c r="AO549" s="4" t="n">
        <v>46195</v>
      </c>
    </row>
    <row r="550" customFormat="false" ht="15" hidden="false" customHeight="false" outlineLevel="0" collapsed="false">
      <c r="A550" s="0" t="n">
        <f aca="false">IF(AND(ISNUMBER(B550),B550&gt;0,ISNUMBER(AB550),AB550&gt;0,J550&gt;=Data_Summary!$C$1),1,0)</f>
        <v>1</v>
      </c>
      <c r="B550" s="33" t="n">
        <v>2297</v>
      </c>
      <c r="C550" s="5" t="n">
        <f aca="false">IF(ISNUMBER(AB550),AB550,"")</f>
        <v>9500</v>
      </c>
      <c r="D550" s="0" t="n">
        <f aca="false">IF(ISNUMBER(C550),C550-U550*Data_Summary!$C$2,"")</f>
        <v>9200</v>
      </c>
      <c r="E550" s="34" t="n">
        <f aca="false">IFERROR(C550/B550,"")</f>
        <v>4.13582934262081</v>
      </c>
      <c r="F550" s="26" t="n">
        <f aca="false">IFERROR(D550/B550,"")</f>
        <v>4.00522420548542</v>
      </c>
      <c r="G550" s="0" t="str">
        <f aca="false">Q550</f>
        <v>3</v>
      </c>
      <c r="H550" s="0" t="str">
        <f aca="false">IFERROR(LEFT(G550,1),"")</f>
        <v>3</v>
      </c>
      <c r="I550" s="0" t="n">
        <f aca="false">IF(LEN(G550)&gt;1,1,0)</f>
        <v>0</v>
      </c>
      <c r="J550" s="4" t="n">
        <v>45691</v>
      </c>
      <c r="K550" s="0" t="s">
        <v>12</v>
      </c>
      <c r="L550" s="0" t="s">
        <v>98</v>
      </c>
      <c r="M550" s="0" t="s">
        <v>226</v>
      </c>
      <c r="N550" s="0" t="s">
        <v>100</v>
      </c>
      <c r="O550" s="0" t="s">
        <v>2468</v>
      </c>
      <c r="Q550" s="0" t="s">
        <v>228</v>
      </c>
      <c r="R550" s="0" t="n">
        <v>3</v>
      </c>
      <c r="S550" s="5" t="n">
        <v>2297</v>
      </c>
      <c r="T550" s="0" t="s">
        <v>2504</v>
      </c>
      <c r="U550" s="0" t="n">
        <v>2</v>
      </c>
      <c r="V550" s="0" t="s">
        <v>230</v>
      </c>
      <c r="W550" s="0" t="s">
        <v>231</v>
      </c>
      <c r="X550" s="0" t="s">
        <v>232</v>
      </c>
      <c r="Y550" s="0" t="s">
        <v>233</v>
      </c>
      <c r="Z550" s="0" t="s">
        <v>1550</v>
      </c>
      <c r="AA550" s="0" t="s">
        <v>235</v>
      </c>
      <c r="AB550" s="32" t="n">
        <v>9500</v>
      </c>
      <c r="AC550" s="32" t="n">
        <v>10000</v>
      </c>
      <c r="AD550" s="26" t="n">
        <f aca="false">IFERROR(AB550/B550,"")</f>
        <v>4.13582934262081</v>
      </c>
      <c r="AE550" s="26" t="n">
        <f aca="false">IFERROR(AC550/B550,"")</f>
        <v>4.3535045711798</v>
      </c>
      <c r="AF550" s="0" t="s">
        <v>421</v>
      </c>
      <c r="AG550" s="0" t="s">
        <v>236</v>
      </c>
      <c r="AH550" s="0" t="s">
        <v>236</v>
      </c>
      <c r="AI550" s="0" t="s">
        <v>2652</v>
      </c>
      <c r="AJ550" s="0" t="s">
        <v>2653</v>
      </c>
      <c r="AK550" s="0" t="s">
        <v>2654</v>
      </c>
      <c r="AL550" s="0" t="s">
        <v>2655</v>
      </c>
      <c r="AM550" s="0" t="s">
        <v>94</v>
      </c>
      <c r="AN550" s="26" t="n">
        <f aca="false">IFERROR(E550*(1+IF(AM550="Apartment",Data_Summary!$C$3,0)),"")</f>
        <v>4.13582934262081</v>
      </c>
      <c r="AO550" s="4" t="n">
        <v>46195</v>
      </c>
    </row>
    <row r="551" customFormat="false" ht="15" hidden="false" customHeight="false" outlineLevel="0" collapsed="false">
      <c r="A551" s="0" t="n">
        <f aca="false">IF(AND(ISNUMBER(B551),B551&gt;0,ISNUMBER(AB551),AB551&gt;0,J551&gt;=Data_Summary!$C$1),1,0)</f>
        <v>1</v>
      </c>
      <c r="B551" s="30" t="n">
        <v>830</v>
      </c>
      <c r="C551" s="5" t="n">
        <f aca="false">IF(ISNUMBER(AB551),AB551,"")</f>
        <v>3900</v>
      </c>
      <c r="D551" s="0" t="n">
        <f aca="false">IF(ISNUMBER(C551),C551-U551*Data_Summary!$C$2,"")</f>
        <v>3750</v>
      </c>
      <c r="E551" s="31" t="n">
        <f aca="false">IFERROR(C551/B551,"")</f>
        <v>4.69879518072289</v>
      </c>
      <c r="F551" s="26" t="n">
        <f aca="false">IFERROR(D551/B551,"")</f>
        <v>4.51807228915663</v>
      </c>
      <c r="G551" s="0" t="str">
        <f aca="false">Q551</f>
        <v>2</v>
      </c>
      <c r="H551" s="0" t="str">
        <f aca="false">IFERROR(LEFT(G551,1),"")</f>
        <v>2</v>
      </c>
      <c r="I551" s="0" t="n">
        <f aca="false">IF(LEN(G551)&gt;1,1,0)</f>
        <v>0</v>
      </c>
      <c r="J551" s="4" t="n">
        <v>46192</v>
      </c>
      <c r="K551" s="0" t="s">
        <v>13</v>
      </c>
      <c r="L551" s="0" t="s">
        <v>101</v>
      </c>
      <c r="M551" s="0" t="s">
        <v>226</v>
      </c>
      <c r="N551" s="0" t="s">
        <v>103</v>
      </c>
      <c r="O551" s="0" t="s">
        <v>2656</v>
      </c>
      <c r="Q551" s="0" t="s">
        <v>251</v>
      </c>
      <c r="R551" s="0" t="n">
        <v>2</v>
      </c>
      <c r="S551" s="5" t="n">
        <v>830</v>
      </c>
      <c r="T551" s="0" t="s">
        <v>229</v>
      </c>
      <c r="U551" s="0" t="n">
        <v>1</v>
      </c>
      <c r="V551" s="0" t="s">
        <v>230</v>
      </c>
      <c r="W551" s="0" t="s">
        <v>231</v>
      </c>
      <c r="X551" s="0" t="s">
        <v>232</v>
      </c>
      <c r="Y551" s="0" t="s">
        <v>278</v>
      </c>
      <c r="Z551" s="0" t="s">
        <v>2657</v>
      </c>
      <c r="AA551" s="0" t="s">
        <v>235</v>
      </c>
      <c r="AB551" s="32" t="n">
        <v>3900</v>
      </c>
      <c r="AC551" s="32" t="n">
        <v>3950</v>
      </c>
      <c r="AD551" s="26" t="n">
        <f aca="false">IFERROR(AB551/B551,"")</f>
        <v>4.69879518072289</v>
      </c>
      <c r="AE551" s="26" t="n">
        <f aca="false">IFERROR(AC551/B551,"")</f>
        <v>4.75903614457831</v>
      </c>
      <c r="AF551" s="0" t="s">
        <v>236</v>
      </c>
      <c r="AG551" s="0" t="s">
        <v>236</v>
      </c>
      <c r="AH551" s="0" t="s">
        <v>236</v>
      </c>
      <c r="AI551" s="0" t="s">
        <v>2658</v>
      </c>
      <c r="AJ551" s="0" t="s">
        <v>2659</v>
      </c>
      <c r="AK551" s="0" t="s">
        <v>2660</v>
      </c>
      <c r="AL551" s="0" t="s">
        <v>2661</v>
      </c>
      <c r="AM551" s="0" t="s">
        <v>94</v>
      </c>
      <c r="AN551" s="26" t="n">
        <f aca="false">IFERROR(E551*(1+IF(AM551="Apartment",Data_Summary!$C$3,0)),"")</f>
        <v>4.69879518072289</v>
      </c>
      <c r="AO551" s="4" t="n">
        <v>46195</v>
      </c>
    </row>
    <row r="552" customFormat="false" ht="15" hidden="false" customHeight="false" outlineLevel="0" collapsed="false">
      <c r="A552" s="0" t="n">
        <f aca="false">IF(AND(ISNUMBER(B552),B552&gt;0,ISNUMBER(AB552),AB552&gt;0,J552&gt;=Data_Summary!$C$1),1,0)</f>
        <v>1</v>
      </c>
      <c r="B552" s="30" t="n">
        <v>830</v>
      </c>
      <c r="C552" s="5" t="n">
        <f aca="false">IF(ISNUMBER(AB552),AB552,"")</f>
        <v>3695</v>
      </c>
      <c r="D552" s="0" t="n">
        <f aca="false">IF(ISNUMBER(C552),C552-U552*Data_Summary!$C$2,"")</f>
        <v>3545</v>
      </c>
      <c r="E552" s="31" t="n">
        <f aca="false">IFERROR(C552/B552,"")</f>
        <v>4.45180722891566</v>
      </c>
      <c r="F552" s="26" t="n">
        <f aca="false">IFERROR(D552/B552,"")</f>
        <v>4.2710843373494</v>
      </c>
      <c r="G552" s="0" t="str">
        <f aca="false">Q552</f>
        <v>2</v>
      </c>
      <c r="H552" s="0" t="str">
        <f aca="false">IFERROR(LEFT(G552,1),"")</f>
        <v>2</v>
      </c>
      <c r="I552" s="0" t="n">
        <f aca="false">IF(LEN(G552)&gt;1,1,0)</f>
        <v>0</v>
      </c>
      <c r="J552" s="4" t="n">
        <v>46181</v>
      </c>
      <c r="K552" s="0" t="s">
        <v>13</v>
      </c>
      <c r="L552" s="0" t="s">
        <v>101</v>
      </c>
      <c r="M552" s="0" t="s">
        <v>226</v>
      </c>
      <c r="N552" s="0" t="s">
        <v>103</v>
      </c>
      <c r="O552" s="0" t="s">
        <v>2662</v>
      </c>
      <c r="Q552" s="0" t="s">
        <v>251</v>
      </c>
      <c r="R552" s="0" t="n">
        <v>2</v>
      </c>
      <c r="S552" s="5" t="n">
        <v>830</v>
      </c>
      <c r="T552" s="0" t="s">
        <v>229</v>
      </c>
      <c r="U552" s="0" t="n">
        <v>1</v>
      </c>
      <c r="V552" s="0" t="s">
        <v>230</v>
      </c>
      <c r="W552" s="0" t="s">
        <v>244</v>
      </c>
      <c r="X552" s="0" t="s">
        <v>232</v>
      </c>
      <c r="Y552" s="0" t="s">
        <v>278</v>
      </c>
      <c r="Z552" s="0" t="s">
        <v>2657</v>
      </c>
      <c r="AA552" s="0" t="s">
        <v>235</v>
      </c>
      <c r="AB552" s="32" t="n">
        <v>3695</v>
      </c>
      <c r="AC552" s="32" t="n">
        <v>3695</v>
      </c>
      <c r="AD552" s="26" t="n">
        <f aca="false">IFERROR(AB552/B552,"")</f>
        <v>4.45180722891566</v>
      </c>
      <c r="AE552" s="26" t="n">
        <f aca="false">IFERROR(AC552/B552,"")</f>
        <v>4.45180722891566</v>
      </c>
      <c r="AF552" s="0" t="s">
        <v>236</v>
      </c>
      <c r="AG552" s="0" t="s">
        <v>236</v>
      </c>
      <c r="AH552" s="0" t="s">
        <v>236</v>
      </c>
      <c r="AI552" s="0" t="s">
        <v>292</v>
      </c>
      <c r="AJ552" s="0" t="s">
        <v>2663</v>
      </c>
      <c r="AK552" s="0" t="s">
        <v>2664</v>
      </c>
      <c r="AL552" s="0" t="s">
        <v>2665</v>
      </c>
      <c r="AM552" s="0" t="s">
        <v>94</v>
      </c>
      <c r="AN552" s="26" t="n">
        <f aca="false">IFERROR(E552*(1+IF(AM552="Apartment",Data_Summary!$C$3,0)),"")</f>
        <v>4.45180722891566</v>
      </c>
      <c r="AO552" s="4" t="n">
        <v>46195</v>
      </c>
    </row>
    <row r="553" customFormat="false" ht="15" hidden="false" customHeight="false" outlineLevel="0" collapsed="false">
      <c r="A553" s="0" t="n">
        <f aca="false">IF(AND(ISNUMBER(B553),B553&gt;0,ISNUMBER(AB553),AB553&gt;0,J553&gt;=Data_Summary!$C$1),1,0)</f>
        <v>1</v>
      </c>
      <c r="B553" s="30" t="n">
        <v>575</v>
      </c>
      <c r="C553" s="5" t="n">
        <f aca="false">IF(ISNUMBER(AB553),AB553,"")</f>
        <v>2750</v>
      </c>
      <c r="D553" s="0" t="n">
        <f aca="false">IF(ISNUMBER(C553),C553-U553*Data_Summary!$C$2,"")</f>
        <v>2750</v>
      </c>
      <c r="E553" s="31" t="n">
        <f aca="false">IFERROR(C553/B553,"")</f>
        <v>4.78260869565217</v>
      </c>
      <c r="F553" s="26" t="n">
        <f aca="false">IFERROR(D553/B553,"")</f>
        <v>4.78260869565217</v>
      </c>
      <c r="G553" s="0" t="str">
        <f aca="false">Q553</f>
        <v>1</v>
      </c>
      <c r="H553" s="0" t="str">
        <f aca="false">IFERROR(LEFT(G553,1),"")</f>
        <v>1</v>
      </c>
      <c r="I553" s="0" t="n">
        <f aca="false">IF(LEN(G553)&gt;1,1,0)</f>
        <v>0</v>
      </c>
      <c r="J553" s="4" t="n">
        <v>46181</v>
      </c>
      <c r="K553" s="0" t="s">
        <v>13</v>
      </c>
      <c r="L553" s="0" t="s">
        <v>101</v>
      </c>
      <c r="M553" s="0" t="s">
        <v>226</v>
      </c>
      <c r="N553" s="0" t="s">
        <v>103</v>
      </c>
      <c r="O553" s="0" t="s">
        <v>1314</v>
      </c>
      <c r="Q553" s="0" t="s">
        <v>242</v>
      </c>
      <c r="R553" s="0" t="n">
        <v>1</v>
      </c>
      <c r="S553" s="5" t="n">
        <v>575</v>
      </c>
      <c r="T553" s="0" t="s">
        <v>243</v>
      </c>
      <c r="U553" s="0" t="n">
        <v>0</v>
      </c>
      <c r="V553" s="0" t="s">
        <v>230</v>
      </c>
      <c r="W553" s="0" t="s">
        <v>244</v>
      </c>
      <c r="Y553" s="0" t="s">
        <v>278</v>
      </c>
      <c r="Z553" s="0" t="s">
        <v>2657</v>
      </c>
      <c r="AA553" s="0" t="s">
        <v>235</v>
      </c>
      <c r="AB553" s="32" t="n">
        <v>2750</v>
      </c>
      <c r="AC553" s="32" t="n">
        <v>2750</v>
      </c>
      <c r="AD553" s="26" t="n">
        <f aca="false">IFERROR(AB553/B553,"")</f>
        <v>4.78260869565217</v>
      </c>
      <c r="AE553" s="26" t="n">
        <f aca="false">IFERROR(AC553/B553,"")</f>
        <v>4.78260869565217</v>
      </c>
      <c r="AF553" s="0" t="s">
        <v>236</v>
      </c>
      <c r="AG553" s="0" t="s">
        <v>236</v>
      </c>
      <c r="AH553" s="0" t="s">
        <v>230</v>
      </c>
      <c r="AI553" s="0" t="s">
        <v>292</v>
      </c>
      <c r="AJ553" s="0" t="s">
        <v>2666</v>
      </c>
      <c r="AK553" s="0" t="s">
        <v>2667</v>
      </c>
      <c r="AL553" s="0" t="s">
        <v>2668</v>
      </c>
      <c r="AM553" s="0" t="s">
        <v>94</v>
      </c>
      <c r="AN553" s="26" t="n">
        <f aca="false">IFERROR(E553*(1+IF(AM553="Apartment",Data_Summary!$C$3,0)),"")</f>
        <v>4.78260869565217</v>
      </c>
      <c r="AO553" s="4" t="n">
        <v>46195</v>
      </c>
    </row>
    <row r="554" customFormat="false" ht="15" hidden="false" customHeight="false" outlineLevel="0" collapsed="false">
      <c r="A554" s="0" t="n">
        <f aca="false">IF(AND(ISNUMBER(B554),B554&gt;0,ISNUMBER(AB554),AB554&gt;0,J554&gt;=Data_Summary!$C$1),1,0)</f>
        <v>1</v>
      </c>
      <c r="B554" s="30" t="n">
        <v>710</v>
      </c>
      <c r="C554" s="5" t="n">
        <f aca="false">IF(ISNUMBER(AB554),AB554,"")</f>
        <v>2900</v>
      </c>
      <c r="D554" s="0" t="n">
        <f aca="false">IF(ISNUMBER(C554),C554-U554*Data_Summary!$C$2,"")</f>
        <v>2900</v>
      </c>
      <c r="E554" s="31" t="n">
        <f aca="false">IFERROR(C554/B554,"")</f>
        <v>4.08450704225352</v>
      </c>
      <c r="F554" s="26" t="n">
        <f aca="false">IFERROR(D554/B554,"")</f>
        <v>4.08450704225352</v>
      </c>
      <c r="G554" s="0" t="str">
        <f aca="false">Q554</f>
        <v>1+1</v>
      </c>
      <c r="H554" s="0" t="str">
        <f aca="false">IFERROR(LEFT(G554,1),"")</f>
        <v>1</v>
      </c>
      <c r="I554" s="0" t="n">
        <f aca="false">IF(LEN(G554)&gt;1,1,0)</f>
        <v>1</v>
      </c>
      <c r="J554" s="4" t="n">
        <v>46181</v>
      </c>
      <c r="K554" s="0" t="s">
        <v>13</v>
      </c>
      <c r="L554" s="0" t="s">
        <v>101</v>
      </c>
      <c r="M554" s="0" t="s">
        <v>226</v>
      </c>
      <c r="N554" s="0" t="s">
        <v>103</v>
      </c>
      <c r="O554" s="0" t="s">
        <v>2669</v>
      </c>
      <c r="Q554" s="0" t="s">
        <v>270</v>
      </c>
      <c r="R554" s="0" t="n">
        <v>2</v>
      </c>
      <c r="S554" s="5" t="n">
        <v>710</v>
      </c>
      <c r="T554" s="0" t="s">
        <v>252</v>
      </c>
      <c r="U554" s="0" t="n">
        <v>0</v>
      </c>
      <c r="V554" s="0" t="s">
        <v>230</v>
      </c>
      <c r="W554" s="0" t="s">
        <v>244</v>
      </c>
      <c r="Y554" s="0" t="s">
        <v>233</v>
      </c>
      <c r="Z554" s="0" t="s">
        <v>2657</v>
      </c>
      <c r="AA554" s="0" t="s">
        <v>235</v>
      </c>
      <c r="AB554" s="32" t="n">
        <v>2900</v>
      </c>
      <c r="AC554" s="32" t="n">
        <v>2700</v>
      </c>
      <c r="AD554" s="26" t="n">
        <f aca="false">IFERROR(AB554/B554,"")</f>
        <v>4.08450704225352</v>
      </c>
      <c r="AE554" s="26" t="n">
        <f aca="false">IFERROR(AC554/B554,"")</f>
        <v>3.80281690140845</v>
      </c>
      <c r="AF554" s="0" t="s">
        <v>236</v>
      </c>
      <c r="AG554" s="0" t="s">
        <v>236</v>
      </c>
      <c r="AH554" s="0" t="s">
        <v>236</v>
      </c>
      <c r="AI554" s="0" t="s">
        <v>292</v>
      </c>
      <c r="AJ554" s="0" t="s">
        <v>2670</v>
      </c>
      <c r="AK554" s="0" t="s">
        <v>2671</v>
      </c>
      <c r="AL554" s="0" t="s">
        <v>2672</v>
      </c>
      <c r="AM554" s="0" t="s">
        <v>94</v>
      </c>
      <c r="AN554" s="26" t="n">
        <f aca="false">IFERROR(E554*(1+IF(AM554="Apartment",Data_Summary!$C$3,0)),"")</f>
        <v>4.08450704225352</v>
      </c>
      <c r="AO554" s="4" t="n">
        <v>46195</v>
      </c>
    </row>
    <row r="555" customFormat="false" ht="15" hidden="false" customHeight="false" outlineLevel="0" collapsed="false">
      <c r="A555" s="0" t="n">
        <f aca="false">IF(AND(ISNUMBER(B555),B555&gt;0,ISNUMBER(AB555),AB555&gt;0,J555&gt;=Data_Summary!$C$1),1,0)</f>
        <v>1</v>
      </c>
      <c r="B555" s="33" t="n">
        <v>830</v>
      </c>
      <c r="C555" s="5" t="n">
        <f aca="false">IF(ISNUMBER(AB555),AB555,"")</f>
        <v>3495</v>
      </c>
      <c r="D555" s="0" t="n">
        <f aca="false">IF(ISNUMBER(C555),C555-U555*Data_Summary!$C$2,"")</f>
        <v>3345</v>
      </c>
      <c r="E555" s="34" t="n">
        <f aca="false">IFERROR(C555/B555,"")</f>
        <v>4.21084337349398</v>
      </c>
      <c r="F555" s="26" t="n">
        <f aca="false">IFERROR(D555/B555,"")</f>
        <v>4.03012048192771</v>
      </c>
      <c r="G555" s="0" t="str">
        <f aca="false">Q555</f>
        <v>2</v>
      </c>
      <c r="H555" s="0" t="str">
        <f aca="false">IFERROR(LEFT(G555,1),"")</f>
        <v>2</v>
      </c>
      <c r="I555" s="0" t="n">
        <f aca="false">IF(LEN(G555)&gt;1,1,0)</f>
        <v>0</v>
      </c>
      <c r="J555" s="4" t="n">
        <v>46180</v>
      </c>
      <c r="K555" s="0" t="s">
        <v>13</v>
      </c>
      <c r="L555" s="0" t="s">
        <v>101</v>
      </c>
      <c r="M555" s="0" t="s">
        <v>226</v>
      </c>
      <c r="N555" s="0" t="s">
        <v>103</v>
      </c>
      <c r="O555" s="0" t="s">
        <v>2673</v>
      </c>
      <c r="Q555" s="0" t="s">
        <v>251</v>
      </c>
      <c r="R555" s="0" t="n">
        <v>2</v>
      </c>
      <c r="S555" s="5" t="n">
        <v>830</v>
      </c>
      <c r="T555" s="0" t="s">
        <v>229</v>
      </c>
      <c r="U555" s="0" t="n">
        <v>1</v>
      </c>
      <c r="V555" s="0" t="s">
        <v>230</v>
      </c>
      <c r="W555" s="0" t="s">
        <v>244</v>
      </c>
      <c r="X555" s="0" t="s">
        <v>232</v>
      </c>
      <c r="Y555" s="0" t="s">
        <v>308</v>
      </c>
      <c r="Z555" s="0" t="s">
        <v>2657</v>
      </c>
      <c r="AA555" s="0" t="s">
        <v>235</v>
      </c>
      <c r="AB555" s="32" t="n">
        <v>3495</v>
      </c>
      <c r="AC555" s="32" t="n">
        <v>3495</v>
      </c>
      <c r="AD555" s="26" t="n">
        <f aca="false">IFERROR(AB555/B555,"")</f>
        <v>4.21084337349398</v>
      </c>
      <c r="AE555" s="26" t="n">
        <f aca="false">IFERROR(AC555/B555,"")</f>
        <v>4.21084337349398</v>
      </c>
      <c r="AF555" s="0" t="s">
        <v>230</v>
      </c>
      <c r="AG555" s="0" t="s">
        <v>236</v>
      </c>
      <c r="AH555" s="0" t="s">
        <v>236</v>
      </c>
      <c r="AI555" s="0" t="s">
        <v>1570</v>
      </c>
      <c r="AJ555" s="0" t="s">
        <v>2674</v>
      </c>
      <c r="AK555" s="0" t="s">
        <v>2675</v>
      </c>
      <c r="AL555" s="0" t="s">
        <v>2676</v>
      </c>
      <c r="AM555" s="0" t="s">
        <v>94</v>
      </c>
      <c r="AN555" s="26" t="n">
        <f aca="false">IFERROR(E555*(1+IF(AM555="Apartment",Data_Summary!$C$3,0)),"")</f>
        <v>4.21084337349398</v>
      </c>
      <c r="AO555" s="4" t="n">
        <v>46195</v>
      </c>
    </row>
    <row r="556" customFormat="false" ht="15" hidden="false" customHeight="false" outlineLevel="0" collapsed="false">
      <c r="A556" s="0" t="n">
        <f aca="false">IF(AND(ISNUMBER(B556),B556&gt;0,ISNUMBER(AB556),AB556&gt;0,J556&gt;=Data_Summary!$C$1),1,0)</f>
        <v>1</v>
      </c>
      <c r="B556" s="30" t="n">
        <v>779</v>
      </c>
      <c r="C556" s="5" t="n">
        <f aca="false">IF(ISNUMBER(AB556),AB556,"")</f>
        <v>2850</v>
      </c>
      <c r="D556" s="0" t="n">
        <f aca="false">IF(ISNUMBER(C556),C556-U556*Data_Summary!$C$2,"")</f>
        <v>2850</v>
      </c>
      <c r="E556" s="31" t="n">
        <f aca="false">IFERROR(C556/B556,"")</f>
        <v>3.65853658536585</v>
      </c>
      <c r="F556" s="26" t="n">
        <f aca="false">IFERROR(D556/B556,"")</f>
        <v>3.65853658536585</v>
      </c>
      <c r="G556" s="0" t="str">
        <f aca="false">Q556</f>
        <v>1+1</v>
      </c>
      <c r="H556" s="0" t="str">
        <f aca="false">IFERROR(LEFT(G556,1),"")</f>
        <v>1</v>
      </c>
      <c r="I556" s="0" t="n">
        <f aca="false">IF(LEN(G556)&gt;1,1,0)</f>
        <v>1</v>
      </c>
      <c r="J556" s="4" t="n">
        <v>46179</v>
      </c>
      <c r="K556" s="0" t="s">
        <v>13</v>
      </c>
      <c r="L556" s="0" t="s">
        <v>101</v>
      </c>
      <c r="M556" s="0" t="s">
        <v>226</v>
      </c>
      <c r="N556" s="0" t="s">
        <v>103</v>
      </c>
      <c r="O556" s="0" t="s">
        <v>2677</v>
      </c>
      <c r="Q556" s="0" t="s">
        <v>270</v>
      </c>
      <c r="R556" s="0" t="n">
        <v>2</v>
      </c>
      <c r="S556" s="5" t="n">
        <v>779</v>
      </c>
      <c r="T556" s="0" t="s">
        <v>252</v>
      </c>
      <c r="U556" s="0" t="n">
        <v>0</v>
      </c>
      <c r="V556" s="0" t="s">
        <v>230</v>
      </c>
      <c r="W556" s="0" t="s">
        <v>231</v>
      </c>
      <c r="Y556" s="0" t="s">
        <v>253</v>
      </c>
      <c r="Z556" s="0" t="s">
        <v>2657</v>
      </c>
      <c r="AA556" s="0" t="s">
        <v>235</v>
      </c>
      <c r="AB556" s="32" t="n">
        <v>2850</v>
      </c>
      <c r="AC556" s="32" t="n">
        <v>2850</v>
      </c>
      <c r="AD556" s="26" t="n">
        <f aca="false">IFERROR(AB556/B556,"")</f>
        <v>3.65853658536585</v>
      </c>
      <c r="AE556" s="26" t="n">
        <f aca="false">IFERROR(AC556/B556,"")</f>
        <v>3.65853658536585</v>
      </c>
      <c r="AF556" s="0" t="s">
        <v>236</v>
      </c>
      <c r="AG556" s="0" t="s">
        <v>236</v>
      </c>
      <c r="AH556" s="0" t="s">
        <v>236</v>
      </c>
      <c r="AI556" s="0" t="s">
        <v>2678</v>
      </c>
      <c r="AJ556" s="0" t="s">
        <v>2679</v>
      </c>
      <c r="AK556" s="0" t="s">
        <v>2680</v>
      </c>
      <c r="AL556" s="0" t="s">
        <v>2681</v>
      </c>
      <c r="AM556" s="0" t="s">
        <v>94</v>
      </c>
      <c r="AN556" s="26" t="n">
        <f aca="false">IFERROR(E556*(1+IF(AM556="Apartment",Data_Summary!$C$3,0)),"")</f>
        <v>3.65853658536585</v>
      </c>
      <c r="AO556" s="4" t="n">
        <v>46195</v>
      </c>
    </row>
    <row r="557" customFormat="false" ht="15" hidden="false" customHeight="false" outlineLevel="0" collapsed="false">
      <c r="A557" s="0" t="n">
        <f aca="false">IF(AND(ISNUMBER(B557),B557&gt;0,ISNUMBER(AB557),AB557&gt;0,J557&gt;=Data_Summary!$C$1),1,0)</f>
        <v>1</v>
      </c>
      <c r="B557" s="30" t="n">
        <v>564</v>
      </c>
      <c r="C557" s="5" t="n">
        <f aca="false">IF(ISNUMBER(AB557),AB557,"")</f>
        <v>2450</v>
      </c>
      <c r="D557" s="0" t="n">
        <f aca="false">IF(ISNUMBER(C557),C557-U557*Data_Summary!$C$2,"")</f>
        <v>2450</v>
      </c>
      <c r="E557" s="31" t="n">
        <f aca="false">IFERROR(C557/B557,"")</f>
        <v>4.34397163120567</v>
      </c>
      <c r="F557" s="26" t="n">
        <f aca="false">IFERROR(D557/B557,"")</f>
        <v>4.34397163120567</v>
      </c>
      <c r="G557" s="0" t="str">
        <f aca="false">Q557</f>
        <v>1</v>
      </c>
      <c r="H557" s="0" t="str">
        <f aca="false">IFERROR(LEFT(G557,1),"")</f>
        <v>1</v>
      </c>
      <c r="I557" s="0" t="n">
        <f aca="false">IF(LEN(G557)&gt;1,1,0)</f>
        <v>0</v>
      </c>
      <c r="J557" s="4" t="n">
        <v>46177</v>
      </c>
      <c r="K557" s="0" t="s">
        <v>13</v>
      </c>
      <c r="L557" s="0" t="s">
        <v>101</v>
      </c>
      <c r="M557" s="0" t="s">
        <v>226</v>
      </c>
      <c r="N557" s="0" t="s">
        <v>103</v>
      </c>
      <c r="O557" s="0" t="s">
        <v>2033</v>
      </c>
      <c r="Q557" s="0" t="s">
        <v>242</v>
      </c>
      <c r="R557" s="0" t="n">
        <v>1</v>
      </c>
      <c r="S557" s="5" t="n">
        <v>564</v>
      </c>
      <c r="T557" s="0" t="s">
        <v>243</v>
      </c>
      <c r="U557" s="0" t="n">
        <v>0</v>
      </c>
      <c r="V557" s="0" t="s">
        <v>230</v>
      </c>
      <c r="W557" s="0" t="s">
        <v>231</v>
      </c>
      <c r="Y557" s="0" t="s">
        <v>253</v>
      </c>
      <c r="Z557" s="0" t="s">
        <v>2657</v>
      </c>
      <c r="AA557" s="0" t="s">
        <v>235</v>
      </c>
      <c r="AB557" s="32" t="n">
        <v>2450</v>
      </c>
      <c r="AC557" s="32" t="n">
        <v>2450</v>
      </c>
      <c r="AD557" s="26" t="n">
        <f aca="false">IFERROR(AB557/B557,"")</f>
        <v>4.34397163120567</v>
      </c>
      <c r="AE557" s="26" t="n">
        <f aca="false">IFERROR(AC557/B557,"")</f>
        <v>4.34397163120567</v>
      </c>
      <c r="AF557" s="0" t="s">
        <v>236</v>
      </c>
      <c r="AG557" s="0" t="s">
        <v>236</v>
      </c>
      <c r="AH557" s="0" t="s">
        <v>236</v>
      </c>
      <c r="AI557" s="0" t="s">
        <v>313</v>
      </c>
      <c r="AJ557" s="0" t="s">
        <v>2682</v>
      </c>
      <c r="AK557" s="0" t="s">
        <v>2683</v>
      </c>
      <c r="AL557" s="0" t="s">
        <v>2684</v>
      </c>
      <c r="AM557" s="0" t="s">
        <v>94</v>
      </c>
      <c r="AN557" s="26" t="n">
        <f aca="false">IFERROR(E557*(1+IF(AM557="Apartment",Data_Summary!$C$3,0)),"")</f>
        <v>4.34397163120567</v>
      </c>
      <c r="AO557" s="4" t="n">
        <v>46195</v>
      </c>
    </row>
    <row r="558" customFormat="false" ht="15" hidden="false" customHeight="false" outlineLevel="0" collapsed="false">
      <c r="A558" s="0" t="n">
        <f aca="false">IF(AND(ISNUMBER(B558),B558&gt;0,ISNUMBER(AB558),AB558&gt;0,J558&gt;=Data_Summary!$C$1),1,0)</f>
        <v>1</v>
      </c>
      <c r="B558" s="33" t="n">
        <v>791</v>
      </c>
      <c r="C558" s="5" t="n">
        <f aca="false">IF(ISNUMBER(AB558),AB558,"")</f>
        <v>3200</v>
      </c>
      <c r="D558" s="0" t="n">
        <f aca="false">IF(ISNUMBER(C558),C558-U558*Data_Summary!$C$2,"")</f>
        <v>3050</v>
      </c>
      <c r="E558" s="34" t="n">
        <f aca="false">IFERROR(C558/B558,"")</f>
        <v>4.04551201011378</v>
      </c>
      <c r="F558" s="26" t="n">
        <f aca="false">IFERROR(D558/B558,"")</f>
        <v>3.8558786346397</v>
      </c>
      <c r="G558" s="0" t="str">
        <f aca="false">Q558</f>
        <v>2</v>
      </c>
      <c r="H558" s="0" t="str">
        <f aca="false">IFERROR(LEFT(G558,1),"")</f>
        <v>2</v>
      </c>
      <c r="I558" s="0" t="n">
        <f aca="false">IF(LEN(G558)&gt;1,1,0)</f>
        <v>0</v>
      </c>
      <c r="J558" s="4" t="n">
        <v>46176</v>
      </c>
      <c r="K558" s="0" t="s">
        <v>13</v>
      </c>
      <c r="L558" s="0" t="s">
        <v>101</v>
      </c>
      <c r="M558" s="0" t="s">
        <v>226</v>
      </c>
      <c r="N558" s="0" t="s">
        <v>103</v>
      </c>
      <c r="O558" s="0" t="s">
        <v>2685</v>
      </c>
      <c r="Q558" s="0" t="s">
        <v>251</v>
      </c>
      <c r="R558" s="0" t="n">
        <v>2</v>
      </c>
      <c r="S558" s="5" t="n">
        <v>791</v>
      </c>
      <c r="T558" s="0" t="s">
        <v>229</v>
      </c>
      <c r="U558" s="0" t="n">
        <v>1</v>
      </c>
      <c r="V558" s="0" t="s">
        <v>230</v>
      </c>
      <c r="W558" s="0" t="s">
        <v>231</v>
      </c>
      <c r="Y558" s="0" t="s">
        <v>278</v>
      </c>
      <c r="Z558" s="0" t="s">
        <v>2657</v>
      </c>
      <c r="AA558" s="0" t="s">
        <v>235</v>
      </c>
      <c r="AB558" s="32" t="n">
        <v>3200</v>
      </c>
      <c r="AC558" s="32" t="n">
        <v>3200</v>
      </c>
      <c r="AD558" s="26" t="n">
        <f aca="false">IFERROR(AB558/B558,"")</f>
        <v>4.04551201011378</v>
      </c>
      <c r="AE558" s="26" t="n">
        <f aca="false">IFERROR(AC558/B558,"")</f>
        <v>4.04551201011378</v>
      </c>
      <c r="AF558" s="0" t="s">
        <v>236</v>
      </c>
      <c r="AG558" s="0" t="s">
        <v>236</v>
      </c>
      <c r="AH558" s="0" t="s">
        <v>236</v>
      </c>
      <c r="AI558" s="0" t="s">
        <v>2686</v>
      </c>
      <c r="AJ558" s="0" t="s">
        <v>2687</v>
      </c>
      <c r="AK558" s="0" t="s">
        <v>2688</v>
      </c>
      <c r="AL558" s="0" t="s">
        <v>2689</v>
      </c>
      <c r="AM558" s="0" t="s">
        <v>94</v>
      </c>
      <c r="AN558" s="26" t="n">
        <f aca="false">IFERROR(E558*(1+IF(AM558="Apartment",Data_Summary!$C$3,0)),"")</f>
        <v>4.04551201011378</v>
      </c>
      <c r="AO558" s="4" t="n">
        <v>46195</v>
      </c>
    </row>
    <row r="559" customFormat="false" ht="15" hidden="false" customHeight="false" outlineLevel="0" collapsed="false">
      <c r="A559" s="0" t="n">
        <f aca="false">IF(AND(ISNUMBER(B559),B559&gt;0,ISNUMBER(AB559),AB559&gt;0,J559&gt;=Data_Summary!$C$1),1,0)</f>
        <v>1</v>
      </c>
      <c r="B559" s="30" t="n">
        <v>1305</v>
      </c>
      <c r="C559" s="5" t="n">
        <f aca="false">IF(ISNUMBER(AB559),AB559,"")</f>
        <v>6000</v>
      </c>
      <c r="D559" s="0" t="n">
        <f aca="false">IF(ISNUMBER(C559),C559-U559*Data_Summary!$C$2,"")</f>
        <v>5850</v>
      </c>
      <c r="E559" s="31" t="n">
        <f aca="false">IFERROR(C559/B559,"")</f>
        <v>4.59770114942529</v>
      </c>
      <c r="F559" s="26" t="n">
        <f aca="false">IFERROR(D559/B559,"")</f>
        <v>4.48275862068966</v>
      </c>
      <c r="G559" s="0" t="str">
        <f aca="false">Q559</f>
        <v>3</v>
      </c>
      <c r="H559" s="0" t="str">
        <f aca="false">IFERROR(LEFT(G559,1),"")</f>
        <v>3</v>
      </c>
      <c r="I559" s="0" t="n">
        <f aca="false">IF(LEN(G559)&gt;1,1,0)</f>
        <v>0</v>
      </c>
      <c r="J559" s="4" t="n">
        <v>46174</v>
      </c>
      <c r="K559" s="0" t="s">
        <v>13</v>
      </c>
      <c r="L559" s="0" t="s">
        <v>101</v>
      </c>
      <c r="M559" s="0" t="s">
        <v>226</v>
      </c>
      <c r="N559" s="0" t="s">
        <v>103</v>
      </c>
      <c r="O559" s="0" t="s">
        <v>2690</v>
      </c>
      <c r="Q559" s="0" t="s">
        <v>228</v>
      </c>
      <c r="R559" s="0" t="n">
        <v>3</v>
      </c>
      <c r="S559" s="5" t="n">
        <v>1305</v>
      </c>
      <c r="T559" s="0" t="s">
        <v>467</v>
      </c>
      <c r="U559" s="0" t="n">
        <v>1</v>
      </c>
      <c r="V559" s="0" t="s">
        <v>230</v>
      </c>
      <c r="W559" s="0" t="s">
        <v>231</v>
      </c>
      <c r="X559" s="0" t="s">
        <v>232</v>
      </c>
      <c r="Y559" s="0" t="s">
        <v>245</v>
      </c>
      <c r="Z559" s="0" t="s">
        <v>2657</v>
      </c>
      <c r="AA559" s="0" t="s">
        <v>235</v>
      </c>
      <c r="AB559" s="32" t="n">
        <v>6000</v>
      </c>
      <c r="AC559" s="32" t="n">
        <v>6500</v>
      </c>
      <c r="AD559" s="26" t="n">
        <f aca="false">IFERROR(AB559/B559,"")</f>
        <v>4.59770114942529</v>
      </c>
      <c r="AE559" s="26" t="n">
        <f aca="false">IFERROR(AC559/B559,"")</f>
        <v>4.9808429118774</v>
      </c>
      <c r="AF559" s="0" t="s">
        <v>236</v>
      </c>
      <c r="AG559" s="0" t="s">
        <v>236</v>
      </c>
      <c r="AH559" s="0" t="s">
        <v>236</v>
      </c>
      <c r="AI559" s="0" t="s">
        <v>318</v>
      </c>
      <c r="AJ559" s="0" t="s">
        <v>2691</v>
      </c>
      <c r="AK559" s="0" t="s">
        <v>2692</v>
      </c>
      <c r="AL559" s="0" t="s">
        <v>2693</v>
      </c>
      <c r="AM559" s="0" t="s">
        <v>94</v>
      </c>
      <c r="AN559" s="26" t="n">
        <f aca="false">IFERROR(E559*(1+IF(AM559="Apartment",Data_Summary!$C$3,0)),"")</f>
        <v>4.59770114942529</v>
      </c>
      <c r="AO559" s="4" t="n">
        <v>46195</v>
      </c>
    </row>
    <row r="560" customFormat="false" ht="15" hidden="false" customHeight="false" outlineLevel="0" collapsed="false">
      <c r="A560" s="0" t="n">
        <f aca="false">IF(AND(ISNUMBER(B560),B560&gt;0,ISNUMBER(AB560),AB560&gt;0,J560&gt;=Data_Summary!$C$1),1,0)</f>
        <v>1</v>
      </c>
      <c r="B560" s="30" t="n">
        <v>586</v>
      </c>
      <c r="C560" s="5" t="n">
        <f aca="false">IF(ISNUMBER(AB560),AB560,"")</f>
        <v>2500</v>
      </c>
      <c r="D560" s="0" t="n">
        <f aca="false">IF(ISNUMBER(C560),C560-U560*Data_Summary!$C$2,"")</f>
        <v>2500</v>
      </c>
      <c r="E560" s="31" t="n">
        <f aca="false">IFERROR(C560/B560,"")</f>
        <v>4.26621160409556</v>
      </c>
      <c r="F560" s="26" t="n">
        <f aca="false">IFERROR(D560/B560,"")</f>
        <v>4.26621160409556</v>
      </c>
      <c r="G560" s="0" t="str">
        <f aca="false">Q560</f>
        <v>1</v>
      </c>
      <c r="H560" s="0" t="str">
        <f aca="false">IFERROR(LEFT(G560,1),"")</f>
        <v>1</v>
      </c>
      <c r="I560" s="0" t="n">
        <f aca="false">IF(LEN(G560)&gt;1,1,0)</f>
        <v>0</v>
      </c>
      <c r="J560" s="4" t="n">
        <v>46174</v>
      </c>
      <c r="K560" s="0" t="s">
        <v>13</v>
      </c>
      <c r="L560" s="0" t="s">
        <v>101</v>
      </c>
      <c r="M560" s="0" t="s">
        <v>226</v>
      </c>
      <c r="N560" s="0" t="s">
        <v>103</v>
      </c>
      <c r="O560" s="0" t="s">
        <v>2694</v>
      </c>
      <c r="Q560" s="0" t="s">
        <v>242</v>
      </c>
      <c r="R560" s="0" t="n">
        <v>1</v>
      </c>
      <c r="S560" s="5" t="n">
        <v>586</v>
      </c>
      <c r="T560" s="0" t="s">
        <v>243</v>
      </c>
      <c r="U560" s="0" t="n">
        <v>0</v>
      </c>
      <c r="V560" s="0" t="s">
        <v>230</v>
      </c>
      <c r="W560" s="0" t="s">
        <v>244</v>
      </c>
      <c r="Y560" s="0" t="s">
        <v>253</v>
      </c>
      <c r="Z560" s="0" t="s">
        <v>2657</v>
      </c>
      <c r="AA560" s="0" t="s">
        <v>235</v>
      </c>
      <c r="AB560" s="32" t="n">
        <v>2500</v>
      </c>
      <c r="AC560" s="32" t="n">
        <v>2500</v>
      </c>
      <c r="AD560" s="26" t="n">
        <f aca="false">IFERROR(AB560/B560,"")</f>
        <v>4.26621160409556</v>
      </c>
      <c r="AE560" s="26" t="n">
        <f aca="false">IFERROR(AC560/B560,"")</f>
        <v>4.26621160409556</v>
      </c>
      <c r="AF560" s="0" t="s">
        <v>236</v>
      </c>
      <c r="AG560" s="0" t="s">
        <v>236</v>
      </c>
      <c r="AH560" s="0" t="s">
        <v>236</v>
      </c>
      <c r="AI560" s="0" t="s">
        <v>318</v>
      </c>
      <c r="AJ560" s="0" t="s">
        <v>2695</v>
      </c>
      <c r="AK560" s="0" t="s">
        <v>2696</v>
      </c>
      <c r="AL560" s="0" t="s">
        <v>2697</v>
      </c>
      <c r="AM560" s="0" t="s">
        <v>94</v>
      </c>
      <c r="AN560" s="26" t="n">
        <f aca="false">IFERROR(E560*(1+IF(AM560="Apartment",Data_Summary!$C$3,0)),"")</f>
        <v>4.26621160409556</v>
      </c>
      <c r="AO560" s="4" t="n">
        <v>46195</v>
      </c>
    </row>
    <row r="561" customFormat="false" ht="15" hidden="false" customHeight="false" outlineLevel="0" collapsed="false">
      <c r="A561" s="0" t="n">
        <f aca="false">IF(AND(ISNUMBER(B561),B561&gt;0,ISNUMBER(AB561),AB561&gt;0,J561&gt;=Data_Summary!$C$1),1,0)</f>
        <v>1</v>
      </c>
      <c r="B561" s="30" t="n">
        <v>830</v>
      </c>
      <c r="C561" s="5" t="n">
        <f aca="false">IF(ISNUMBER(AB561),AB561,"")</f>
        <v>3350</v>
      </c>
      <c r="D561" s="0" t="n">
        <f aca="false">IF(ISNUMBER(C561),C561-U561*Data_Summary!$C$2,"")</f>
        <v>3200</v>
      </c>
      <c r="E561" s="31" t="n">
        <f aca="false">IFERROR(C561/B561,"")</f>
        <v>4.03614457831325</v>
      </c>
      <c r="F561" s="26" t="n">
        <f aca="false">IFERROR(D561/B561,"")</f>
        <v>3.85542168674699</v>
      </c>
      <c r="G561" s="0" t="str">
        <f aca="false">Q561</f>
        <v>2</v>
      </c>
      <c r="H561" s="0" t="str">
        <f aca="false">IFERROR(LEFT(G561,1),"")</f>
        <v>2</v>
      </c>
      <c r="I561" s="0" t="n">
        <f aca="false">IF(LEN(G561)&gt;1,1,0)</f>
        <v>0</v>
      </c>
      <c r="J561" s="4" t="n">
        <v>46172</v>
      </c>
      <c r="K561" s="0" t="s">
        <v>13</v>
      </c>
      <c r="L561" s="0" t="s">
        <v>101</v>
      </c>
      <c r="M561" s="0" t="s">
        <v>226</v>
      </c>
      <c r="N561" s="0" t="s">
        <v>103</v>
      </c>
      <c r="O561" s="0" t="s">
        <v>456</v>
      </c>
      <c r="Q561" s="0" t="s">
        <v>251</v>
      </c>
      <c r="R561" s="0" t="n">
        <v>2</v>
      </c>
      <c r="S561" s="5" t="n">
        <v>830</v>
      </c>
      <c r="T561" s="0" t="s">
        <v>229</v>
      </c>
      <c r="U561" s="0" t="n">
        <v>1</v>
      </c>
      <c r="V561" s="0" t="s">
        <v>230</v>
      </c>
      <c r="W561" s="0" t="s">
        <v>231</v>
      </c>
      <c r="X561" s="0" t="s">
        <v>232</v>
      </c>
      <c r="Y561" s="0" t="s">
        <v>308</v>
      </c>
      <c r="Z561" s="0" t="s">
        <v>2657</v>
      </c>
      <c r="AA561" s="0" t="s">
        <v>235</v>
      </c>
      <c r="AB561" s="32" t="n">
        <v>3350</v>
      </c>
      <c r="AC561" s="32" t="n">
        <v>3350</v>
      </c>
      <c r="AD561" s="26" t="n">
        <f aca="false">IFERROR(AB561/B561,"")</f>
        <v>4.03614457831325</v>
      </c>
      <c r="AE561" s="26" t="n">
        <f aca="false">IFERROR(AC561/B561,"")</f>
        <v>4.03614457831325</v>
      </c>
      <c r="AF561" s="0" t="s">
        <v>236</v>
      </c>
      <c r="AG561" s="0" t="s">
        <v>236</v>
      </c>
      <c r="AH561" s="0" t="s">
        <v>236</v>
      </c>
      <c r="AI561" s="0" t="s">
        <v>327</v>
      </c>
      <c r="AJ561" s="0" t="s">
        <v>2698</v>
      </c>
      <c r="AK561" s="0" t="s">
        <v>2699</v>
      </c>
      <c r="AL561" s="0" t="s">
        <v>2700</v>
      </c>
      <c r="AM561" s="0" t="s">
        <v>94</v>
      </c>
      <c r="AN561" s="26" t="n">
        <f aca="false">IFERROR(E561*(1+IF(AM561="Apartment",Data_Summary!$C$3,0)),"")</f>
        <v>4.03614457831325</v>
      </c>
      <c r="AO561" s="4" t="n">
        <v>46195</v>
      </c>
    </row>
    <row r="562" customFormat="false" ht="15" hidden="false" customHeight="false" outlineLevel="0" collapsed="false">
      <c r="A562" s="0" t="n">
        <f aca="false">IF(AND(ISNUMBER(B562),B562&gt;0,ISNUMBER(AB562),AB562&gt;0,J562&gt;=Data_Summary!$C$1),1,0)</f>
        <v>1</v>
      </c>
      <c r="B562" s="30" t="n">
        <v>651</v>
      </c>
      <c r="C562" s="5" t="n">
        <f aca="false">IF(ISNUMBER(AB562),AB562,"")</f>
        <v>2500</v>
      </c>
      <c r="D562" s="0" t="n">
        <f aca="false">IF(ISNUMBER(C562),C562-U562*Data_Summary!$C$2,"")</f>
        <v>2500</v>
      </c>
      <c r="E562" s="31" t="n">
        <f aca="false">IFERROR(C562/B562,"")</f>
        <v>3.84024577572965</v>
      </c>
      <c r="F562" s="26" t="n">
        <f aca="false">IFERROR(D562/B562,"")</f>
        <v>3.84024577572965</v>
      </c>
      <c r="G562" s="0" t="str">
        <f aca="false">Q562</f>
        <v>1+1</v>
      </c>
      <c r="H562" s="0" t="str">
        <f aca="false">IFERROR(LEFT(G562,1),"")</f>
        <v>1</v>
      </c>
      <c r="I562" s="0" t="n">
        <f aca="false">IF(LEN(G562)&gt;1,1,0)</f>
        <v>1</v>
      </c>
      <c r="J562" s="4" t="n">
        <v>46172</v>
      </c>
      <c r="K562" s="0" t="s">
        <v>13</v>
      </c>
      <c r="L562" s="0" t="s">
        <v>101</v>
      </c>
      <c r="M562" s="0" t="s">
        <v>226</v>
      </c>
      <c r="N562" s="0" t="s">
        <v>103</v>
      </c>
      <c r="O562" s="0" t="s">
        <v>2701</v>
      </c>
      <c r="Q562" s="0" t="s">
        <v>270</v>
      </c>
      <c r="R562" s="0" t="n">
        <v>1</v>
      </c>
      <c r="S562" s="5" t="n">
        <v>651</v>
      </c>
      <c r="T562" s="0" t="s">
        <v>271</v>
      </c>
      <c r="U562" s="0" t="n">
        <v>0</v>
      </c>
      <c r="V562" s="0" t="s">
        <v>230</v>
      </c>
      <c r="W562" s="0" t="s">
        <v>244</v>
      </c>
      <c r="Y562" s="0" t="s">
        <v>278</v>
      </c>
      <c r="Z562" s="0" t="s">
        <v>2657</v>
      </c>
      <c r="AA562" s="0" t="s">
        <v>235</v>
      </c>
      <c r="AB562" s="32" t="n">
        <v>2500</v>
      </c>
      <c r="AC562" s="32" t="n">
        <v>2500</v>
      </c>
      <c r="AD562" s="26" t="n">
        <f aca="false">IFERROR(AB562/B562,"")</f>
        <v>3.84024577572965</v>
      </c>
      <c r="AE562" s="26" t="n">
        <f aca="false">IFERROR(AC562/B562,"")</f>
        <v>3.84024577572965</v>
      </c>
      <c r="AF562" s="0" t="s">
        <v>236</v>
      </c>
      <c r="AG562" s="0" t="s">
        <v>236</v>
      </c>
      <c r="AH562" s="0" t="s">
        <v>236</v>
      </c>
      <c r="AI562" s="0" t="s">
        <v>327</v>
      </c>
      <c r="AJ562" s="0" t="s">
        <v>2702</v>
      </c>
      <c r="AK562" s="0" t="s">
        <v>2703</v>
      </c>
      <c r="AL562" s="0" t="s">
        <v>2704</v>
      </c>
      <c r="AM562" s="0" t="s">
        <v>94</v>
      </c>
      <c r="AN562" s="26" t="n">
        <f aca="false">IFERROR(E562*(1+IF(AM562="Apartment",Data_Summary!$C$3,0)),"")</f>
        <v>3.84024577572965</v>
      </c>
      <c r="AO562" s="4" t="n">
        <v>46195</v>
      </c>
    </row>
    <row r="563" customFormat="false" ht="15" hidden="false" customHeight="false" outlineLevel="0" collapsed="false">
      <c r="A563" s="0" t="n">
        <f aca="false">IF(AND(ISNUMBER(B563),B563&gt;0,ISNUMBER(AB563),AB563&gt;0,J563&gt;=Data_Summary!$C$1),1,0)</f>
        <v>1</v>
      </c>
      <c r="B563" s="30" t="n">
        <v>648</v>
      </c>
      <c r="C563" s="5" t="n">
        <f aca="false">IF(ISNUMBER(AB563),AB563,"")</f>
        <v>2500</v>
      </c>
      <c r="D563" s="0" t="n">
        <f aca="false">IF(ISNUMBER(C563),C563-U563*Data_Summary!$C$2,"")</f>
        <v>2500</v>
      </c>
      <c r="E563" s="31" t="n">
        <f aca="false">IFERROR(C563/B563,"")</f>
        <v>3.85802469135802</v>
      </c>
      <c r="F563" s="26" t="n">
        <f aca="false">IFERROR(D563/B563,"")</f>
        <v>3.85802469135802</v>
      </c>
      <c r="G563" s="0" t="str">
        <f aca="false">Q563</f>
        <v>1+1</v>
      </c>
      <c r="H563" s="0" t="str">
        <f aca="false">IFERROR(LEFT(G563,1),"")</f>
        <v>1</v>
      </c>
      <c r="I563" s="0" t="n">
        <f aca="false">IF(LEN(G563)&gt;1,1,0)</f>
        <v>1</v>
      </c>
      <c r="J563" s="4" t="n">
        <v>46156</v>
      </c>
      <c r="K563" s="0" t="s">
        <v>13</v>
      </c>
      <c r="L563" s="0" t="s">
        <v>101</v>
      </c>
      <c r="M563" s="0" t="s">
        <v>226</v>
      </c>
      <c r="N563" s="0" t="s">
        <v>103</v>
      </c>
      <c r="O563" s="0" t="s">
        <v>2705</v>
      </c>
      <c r="Q563" s="0" t="s">
        <v>270</v>
      </c>
      <c r="R563" s="0" t="n">
        <v>1</v>
      </c>
      <c r="S563" s="5" t="n">
        <v>648</v>
      </c>
      <c r="T563" s="0" t="s">
        <v>271</v>
      </c>
      <c r="U563" s="0" t="n">
        <v>0</v>
      </c>
      <c r="V563" s="0" t="s">
        <v>230</v>
      </c>
      <c r="W563" s="0" t="s">
        <v>231</v>
      </c>
      <c r="Y563" s="0" t="s">
        <v>278</v>
      </c>
      <c r="Z563" s="0" t="s">
        <v>2657</v>
      </c>
      <c r="AA563" s="0" t="s">
        <v>235</v>
      </c>
      <c r="AB563" s="32" t="n">
        <v>2500</v>
      </c>
      <c r="AC563" s="32" t="n">
        <v>2500</v>
      </c>
      <c r="AD563" s="26" t="n">
        <f aca="false">IFERROR(AB563/B563,"")</f>
        <v>3.85802469135802</v>
      </c>
      <c r="AE563" s="26" t="n">
        <f aca="false">IFERROR(AC563/B563,"")</f>
        <v>3.85802469135802</v>
      </c>
      <c r="AF563" s="0" t="s">
        <v>236</v>
      </c>
      <c r="AG563" s="0" t="s">
        <v>236</v>
      </c>
      <c r="AH563" s="0" t="s">
        <v>230</v>
      </c>
      <c r="AI563" s="0" t="s">
        <v>2706</v>
      </c>
      <c r="AJ563" s="0" t="s">
        <v>2707</v>
      </c>
      <c r="AK563" s="0" t="s">
        <v>2708</v>
      </c>
      <c r="AL563" s="0" t="s">
        <v>2709</v>
      </c>
      <c r="AM563" s="0" t="s">
        <v>94</v>
      </c>
      <c r="AN563" s="26" t="n">
        <f aca="false">IFERROR(E563*(1+IF(AM563="Apartment",Data_Summary!$C$3,0)),"")</f>
        <v>3.85802469135802</v>
      </c>
      <c r="AO563" s="4" t="n">
        <v>46195</v>
      </c>
    </row>
    <row r="564" customFormat="false" ht="15" hidden="false" customHeight="false" outlineLevel="0" collapsed="false">
      <c r="A564" s="0" t="n">
        <f aca="false">IF(AND(ISNUMBER(B564),B564&gt;0,ISNUMBER(AB564),AB564&gt;0,J564&gt;=Data_Summary!$C$1),1,0)</f>
        <v>1</v>
      </c>
      <c r="B564" s="30" t="n">
        <v>710</v>
      </c>
      <c r="C564" s="5" t="n">
        <f aca="false">IF(ISNUMBER(AB564),AB564,"")</f>
        <v>3280</v>
      </c>
      <c r="D564" s="0" t="n">
        <f aca="false">IF(ISNUMBER(C564),C564-U564*Data_Summary!$C$2,"")</f>
        <v>3130</v>
      </c>
      <c r="E564" s="31" t="n">
        <f aca="false">IFERROR(C564/B564,"")</f>
        <v>4.61971830985916</v>
      </c>
      <c r="F564" s="26" t="n">
        <f aca="false">IFERROR(D564/B564,"")</f>
        <v>4.40845070422535</v>
      </c>
      <c r="G564" s="0" t="str">
        <f aca="false">Q564</f>
        <v>2</v>
      </c>
      <c r="H564" s="0" t="str">
        <f aca="false">IFERROR(LEFT(G564,1),"")</f>
        <v>2</v>
      </c>
      <c r="I564" s="0" t="n">
        <f aca="false">IF(LEN(G564)&gt;1,1,0)</f>
        <v>0</v>
      </c>
      <c r="J564" s="4" t="n">
        <v>46156</v>
      </c>
      <c r="K564" s="0" t="s">
        <v>13</v>
      </c>
      <c r="L564" s="0" t="s">
        <v>101</v>
      </c>
      <c r="M564" s="0" t="s">
        <v>226</v>
      </c>
      <c r="N564" s="0" t="s">
        <v>103</v>
      </c>
      <c r="O564" s="0" t="s">
        <v>2710</v>
      </c>
      <c r="Q564" s="0" t="s">
        <v>251</v>
      </c>
      <c r="R564" s="0" t="n">
        <v>2</v>
      </c>
      <c r="S564" s="5" t="n">
        <v>710</v>
      </c>
      <c r="T564" s="0" t="s">
        <v>252</v>
      </c>
      <c r="U564" s="0" t="n">
        <v>1</v>
      </c>
      <c r="V564" s="0" t="s">
        <v>230</v>
      </c>
      <c r="W564" s="0" t="s">
        <v>231</v>
      </c>
      <c r="Y564" s="0" t="s">
        <v>253</v>
      </c>
      <c r="Z564" s="0" t="s">
        <v>2657</v>
      </c>
      <c r="AA564" s="0" t="s">
        <v>235</v>
      </c>
      <c r="AB564" s="32" t="n">
        <v>3280</v>
      </c>
      <c r="AC564" s="32" t="n">
        <v>3400</v>
      </c>
      <c r="AD564" s="26" t="n">
        <f aca="false">IFERROR(AB564/B564,"")</f>
        <v>4.61971830985916</v>
      </c>
      <c r="AE564" s="26" t="n">
        <f aca="false">IFERROR(AC564/B564,"")</f>
        <v>4.7887323943662</v>
      </c>
      <c r="AF564" s="0" t="s">
        <v>236</v>
      </c>
      <c r="AG564" s="0" t="s">
        <v>236</v>
      </c>
      <c r="AH564" s="0" t="s">
        <v>236</v>
      </c>
      <c r="AI564" s="0" t="s">
        <v>2706</v>
      </c>
      <c r="AJ564" s="0" t="s">
        <v>2711</v>
      </c>
      <c r="AK564" s="0" t="s">
        <v>2712</v>
      </c>
      <c r="AL564" s="0" t="s">
        <v>2713</v>
      </c>
      <c r="AM564" s="0" t="s">
        <v>94</v>
      </c>
      <c r="AN564" s="26" t="n">
        <f aca="false">IFERROR(E564*(1+IF(AM564="Apartment",Data_Summary!$C$3,0)),"")</f>
        <v>4.61971830985916</v>
      </c>
      <c r="AO564" s="4" t="n">
        <v>46195</v>
      </c>
    </row>
    <row r="565" customFormat="false" ht="15" hidden="false" customHeight="false" outlineLevel="0" collapsed="false">
      <c r="A565" s="0" t="n">
        <f aca="false">IF(AND(ISNUMBER(B565),B565&gt;0,ISNUMBER(AB565),AB565&gt;0,J565&gt;=Data_Summary!$C$1),1,0)</f>
        <v>1</v>
      </c>
      <c r="B565" s="30" t="n">
        <v>575</v>
      </c>
      <c r="C565" s="5" t="n">
        <f aca="false">IF(ISNUMBER(AB565),AB565,"")</f>
        <v>2500</v>
      </c>
      <c r="D565" s="0" t="n">
        <f aca="false">IF(ISNUMBER(C565),C565-U565*Data_Summary!$C$2,"")</f>
        <v>2500</v>
      </c>
      <c r="E565" s="31" t="n">
        <f aca="false">IFERROR(C565/B565,"")</f>
        <v>4.34782608695652</v>
      </c>
      <c r="F565" s="26" t="n">
        <f aca="false">IFERROR(D565/B565,"")</f>
        <v>4.34782608695652</v>
      </c>
      <c r="G565" s="0" t="str">
        <f aca="false">Q565</f>
        <v>1</v>
      </c>
      <c r="H565" s="0" t="str">
        <f aca="false">IFERROR(LEFT(G565,1),"")</f>
        <v>1</v>
      </c>
      <c r="I565" s="0" t="n">
        <f aca="false">IF(LEN(G565)&gt;1,1,0)</f>
        <v>0</v>
      </c>
      <c r="J565" s="4" t="n">
        <v>46155</v>
      </c>
      <c r="K565" s="0" t="s">
        <v>13</v>
      </c>
      <c r="L565" s="0" t="s">
        <v>101</v>
      </c>
      <c r="M565" s="0" t="s">
        <v>226</v>
      </c>
      <c r="N565" s="0" t="s">
        <v>103</v>
      </c>
      <c r="O565" s="0" t="s">
        <v>1338</v>
      </c>
      <c r="Q565" s="0" t="s">
        <v>242</v>
      </c>
      <c r="R565" s="0" t="n">
        <v>1</v>
      </c>
      <c r="S565" s="5" t="n">
        <v>575</v>
      </c>
      <c r="T565" s="0" t="s">
        <v>243</v>
      </c>
      <c r="U565" s="0" t="n">
        <v>0</v>
      </c>
      <c r="V565" s="0" t="s">
        <v>230</v>
      </c>
      <c r="W565" s="0" t="s">
        <v>244</v>
      </c>
      <c r="Y565" s="0" t="s">
        <v>278</v>
      </c>
      <c r="Z565" s="0" t="s">
        <v>2657</v>
      </c>
      <c r="AA565" s="0" t="s">
        <v>235</v>
      </c>
      <c r="AB565" s="32" t="n">
        <v>2500</v>
      </c>
      <c r="AC565" s="32" t="n">
        <v>2500</v>
      </c>
      <c r="AD565" s="26" t="n">
        <f aca="false">IFERROR(AB565/B565,"")</f>
        <v>4.34782608695652</v>
      </c>
      <c r="AE565" s="26" t="n">
        <f aca="false">IFERROR(AC565/B565,"")</f>
        <v>4.34782608695652</v>
      </c>
      <c r="AF565" s="0" t="s">
        <v>236</v>
      </c>
      <c r="AG565" s="0" t="s">
        <v>236</v>
      </c>
      <c r="AH565" s="0" t="s">
        <v>236</v>
      </c>
      <c r="AI565" s="0" t="s">
        <v>386</v>
      </c>
      <c r="AJ565" s="0" t="s">
        <v>2714</v>
      </c>
      <c r="AK565" s="0" t="s">
        <v>2715</v>
      </c>
      <c r="AL565" s="0" t="s">
        <v>2716</v>
      </c>
      <c r="AM565" s="0" t="s">
        <v>94</v>
      </c>
      <c r="AN565" s="26" t="n">
        <f aca="false">IFERROR(E565*(1+IF(AM565="Apartment",Data_Summary!$C$3,0)),"")</f>
        <v>4.34782608695652</v>
      </c>
      <c r="AO565" s="4" t="n">
        <v>46195</v>
      </c>
    </row>
    <row r="566" customFormat="false" ht="15" hidden="false" customHeight="false" outlineLevel="0" collapsed="false">
      <c r="A566" s="0" t="n">
        <f aca="false">IF(AND(ISNUMBER(B566),B566&gt;0,ISNUMBER(AB566),AB566&gt;0,J566&gt;=Data_Summary!$C$1),1,0)</f>
        <v>1</v>
      </c>
      <c r="B566" s="30" t="n">
        <v>1305</v>
      </c>
      <c r="C566" s="5" t="n">
        <f aca="false">IF(ISNUMBER(AB566),AB566,"")</f>
        <v>5400</v>
      </c>
      <c r="D566" s="0" t="n">
        <f aca="false">IF(ISNUMBER(C566),C566-U566*Data_Summary!$C$2,"")</f>
        <v>5250</v>
      </c>
      <c r="E566" s="31" t="n">
        <f aca="false">IFERROR(C566/B566,"")</f>
        <v>4.13793103448276</v>
      </c>
      <c r="F566" s="26" t="n">
        <f aca="false">IFERROR(D566/B566,"")</f>
        <v>4.02298850574713</v>
      </c>
      <c r="G566" s="0" t="str">
        <f aca="false">Q566</f>
        <v>3</v>
      </c>
      <c r="H566" s="0" t="str">
        <f aca="false">IFERROR(LEFT(G566,1),"")</f>
        <v>3</v>
      </c>
      <c r="I566" s="0" t="n">
        <f aca="false">IF(LEN(G566)&gt;1,1,0)</f>
        <v>0</v>
      </c>
      <c r="J566" s="4" t="n">
        <v>46153</v>
      </c>
      <c r="K566" s="0" t="s">
        <v>13</v>
      </c>
      <c r="L566" s="0" t="s">
        <v>101</v>
      </c>
      <c r="M566" s="0" t="s">
        <v>226</v>
      </c>
      <c r="N566" s="0" t="s">
        <v>103</v>
      </c>
      <c r="O566" s="0" t="s">
        <v>2717</v>
      </c>
      <c r="Q566" s="0" t="s">
        <v>228</v>
      </c>
      <c r="R566" s="0" t="n">
        <v>3</v>
      </c>
      <c r="S566" s="5" t="n">
        <v>1305</v>
      </c>
      <c r="T566" s="0" t="s">
        <v>467</v>
      </c>
      <c r="U566" s="0" t="n">
        <v>1</v>
      </c>
      <c r="V566" s="0" t="s">
        <v>230</v>
      </c>
      <c r="W566" s="0" t="s">
        <v>244</v>
      </c>
      <c r="X566" s="0" t="s">
        <v>232</v>
      </c>
      <c r="Y566" s="0" t="s">
        <v>297</v>
      </c>
      <c r="Z566" s="0" t="s">
        <v>2657</v>
      </c>
      <c r="AA566" s="0" t="s">
        <v>235</v>
      </c>
      <c r="AB566" s="32" t="n">
        <v>5400</v>
      </c>
      <c r="AC566" s="32" t="n">
        <v>5400</v>
      </c>
      <c r="AD566" s="26" t="n">
        <f aca="false">IFERROR(AB566/B566,"")</f>
        <v>4.13793103448276</v>
      </c>
      <c r="AE566" s="26" t="n">
        <f aca="false">IFERROR(AC566/B566,"")</f>
        <v>4.13793103448276</v>
      </c>
      <c r="AF566" s="0" t="s">
        <v>236</v>
      </c>
      <c r="AG566" s="0" t="s">
        <v>236</v>
      </c>
      <c r="AH566" s="0" t="s">
        <v>230</v>
      </c>
      <c r="AI566" s="0" t="s">
        <v>396</v>
      </c>
      <c r="AJ566" s="0" t="s">
        <v>2718</v>
      </c>
      <c r="AK566" s="0" t="s">
        <v>2719</v>
      </c>
      <c r="AL566" s="0" t="s">
        <v>2720</v>
      </c>
      <c r="AM566" s="0" t="s">
        <v>94</v>
      </c>
      <c r="AN566" s="26" t="n">
        <f aca="false">IFERROR(E566*(1+IF(AM566="Apartment",Data_Summary!$C$3,0)),"")</f>
        <v>4.13793103448276</v>
      </c>
      <c r="AO566" s="4" t="n">
        <v>46195</v>
      </c>
    </row>
    <row r="567" customFormat="false" ht="15" hidden="false" customHeight="false" outlineLevel="0" collapsed="false">
      <c r="A567" s="0" t="n">
        <f aca="false">IF(AND(ISNUMBER(B567),B567&gt;0,ISNUMBER(AB567),AB567&gt;0,J567&gt;=Data_Summary!$C$1),1,0)</f>
        <v>1</v>
      </c>
      <c r="B567" s="30" t="n">
        <v>582</v>
      </c>
      <c r="C567" s="5" t="n">
        <f aca="false">IF(ISNUMBER(AB567),AB567,"")</f>
        <v>2400</v>
      </c>
      <c r="D567" s="0" t="n">
        <f aca="false">IF(ISNUMBER(C567),C567-U567*Data_Summary!$C$2,"")</f>
        <v>2400</v>
      </c>
      <c r="E567" s="31" t="n">
        <f aca="false">IFERROR(C567/B567,"")</f>
        <v>4.12371134020619</v>
      </c>
      <c r="F567" s="26" t="n">
        <f aca="false">IFERROR(D567/B567,"")</f>
        <v>4.12371134020619</v>
      </c>
      <c r="G567" s="0" t="str">
        <f aca="false">Q567</f>
        <v>1</v>
      </c>
      <c r="H567" s="0" t="str">
        <f aca="false">IFERROR(LEFT(G567,1),"")</f>
        <v>1</v>
      </c>
      <c r="I567" s="0" t="n">
        <f aca="false">IF(LEN(G567)&gt;1,1,0)</f>
        <v>0</v>
      </c>
      <c r="J567" s="4" t="n">
        <v>46150</v>
      </c>
      <c r="K567" s="0" t="s">
        <v>13</v>
      </c>
      <c r="L567" s="0" t="s">
        <v>101</v>
      </c>
      <c r="M567" s="0" t="s">
        <v>226</v>
      </c>
      <c r="N567" s="0" t="s">
        <v>103</v>
      </c>
      <c r="O567" s="0" t="s">
        <v>2721</v>
      </c>
      <c r="Q567" s="0" t="s">
        <v>242</v>
      </c>
      <c r="R567" s="0" t="n">
        <v>1</v>
      </c>
      <c r="S567" s="5" t="n">
        <v>582</v>
      </c>
      <c r="T567" s="0" t="s">
        <v>243</v>
      </c>
      <c r="U567" s="0" t="n">
        <v>0</v>
      </c>
      <c r="V567" s="0" t="s">
        <v>230</v>
      </c>
      <c r="W567" s="0" t="s">
        <v>231</v>
      </c>
      <c r="Y567" s="0" t="s">
        <v>253</v>
      </c>
      <c r="Z567" s="0" t="s">
        <v>2657</v>
      </c>
      <c r="AA567" s="0" t="s">
        <v>235</v>
      </c>
      <c r="AB567" s="32" t="n">
        <v>2400</v>
      </c>
      <c r="AC567" s="32" t="n">
        <v>2425</v>
      </c>
      <c r="AD567" s="26" t="n">
        <f aca="false">IFERROR(AB567/B567,"")</f>
        <v>4.12371134020619</v>
      </c>
      <c r="AE567" s="26" t="n">
        <f aca="false">IFERROR(AC567/B567,"")</f>
        <v>4.16666666666667</v>
      </c>
      <c r="AF567" s="0" t="s">
        <v>236</v>
      </c>
      <c r="AG567" s="0" t="s">
        <v>236</v>
      </c>
      <c r="AH567" s="0" t="s">
        <v>236</v>
      </c>
      <c r="AI567" s="0" t="s">
        <v>401</v>
      </c>
      <c r="AJ567" s="0" t="s">
        <v>2722</v>
      </c>
      <c r="AK567" s="0" t="s">
        <v>2723</v>
      </c>
      <c r="AL567" s="0" t="s">
        <v>2724</v>
      </c>
      <c r="AM567" s="0" t="s">
        <v>94</v>
      </c>
      <c r="AN567" s="26" t="n">
        <f aca="false">IFERROR(E567*(1+IF(AM567="Apartment",Data_Summary!$C$3,0)),"")</f>
        <v>4.12371134020619</v>
      </c>
      <c r="AO567" s="4" t="n">
        <v>46195</v>
      </c>
    </row>
    <row r="568" customFormat="false" ht="15" hidden="false" customHeight="false" outlineLevel="0" collapsed="false">
      <c r="A568" s="0" t="n">
        <f aca="false">IF(AND(ISNUMBER(B568),B568&gt;0,ISNUMBER(AB568),AB568&gt;0,J568&gt;=Data_Summary!$C$1),1,0)</f>
        <v>1</v>
      </c>
      <c r="B568" s="30" t="n">
        <v>648</v>
      </c>
      <c r="C568" s="5" t="n">
        <f aca="false">IF(ISNUMBER(AB568),AB568,"")</f>
        <v>2500</v>
      </c>
      <c r="D568" s="0" t="n">
        <f aca="false">IF(ISNUMBER(C568),C568-U568*Data_Summary!$C$2,"")</f>
        <v>2500</v>
      </c>
      <c r="E568" s="31" t="n">
        <f aca="false">IFERROR(C568/B568,"")</f>
        <v>3.85802469135802</v>
      </c>
      <c r="F568" s="26" t="n">
        <f aca="false">IFERROR(D568/B568,"")</f>
        <v>3.85802469135802</v>
      </c>
      <c r="G568" s="0" t="str">
        <f aca="false">Q568</f>
        <v>1+1</v>
      </c>
      <c r="H568" s="0" t="str">
        <f aca="false">IFERROR(LEFT(G568,1),"")</f>
        <v>1</v>
      </c>
      <c r="I568" s="0" t="n">
        <f aca="false">IF(LEN(G568)&gt;1,1,0)</f>
        <v>1</v>
      </c>
      <c r="J568" s="4" t="n">
        <v>46148</v>
      </c>
      <c r="K568" s="0" t="s">
        <v>13</v>
      </c>
      <c r="L568" s="0" t="s">
        <v>101</v>
      </c>
      <c r="M568" s="0" t="s">
        <v>226</v>
      </c>
      <c r="N568" s="0" t="s">
        <v>103</v>
      </c>
      <c r="O568" s="0" t="s">
        <v>296</v>
      </c>
      <c r="Q568" s="0" t="s">
        <v>270</v>
      </c>
      <c r="R568" s="0" t="n">
        <v>1</v>
      </c>
      <c r="S568" s="5" t="n">
        <v>648</v>
      </c>
      <c r="T568" s="0" t="s">
        <v>271</v>
      </c>
      <c r="U568" s="0" t="n">
        <v>0</v>
      </c>
      <c r="V568" s="0" t="s">
        <v>230</v>
      </c>
      <c r="W568" s="0" t="s">
        <v>244</v>
      </c>
      <c r="Y568" s="0" t="s">
        <v>278</v>
      </c>
      <c r="Z568" s="0" t="s">
        <v>2657</v>
      </c>
      <c r="AA568" s="0" t="s">
        <v>235</v>
      </c>
      <c r="AB568" s="32" t="n">
        <v>2500</v>
      </c>
      <c r="AC568" s="32" t="n">
        <v>2550</v>
      </c>
      <c r="AD568" s="26" t="n">
        <f aca="false">IFERROR(AB568/B568,"")</f>
        <v>3.85802469135802</v>
      </c>
      <c r="AE568" s="26" t="n">
        <f aca="false">IFERROR(AC568/B568,"")</f>
        <v>3.93518518518519</v>
      </c>
      <c r="AF568" s="0" t="s">
        <v>236</v>
      </c>
      <c r="AG568" s="0" t="s">
        <v>236</v>
      </c>
      <c r="AH568" s="0" t="s">
        <v>236</v>
      </c>
      <c r="AI568" s="0" t="s">
        <v>406</v>
      </c>
      <c r="AJ568" s="0" t="s">
        <v>2725</v>
      </c>
      <c r="AK568" s="0" t="s">
        <v>2726</v>
      </c>
      <c r="AL568" s="0" t="s">
        <v>2727</v>
      </c>
      <c r="AM568" s="0" t="s">
        <v>94</v>
      </c>
      <c r="AN568" s="26" t="n">
        <f aca="false">IFERROR(E568*(1+IF(AM568="Apartment",Data_Summary!$C$3,0)),"")</f>
        <v>3.85802469135802</v>
      </c>
      <c r="AO568" s="4" t="n">
        <v>46195</v>
      </c>
    </row>
    <row r="569" customFormat="false" ht="15" hidden="false" customHeight="false" outlineLevel="0" collapsed="false">
      <c r="A569" s="0" t="n">
        <f aca="false">IF(AND(ISNUMBER(B569),B569&gt;0,ISNUMBER(AB569),AB569&gt;0,J569&gt;=Data_Summary!$C$1),1,0)</f>
        <v>1</v>
      </c>
      <c r="B569" s="33" t="n">
        <v>575</v>
      </c>
      <c r="C569" s="5" t="n">
        <f aca="false">IF(ISNUMBER(AB569),AB569,"")</f>
        <v>2600</v>
      </c>
      <c r="D569" s="0" t="n">
        <f aca="false">IF(ISNUMBER(C569),C569-U569*Data_Summary!$C$2,"")</f>
        <v>2600</v>
      </c>
      <c r="E569" s="34" t="n">
        <f aca="false">IFERROR(C569/B569,"")</f>
        <v>4.52173913043478</v>
      </c>
      <c r="F569" s="26" t="n">
        <f aca="false">IFERROR(D569/B569,"")</f>
        <v>4.52173913043478</v>
      </c>
      <c r="G569" s="0" t="str">
        <f aca="false">Q569</f>
        <v>1</v>
      </c>
      <c r="H569" s="0" t="str">
        <f aca="false">IFERROR(LEFT(G569,1),"")</f>
        <v>1</v>
      </c>
      <c r="I569" s="0" t="n">
        <f aca="false">IF(LEN(G569)&gt;1,1,0)</f>
        <v>0</v>
      </c>
      <c r="J569" s="4" t="n">
        <v>46147</v>
      </c>
      <c r="K569" s="0" t="s">
        <v>13</v>
      </c>
      <c r="L569" s="0" t="s">
        <v>101</v>
      </c>
      <c r="M569" s="0" t="s">
        <v>226</v>
      </c>
      <c r="N569" s="0" t="s">
        <v>103</v>
      </c>
      <c r="O569" s="0" t="s">
        <v>283</v>
      </c>
      <c r="Q569" s="0" t="s">
        <v>242</v>
      </c>
      <c r="R569" s="0" t="n">
        <v>1</v>
      </c>
      <c r="S569" s="5" t="n">
        <v>575</v>
      </c>
      <c r="T569" s="0" t="s">
        <v>243</v>
      </c>
      <c r="U569" s="0" t="n">
        <v>0</v>
      </c>
      <c r="V569" s="0" t="s">
        <v>230</v>
      </c>
      <c r="W569" s="0" t="s">
        <v>244</v>
      </c>
      <c r="Y569" s="0" t="s">
        <v>278</v>
      </c>
      <c r="Z569" s="0" t="s">
        <v>2657</v>
      </c>
      <c r="AA569" s="0" t="s">
        <v>235</v>
      </c>
      <c r="AB569" s="32" t="n">
        <v>2600</v>
      </c>
      <c r="AC569" s="32" t="n">
        <v>2600</v>
      </c>
      <c r="AD569" s="26" t="n">
        <f aca="false">IFERROR(AB569/B569,"")</f>
        <v>4.52173913043478</v>
      </c>
      <c r="AE569" s="26" t="n">
        <f aca="false">IFERROR(AC569/B569,"")</f>
        <v>4.52173913043478</v>
      </c>
      <c r="AF569" s="0" t="s">
        <v>230</v>
      </c>
      <c r="AG569" s="0" t="s">
        <v>236</v>
      </c>
      <c r="AH569" s="0" t="s">
        <v>236</v>
      </c>
      <c r="AI569" s="0" t="s">
        <v>411</v>
      </c>
      <c r="AJ569" s="0" t="s">
        <v>2728</v>
      </c>
      <c r="AK569" s="0" t="s">
        <v>2729</v>
      </c>
      <c r="AL569" s="0" t="s">
        <v>2730</v>
      </c>
      <c r="AM569" s="0" t="s">
        <v>94</v>
      </c>
      <c r="AN569" s="26" t="n">
        <f aca="false">IFERROR(E569*(1+IF(AM569="Apartment",Data_Summary!$C$3,0)),"")</f>
        <v>4.52173913043478</v>
      </c>
      <c r="AO569" s="4" t="n">
        <v>46195</v>
      </c>
    </row>
    <row r="570" customFormat="false" ht="15" hidden="false" customHeight="false" outlineLevel="0" collapsed="false">
      <c r="A570" s="0" t="n">
        <f aca="false">IF(AND(ISNUMBER(B570),B570&gt;0,ISNUMBER(AB570),AB570&gt;0,J570&gt;=Data_Summary!$C$1),1,0)</f>
        <v>1</v>
      </c>
      <c r="B570" s="33" t="n">
        <v>678</v>
      </c>
      <c r="C570" s="5" t="n">
        <f aca="false">IF(ISNUMBER(AB570),AB570,"")</f>
        <v>2850</v>
      </c>
      <c r="D570" s="0" t="n">
        <f aca="false">IF(ISNUMBER(C570),C570-U570*Data_Summary!$C$2,"")</f>
        <v>2850</v>
      </c>
      <c r="E570" s="34" t="n">
        <f aca="false">IFERROR(C570/B570,"")</f>
        <v>4.20353982300885</v>
      </c>
      <c r="F570" s="26" t="n">
        <f aca="false">IFERROR(D570/B570,"")</f>
        <v>4.20353982300885</v>
      </c>
      <c r="G570" s="0" t="str">
        <f aca="false">Q570</f>
        <v>1+1</v>
      </c>
      <c r="H570" s="0" t="str">
        <f aca="false">IFERROR(LEFT(G570,1),"")</f>
        <v>1</v>
      </c>
      <c r="I570" s="0" t="n">
        <f aca="false">IF(LEN(G570)&gt;1,1,0)</f>
        <v>1</v>
      </c>
      <c r="J570" s="4" t="n">
        <v>46143</v>
      </c>
      <c r="K570" s="0" t="s">
        <v>13</v>
      </c>
      <c r="L570" s="0" t="s">
        <v>101</v>
      </c>
      <c r="M570" s="0" t="s">
        <v>226</v>
      </c>
      <c r="N570" s="0" t="s">
        <v>103</v>
      </c>
      <c r="O570" s="0" t="s">
        <v>2731</v>
      </c>
      <c r="Q570" s="0" t="s">
        <v>270</v>
      </c>
      <c r="R570" s="0" t="n">
        <v>2</v>
      </c>
      <c r="S570" s="5" t="n">
        <v>678</v>
      </c>
      <c r="T570" s="0" t="s">
        <v>271</v>
      </c>
      <c r="U570" s="0" t="n">
        <v>0</v>
      </c>
      <c r="V570" s="0" t="s">
        <v>230</v>
      </c>
      <c r="W570" s="0" t="s">
        <v>244</v>
      </c>
      <c r="Y570" s="0" t="s">
        <v>253</v>
      </c>
      <c r="Z570" s="0" t="s">
        <v>2657</v>
      </c>
      <c r="AA570" s="0" t="s">
        <v>235</v>
      </c>
      <c r="AB570" s="32" t="n">
        <v>2850</v>
      </c>
      <c r="AC570" s="32" t="n">
        <v>2850</v>
      </c>
      <c r="AD570" s="26" t="n">
        <f aca="false">IFERROR(AB570/B570,"")</f>
        <v>4.20353982300885</v>
      </c>
      <c r="AE570" s="26" t="n">
        <f aca="false">IFERROR(AC570/B570,"")</f>
        <v>4.20353982300885</v>
      </c>
      <c r="AF570" s="0" t="s">
        <v>230</v>
      </c>
      <c r="AG570" s="0" t="s">
        <v>236</v>
      </c>
      <c r="AH570" s="0" t="s">
        <v>236</v>
      </c>
      <c r="AI570" s="0" t="s">
        <v>1630</v>
      </c>
      <c r="AJ570" s="0" t="s">
        <v>2732</v>
      </c>
      <c r="AK570" s="0" t="s">
        <v>2733</v>
      </c>
      <c r="AL570" s="0" t="s">
        <v>2734</v>
      </c>
      <c r="AM570" s="0" t="s">
        <v>94</v>
      </c>
      <c r="AN570" s="26" t="n">
        <f aca="false">IFERROR(E570*(1+IF(AM570="Apartment",Data_Summary!$C$3,0)),"")</f>
        <v>4.20353982300885</v>
      </c>
      <c r="AO570" s="4" t="n">
        <v>46195</v>
      </c>
    </row>
    <row r="571" customFormat="false" ht="15" hidden="false" customHeight="false" outlineLevel="0" collapsed="false">
      <c r="A571" s="0" t="n">
        <f aca="false">IF(AND(ISNUMBER(B571),B571&gt;0,ISNUMBER(AB571),AB571&gt;0,J571&gt;=Data_Summary!$C$1),1,0)</f>
        <v>1</v>
      </c>
      <c r="B571" s="30" t="n">
        <v>586</v>
      </c>
      <c r="C571" s="5" t="n">
        <f aca="false">IF(ISNUMBER(AB571),AB571,"")</f>
        <v>2650</v>
      </c>
      <c r="D571" s="0" t="n">
        <f aca="false">IF(ISNUMBER(C571),C571-U571*Data_Summary!$C$2,"")</f>
        <v>2500</v>
      </c>
      <c r="E571" s="31" t="n">
        <f aca="false">IFERROR(C571/B571,"")</f>
        <v>4.5221843003413</v>
      </c>
      <c r="F571" s="26" t="n">
        <f aca="false">IFERROR(D571/B571,"")</f>
        <v>4.26621160409556</v>
      </c>
      <c r="G571" s="0" t="str">
        <f aca="false">Q571</f>
        <v>1</v>
      </c>
      <c r="H571" s="0" t="str">
        <f aca="false">IFERROR(LEFT(G571,1),"")</f>
        <v>1</v>
      </c>
      <c r="I571" s="0" t="n">
        <f aca="false">IF(LEN(G571)&gt;1,1,0)</f>
        <v>0</v>
      </c>
      <c r="J571" s="4" t="n">
        <v>46140</v>
      </c>
      <c r="K571" s="0" t="s">
        <v>13</v>
      </c>
      <c r="L571" s="0" t="s">
        <v>101</v>
      </c>
      <c r="M571" s="0" t="s">
        <v>226</v>
      </c>
      <c r="N571" s="0" t="s">
        <v>103</v>
      </c>
      <c r="O571" s="0" t="s">
        <v>2735</v>
      </c>
      <c r="Q571" s="0" t="s">
        <v>242</v>
      </c>
      <c r="R571" s="0" t="n">
        <v>1</v>
      </c>
      <c r="S571" s="5" t="n">
        <v>586</v>
      </c>
      <c r="T571" s="0" t="s">
        <v>243</v>
      </c>
      <c r="U571" s="0" t="n">
        <v>1</v>
      </c>
      <c r="V571" s="0" t="s">
        <v>230</v>
      </c>
      <c r="W571" s="0" t="s">
        <v>231</v>
      </c>
      <c r="Y571" s="0" t="s">
        <v>253</v>
      </c>
      <c r="Z571" s="0" t="s">
        <v>2657</v>
      </c>
      <c r="AA571" s="0" t="s">
        <v>235</v>
      </c>
      <c r="AB571" s="32" t="n">
        <v>2650</v>
      </c>
      <c r="AC571" s="32" t="n">
        <v>2650</v>
      </c>
      <c r="AD571" s="26" t="n">
        <f aca="false">IFERROR(AB571/B571,"")</f>
        <v>4.5221843003413</v>
      </c>
      <c r="AE571" s="26" t="n">
        <f aca="false">IFERROR(AC571/B571,"")</f>
        <v>4.5221843003413</v>
      </c>
      <c r="AF571" s="0" t="s">
        <v>236</v>
      </c>
      <c r="AG571" s="0" t="s">
        <v>236</v>
      </c>
      <c r="AH571" s="0" t="s">
        <v>236</v>
      </c>
      <c r="AI571" s="0" t="s">
        <v>1639</v>
      </c>
      <c r="AJ571" s="0" t="s">
        <v>2736</v>
      </c>
      <c r="AK571" s="0" t="s">
        <v>2737</v>
      </c>
      <c r="AL571" s="0" t="s">
        <v>2738</v>
      </c>
      <c r="AM571" s="0" t="s">
        <v>94</v>
      </c>
      <c r="AN571" s="26" t="n">
        <f aca="false">IFERROR(E571*(1+IF(AM571="Apartment",Data_Summary!$C$3,0)),"")</f>
        <v>4.5221843003413</v>
      </c>
      <c r="AO571" s="4" t="n">
        <v>46195</v>
      </c>
    </row>
    <row r="572" customFormat="false" ht="15" hidden="false" customHeight="false" outlineLevel="0" collapsed="false">
      <c r="A572" s="0" t="n">
        <f aca="false">IF(AND(ISNUMBER(B572),B572&gt;0,ISNUMBER(AB572),AB572&gt;0,J572&gt;=Data_Summary!$C$1),1,0)</f>
        <v>1</v>
      </c>
      <c r="B572" s="33" t="n">
        <v>1305</v>
      </c>
      <c r="C572" s="5" t="n">
        <f aca="false">IF(ISNUMBER(AB572),AB572,"")</f>
        <v>5800</v>
      </c>
      <c r="D572" s="0" t="n">
        <f aca="false">IF(ISNUMBER(C572),C572-U572*Data_Summary!$C$2,"")</f>
        <v>5650</v>
      </c>
      <c r="E572" s="34" t="n">
        <f aca="false">IFERROR(C572/B572,"")</f>
        <v>4.44444444444445</v>
      </c>
      <c r="F572" s="26" t="n">
        <f aca="false">IFERROR(D572/B572,"")</f>
        <v>4.32950191570881</v>
      </c>
      <c r="G572" s="0" t="str">
        <f aca="false">Q572</f>
        <v>3</v>
      </c>
      <c r="H572" s="0" t="str">
        <f aca="false">IFERROR(LEFT(G572,1),"")</f>
        <v>3</v>
      </c>
      <c r="I572" s="0" t="n">
        <f aca="false">IF(LEN(G572)&gt;1,1,0)</f>
        <v>0</v>
      </c>
      <c r="J572" s="4" t="n">
        <v>46132</v>
      </c>
      <c r="K572" s="0" t="s">
        <v>13</v>
      </c>
      <c r="L572" s="0" t="s">
        <v>101</v>
      </c>
      <c r="M572" s="0" t="s">
        <v>226</v>
      </c>
      <c r="N572" s="0" t="s">
        <v>103</v>
      </c>
      <c r="O572" s="0" t="s">
        <v>2121</v>
      </c>
      <c r="Q572" s="0" t="s">
        <v>228</v>
      </c>
      <c r="R572" s="0" t="n">
        <v>3</v>
      </c>
      <c r="S572" s="5" t="n">
        <v>1305</v>
      </c>
      <c r="T572" s="0" t="s">
        <v>467</v>
      </c>
      <c r="U572" s="0" t="n">
        <v>1</v>
      </c>
      <c r="V572" s="0" t="s">
        <v>230</v>
      </c>
      <c r="W572" s="0" t="s">
        <v>231</v>
      </c>
      <c r="X572" s="0" t="s">
        <v>232</v>
      </c>
      <c r="Y572" s="0" t="s">
        <v>297</v>
      </c>
      <c r="Z572" s="0" t="s">
        <v>2657</v>
      </c>
      <c r="AA572" s="0" t="s">
        <v>235</v>
      </c>
      <c r="AB572" s="32" t="n">
        <v>5800</v>
      </c>
      <c r="AC572" s="32" t="n">
        <v>5800</v>
      </c>
      <c r="AD572" s="26" t="n">
        <f aca="false">IFERROR(AB572/B572,"")</f>
        <v>4.44444444444445</v>
      </c>
      <c r="AE572" s="26" t="n">
        <f aca="false">IFERROR(AC572/B572,"")</f>
        <v>4.44444444444445</v>
      </c>
      <c r="AF572" s="0" t="s">
        <v>421</v>
      </c>
      <c r="AG572" s="0" t="s">
        <v>236</v>
      </c>
      <c r="AH572" s="0" t="s">
        <v>236</v>
      </c>
      <c r="AI572" s="0" t="s">
        <v>1671</v>
      </c>
      <c r="AJ572" s="0" t="s">
        <v>2739</v>
      </c>
      <c r="AK572" s="0" t="s">
        <v>2740</v>
      </c>
      <c r="AL572" s="0" t="s">
        <v>2741</v>
      </c>
      <c r="AM572" s="0" t="s">
        <v>94</v>
      </c>
      <c r="AN572" s="26" t="n">
        <f aca="false">IFERROR(E572*(1+IF(AM572="Apartment",Data_Summary!$C$3,0)),"")</f>
        <v>4.44444444444445</v>
      </c>
      <c r="AO572" s="4" t="n">
        <v>46195</v>
      </c>
    </row>
    <row r="573" customFormat="false" ht="15" hidden="false" customHeight="false" outlineLevel="0" collapsed="false">
      <c r="A573" s="0" t="n">
        <f aca="false">IF(AND(ISNUMBER(B573),B573&gt;0,ISNUMBER(AB573),AB573&gt;0,J573&gt;=Data_Summary!$C$1),1,0)</f>
        <v>1</v>
      </c>
      <c r="B573" s="30" t="n">
        <v>830</v>
      </c>
      <c r="C573" s="5" t="n">
        <f aca="false">IF(ISNUMBER(AB573),AB573,"")</f>
        <v>3600</v>
      </c>
      <c r="D573" s="0" t="n">
        <f aca="false">IF(ISNUMBER(C573),C573-U573*Data_Summary!$C$2,"")</f>
        <v>3450</v>
      </c>
      <c r="E573" s="31" t="n">
        <f aca="false">IFERROR(C573/B573,"")</f>
        <v>4.33734939759036</v>
      </c>
      <c r="F573" s="26" t="n">
        <f aca="false">IFERROR(D573/B573,"")</f>
        <v>4.1566265060241</v>
      </c>
      <c r="G573" s="0" t="str">
        <f aca="false">Q573</f>
        <v>2</v>
      </c>
      <c r="H573" s="0" t="str">
        <f aca="false">IFERROR(LEFT(G573,1),"")</f>
        <v>2</v>
      </c>
      <c r="I573" s="0" t="n">
        <f aca="false">IF(LEN(G573)&gt;1,1,0)</f>
        <v>0</v>
      </c>
      <c r="J573" s="4" t="n">
        <v>46131</v>
      </c>
      <c r="K573" s="0" t="s">
        <v>13</v>
      </c>
      <c r="L573" s="0" t="s">
        <v>101</v>
      </c>
      <c r="M573" s="0" t="s">
        <v>226</v>
      </c>
      <c r="N573" s="0" t="s">
        <v>103</v>
      </c>
      <c r="O573" s="0" t="s">
        <v>2742</v>
      </c>
      <c r="Q573" s="0" t="s">
        <v>251</v>
      </c>
      <c r="R573" s="0" t="n">
        <v>2</v>
      </c>
      <c r="S573" s="5" t="n">
        <v>830</v>
      </c>
      <c r="T573" s="0" t="s">
        <v>229</v>
      </c>
      <c r="U573" s="0" t="n">
        <v>1</v>
      </c>
      <c r="V573" s="0" t="s">
        <v>230</v>
      </c>
      <c r="W573" s="0" t="s">
        <v>244</v>
      </c>
      <c r="X573" s="0" t="s">
        <v>232</v>
      </c>
      <c r="Y573" s="0" t="s">
        <v>260</v>
      </c>
      <c r="Z573" s="0" t="s">
        <v>2657</v>
      </c>
      <c r="AA573" s="0" t="s">
        <v>235</v>
      </c>
      <c r="AB573" s="32" t="n">
        <v>3600</v>
      </c>
      <c r="AC573" s="32" t="n">
        <v>3600</v>
      </c>
      <c r="AD573" s="26" t="n">
        <f aca="false">IFERROR(AB573/B573,"")</f>
        <v>4.33734939759036</v>
      </c>
      <c r="AE573" s="26" t="n">
        <f aca="false">IFERROR(AC573/B573,"")</f>
        <v>4.33734939759036</v>
      </c>
      <c r="AF573" s="0" t="s">
        <v>236</v>
      </c>
      <c r="AG573" s="0" t="s">
        <v>236</v>
      </c>
      <c r="AH573" s="0" t="s">
        <v>230</v>
      </c>
      <c r="AI573" s="0" t="s">
        <v>442</v>
      </c>
      <c r="AJ573" s="0" t="s">
        <v>2743</v>
      </c>
      <c r="AK573" s="0" t="s">
        <v>2744</v>
      </c>
      <c r="AL573" s="0" t="s">
        <v>2745</v>
      </c>
      <c r="AM573" s="0" t="s">
        <v>94</v>
      </c>
      <c r="AN573" s="26" t="n">
        <f aca="false">IFERROR(E573*(1+IF(AM573="Apartment",Data_Summary!$C$3,0)),"")</f>
        <v>4.33734939759036</v>
      </c>
      <c r="AO573" s="4" t="n">
        <v>46195</v>
      </c>
    </row>
    <row r="574" customFormat="false" ht="15" hidden="false" customHeight="false" outlineLevel="0" collapsed="false">
      <c r="A574" s="0" t="n">
        <f aca="false">IF(AND(ISNUMBER(B574),B574&gt;0,ISNUMBER(AB574),AB574&gt;0,J574&gt;=Data_Summary!$C$1),1,0)</f>
        <v>1</v>
      </c>
      <c r="B574" s="30" t="n">
        <v>586</v>
      </c>
      <c r="C574" s="5" t="n">
        <f aca="false">IF(ISNUMBER(AB574),AB574,"")</f>
        <v>2650</v>
      </c>
      <c r="D574" s="0" t="n">
        <f aca="false">IF(ISNUMBER(C574),C574-U574*Data_Summary!$C$2,"")</f>
        <v>2500</v>
      </c>
      <c r="E574" s="31" t="n">
        <f aca="false">IFERROR(C574/B574,"")</f>
        <v>4.5221843003413</v>
      </c>
      <c r="F574" s="26" t="n">
        <f aca="false">IFERROR(D574/B574,"")</f>
        <v>4.26621160409556</v>
      </c>
      <c r="G574" s="0" t="str">
        <f aca="false">Q574</f>
        <v>1</v>
      </c>
      <c r="H574" s="0" t="str">
        <f aca="false">IFERROR(LEFT(G574,1),"")</f>
        <v>1</v>
      </c>
      <c r="I574" s="0" t="n">
        <f aca="false">IF(LEN(G574)&gt;1,1,0)</f>
        <v>0</v>
      </c>
      <c r="J574" s="4" t="n">
        <v>46129</v>
      </c>
      <c r="K574" s="0" t="s">
        <v>13</v>
      </c>
      <c r="L574" s="0" t="s">
        <v>101</v>
      </c>
      <c r="M574" s="0" t="s">
        <v>226</v>
      </c>
      <c r="N574" s="0" t="s">
        <v>103</v>
      </c>
      <c r="O574" s="0" t="s">
        <v>2746</v>
      </c>
      <c r="Q574" s="0" t="s">
        <v>242</v>
      </c>
      <c r="R574" s="0" t="n">
        <v>1</v>
      </c>
      <c r="S574" s="5" t="n">
        <v>586</v>
      </c>
      <c r="T574" s="0" t="s">
        <v>243</v>
      </c>
      <c r="U574" s="0" t="n">
        <v>1</v>
      </c>
      <c r="V574" s="0" t="s">
        <v>230</v>
      </c>
      <c r="W574" s="0" t="s">
        <v>231</v>
      </c>
      <c r="Y574" s="0" t="s">
        <v>253</v>
      </c>
      <c r="Z574" s="0" t="s">
        <v>2657</v>
      </c>
      <c r="AA574" s="0" t="s">
        <v>235</v>
      </c>
      <c r="AB574" s="32" t="n">
        <v>2650</v>
      </c>
      <c r="AC574" s="32" t="n">
        <v>2650</v>
      </c>
      <c r="AD574" s="26" t="n">
        <f aca="false">IFERROR(AB574/B574,"")</f>
        <v>4.5221843003413</v>
      </c>
      <c r="AE574" s="26" t="n">
        <f aca="false">IFERROR(AC574/B574,"")</f>
        <v>4.5221843003413</v>
      </c>
      <c r="AF574" s="0" t="s">
        <v>236</v>
      </c>
      <c r="AG574" s="0" t="s">
        <v>236</v>
      </c>
      <c r="AH574" s="0" t="s">
        <v>236</v>
      </c>
      <c r="AI574" s="0" t="s">
        <v>1683</v>
      </c>
      <c r="AJ574" s="0" t="s">
        <v>2747</v>
      </c>
      <c r="AK574" s="0" t="s">
        <v>2748</v>
      </c>
      <c r="AL574" s="0" t="s">
        <v>2749</v>
      </c>
      <c r="AM574" s="0" t="s">
        <v>94</v>
      </c>
      <c r="AN574" s="26" t="n">
        <f aca="false">IFERROR(E574*(1+IF(AM574="Apartment",Data_Summary!$C$3,0)),"")</f>
        <v>4.5221843003413</v>
      </c>
      <c r="AO574" s="4" t="n">
        <v>46195</v>
      </c>
    </row>
    <row r="575" customFormat="false" ht="15" hidden="false" customHeight="false" outlineLevel="0" collapsed="false">
      <c r="A575" s="0" t="n">
        <f aca="false">IF(AND(ISNUMBER(B575),B575&gt;0,ISNUMBER(AB575),AB575&gt;0,J575&gt;=Data_Summary!$C$1),1,0)</f>
        <v>1</v>
      </c>
      <c r="B575" s="30" t="n">
        <v>575</v>
      </c>
      <c r="C575" s="5" t="n">
        <f aca="false">IF(ISNUMBER(AB575),AB575,"")</f>
        <v>2450</v>
      </c>
      <c r="D575" s="0" t="n">
        <f aca="false">IF(ISNUMBER(C575),C575-U575*Data_Summary!$C$2,"")</f>
        <v>2450</v>
      </c>
      <c r="E575" s="31" t="n">
        <f aca="false">IFERROR(C575/B575,"")</f>
        <v>4.26086956521739</v>
      </c>
      <c r="F575" s="26" t="n">
        <f aca="false">IFERROR(D575/B575,"")</f>
        <v>4.26086956521739</v>
      </c>
      <c r="G575" s="0" t="str">
        <f aca="false">Q575</f>
        <v>1</v>
      </c>
      <c r="H575" s="0" t="str">
        <f aca="false">IFERROR(LEFT(G575,1),"")</f>
        <v>1</v>
      </c>
      <c r="I575" s="0" t="n">
        <f aca="false">IF(LEN(G575)&gt;1,1,0)</f>
        <v>0</v>
      </c>
      <c r="J575" s="4" t="n">
        <v>46127</v>
      </c>
      <c r="K575" s="0" t="s">
        <v>13</v>
      </c>
      <c r="L575" s="0" t="s">
        <v>101</v>
      </c>
      <c r="M575" s="0" t="s">
        <v>226</v>
      </c>
      <c r="N575" s="0" t="s">
        <v>103</v>
      </c>
      <c r="O575" s="0" t="s">
        <v>945</v>
      </c>
      <c r="Q575" s="0" t="s">
        <v>242</v>
      </c>
      <c r="R575" s="0" t="n">
        <v>1</v>
      </c>
      <c r="S575" s="5" t="n">
        <v>575</v>
      </c>
      <c r="T575" s="0" t="s">
        <v>243</v>
      </c>
      <c r="U575" s="0" t="n">
        <v>0</v>
      </c>
      <c r="V575" s="0" t="s">
        <v>230</v>
      </c>
      <c r="W575" s="0" t="s">
        <v>244</v>
      </c>
      <c r="Y575" s="0" t="s">
        <v>278</v>
      </c>
      <c r="Z575" s="0" t="s">
        <v>2657</v>
      </c>
      <c r="AA575" s="0" t="s">
        <v>235</v>
      </c>
      <c r="AB575" s="32" t="n">
        <v>2450</v>
      </c>
      <c r="AC575" s="32" t="n">
        <v>2500</v>
      </c>
      <c r="AD575" s="26" t="n">
        <f aca="false">IFERROR(AB575/B575,"")</f>
        <v>4.26086956521739</v>
      </c>
      <c r="AE575" s="26" t="n">
        <f aca="false">IFERROR(AC575/B575,"")</f>
        <v>4.34782608695652</v>
      </c>
      <c r="AF575" s="0" t="s">
        <v>236</v>
      </c>
      <c r="AG575" s="0" t="s">
        <v>236</v>
      </c>
      <c r="AH575" s="0" t="s">
        <v>230</v>
      </c>
      <c r="AI575" s="0" t="s">
        <v>457</v>
      </c>
      <c r="AJ575" s="0" t="s">
        <v>2750</v>
      </c>
      <c r="AK575" s="0" t="s">
        <v>2751</v>
      </c>
      <c r="AL575" s="0" t="s">
        <v>2752</v>
      </c>
      <c r="AM575" s="0" t="s">
        <v>94</v>
      </c>
      <c r="AN575" s="26" t="n">
        <f aca="false">IFERROR(E575*(1+IF(AM575="Apartment",Data_Summary!$C$3,0)),"")</f>
        <v>4.26086956521739</v>
      </c>
      <c r="AO575" s="4" t="n">
        <v>46195</v>
      </c>
    </row>
    <row r="576" customFormat="false" ht="15" hidden="false" customHeight="false" outlineLevel="0" collapsed="false">
      <c r="A576" s="0" t="n">
        <f aca="false">IF(AND(ISNUMBER(B576),B576&gt;0,ISNUMBER(AB576),AB576&gt;0,J576&gt;=Data_Summary!$C$1),1,0)</f>
        <v>1</v>
      </c>
      <c r="B576" s="33" t="n">
        <v>602</v>
      </c>
      <c r="C576" s="5" t="n">
        <f aca="false">IF(ISNUMBER(AB576),AB576,"")</f>
        <v>2600</v>
      </c>
      <c r="D576" s="0" t="n">
        <f aca="false">IF(ISNUMBER(C576),C576-U576*Data_Summary!$C$2,"")</f>
        <v>2450</v>
      </c>
      <c r="E576" s="34" t="n">
        <f aca="false">IFERROR(C576/B576,"")</f>
        <v>4.31893687707641</v>
      </c>
      <c r="F576" s="26" t="n">
        <f aca="false">IFERROR(D576/B576,"")</f>
        <v>4.06976744186047</v>
      </c>
      <c r="G576" s="0" t="str">
        <f aca="false">Q576</f>
        <v>1+1</v>
      </c>
      <c r="H576" s="0" t="str">
        <f aca="false">IFERROR(LEFT(G576,1),"")</f>
        <v>1</v>
      </c>
      <c r="I576" s="0" t="n">
        <f aca="false">IF(LEN(G576)&gt;1,1,0)</f>
        <v>1</v>
      </c>
      <c r="J576" s="4" t="n">
        <v>46126</v>
      </c>
      <c r="K576" s="0" t="s">
        <v>13</v>
      </c>
      <c r="L576" s="0" t="s">
        <v>101</v>
      </c>
      <c r="M576" s="0" t="s">
        <v>226</v>
      </c>
      <c r="N576" s="0" t="s">
        <v>103</v>
      </c>
      <c r="O576" s="0" t="s">
        <v>515</v>
      </c>
      <c r="Q576" s="0" t="s">
        <v>270</v>
      </c>
      <c r="R576" s="0" t="n">
        <v>1</v>
      </c>
      <c r="S576" s="5" t="n">
        <v>602</v>
      </c>
      <c r="T576" s="0" t="s">
        <v>271</v>
      </c>
      <c r="U576" s="0" t="n">
        <v>1</v>
      </c>
      <c r="V576" s="0" t="s">
        <v>230</v>
      </c>
      <c r="W576" s="0" t="s">
        <v>231</v>
      </c>
      <c r="X576" s="0" t="s">
        <v>232</v>
      </c>
      <c r="Y576" s="0" t="s">
        <v>278</v>
      </c>
      <c r="Z576" s="0" t="s">
        <v>2657</v>
      </c>
      <c r="AA576" s="0" t="s">
        <v>235</v>
      </c>
      <c r="AB576" s="32" t="n">
        <v>2600</v>
      </c>
      <c r="AC576" s="32" t="n">
        <v>2600</v>
      </c>
      <c r="AD576" s="26" t="n">
        <f aca="false">IFERROR(AB576/B576,"")</f>
        <v>4.31893687707641</v>
      </c>
      <c r="AE576" s="26" t="n">
        <f aca="false">IFERROR(AC576/B576,"")</f>
        <v>4.31893687707641</v>
      </c>
      <c r="AF576" s="0" t="s">
        <v>421</v>
      </c>
      <c r="AG576" s="0" t="s">
        <v>236</v>
      </c>
      <c r="AH576" s="0" t="s">
        <v>236</v>
      </c>
      <c r="AI576" s="0" t="s">
        <v>1692</v>
      </c>
      <c r="AJ576" s="0" t="s">
        <v>2753</v>
      </c>
      <c r="AK576" s="0" t="s">
        <v>2754</v>
      </c>
      <c r="AL576" s="0" t="s">
        <v>2755</v>
      </c>
      <c r="AM576" s="0" t="s">
        <v>94</v>
      </c>
      <c r="AN576" s="26" t="n">
        <f aca="false">IFERROR(E576*(1+IF(AM576="Apartment",Data_Summary!$C$3,0)),"")</f>
        <v>4.31893687707641</v>
      </c>
      <c r="AO576" s="4" t="n">
        <v>46195</v>
      </c>
    </row>
    <row r="577" customFormat="false" ht="15" hidden="false" customHeight="false" outlineLevel="0" collapsed="false">
      <c r="A577" s="0" t="n">
        <f aca="false">IF(AND(ISNUMBER(B577),B577&gt;0,ISNUMBER(AB577),AB577&gt;0,J577&gt;=Data_Summary!$C$1),1,0)</f>
        <v>1</v>
      </c>
      <c r="B577" s="33" t="n">
        <v>830</v>
      </c>
      <c r="C577" s="5" t="n">
        <f aca="false">IF(ISNUMBER(AB577),AB577,"")</f>
        <v>3750</v>
      </c>
      <c r="D577" s="0" t="n">
        <f aca="false">IF(ISNUMBER(C577),C577-U577*Data_Summary!$C$2,"")</f>
        <v>3600</v>
      </c>
      <c r="E577" s="34" t="n">
        <f aca="false">IFERROR(C577/B577,"")</f>
        <v>4.51807228915663</v>
      </c>
      <c r="F577" s="26" t="n">
        <f aca="false">IFERROR(D577/B577,"")</f>
        <v>4.33734939759036</v>
      </c>
      <c r="G577" s="0" t="str">
        <f aca="false">Q577</f>
        <v>2</v>
      </c>
      <c r="H577" s="0" t="str">
        <f aca="false">IFERROR(LEFT(G577,1),"")</f>
        <v>2</v>
      </c>
      <c r="I577" s="0" t="n">
        <f aca="false">IF(LEN(G577)&gt;1,1,0)</f>
        <v>0</v>
      </c>
      <c r="J577" s="4" t="n">
        <v>46116</v>
      </c>
      <c r="K577" s="0" t="s">
        <v>13</v>
      </c>
      <c r="L577" s="0" t="s">
        <v>101</v>
      </c>
      <c r="M577" s="0" t="s">
        <v>226</v>
      </c>
      <c r="N577" s="0" t="s">
        <v>103</v>
      </c>
      <c r="O577" s="0" t="s">
        <v>2756</v>
      </c>
      <c r="Q577" s="0" t="s">
        <v>251</v>
      </c>
      <c r="R577" s="0" t="n">
        <v>2</v>
      </c>
      <c r="S577" s="5" t="n">
        <v>830</v>
      </c>
      <c r="T577" s="0" t="s">
        <v>229</v>
      </c>
      <c r="U577" s="0" t="n">
        <v>1</v>
      </c>
      <c r="V577" s="0" t="s">
        <v>230</v>
      </c>
      <c r="W577" s="0" t="s">
        <v>231</v>
      </c>
      <c r="X577" s="0" t="s">
        <v>232</v>
      </c>
      <c r="Y577" s="0" t="s">
        <v>278</v>
      </c>
      <c r="Z577" s="0" t="s">
        <v>2657</v>
      </c>
      <c r="AA577" s="0" t="s">
        <v>235</v>
      </c>
      <c r="AB577" s="32" t="n">
        <v>3750</v>
      </c>
      <c r="AC577" s="32" t="n">
        <v>3750</v>
      </c>
      <c r="AD577" s="26" t="n">
        <f aca="false">IFERROR(AB577/B577,"")</f>
        <v>4.51807228915663</v>
      </c>
      <c r="AE577" s="26" t="n">
        <f aca="false">IFERROR(AC577/B577,"")</f>
        <v>4.51807228915663</v>
      </c>
      <c r="AF577" s="0" t="s">
        <v>230</v>
      </c>
      <c r="AG577" s="0" t="s">
        <v>236</v>
      </c>
      <c r="AH577" s="0" t="s">
        <v>230</v>
      </c>
      <c r="AI577" s="0" t="s">
        <v>2757</v>
      </c>
      <c r="AJ577" s="0" t="s">
        <v>2758</v>
      </c>
      <c r="AK577" s="0" t="s">
        <v>2759</v>
      </c>
      <c r="AL577" s="0" t="s">
        <v>2760</v>
      </c>
      <c r="AM577" s="0" t="s">
        <v>94</v>
      </c>
      <c r="AN577" s="26" t="n">
        <f aca="false">IFERROR(E577*(1+IF(AM577="Apartment",Data_Summary!$C$3,0)),"")</f>
        <v>4.51807228915663</v>
      </c>
      <c r="AO577" s="4" t="n">
        <v>46195</v>
      </c>
    </row>
    <row r="578" customFormat="false" ht="15" hidden="false" customHeight="false" outlineLevel="0" collapsed="false">
      <c r="A578" s="0" t="n">
        <f aca="false">IF(AND(ISNUMBER(B578),B578&gt;0,ISNUMBER(AB578),AB578&gt;0,J578&gt;=Data_Summary!$C$1),1,0)</f>
        <v>1</v>
      </c>
      <c r="B578" s="33" t="n">
        <v>582</v>
      </c>
      <c r="C578" s="5" t="n">
        <f aca="false">IF(ISNUMBER(AB578),AB578,"")</f>
        <v>2550</v>
      </c>
      <c r="D578" s="0" t="n">
        <f aca="false">IF(ISNUMBER(C578),C578-U578*Data_Summary!$C$2,"")</f>
        <v>2550</v>
      </c>
      <c r="E578" s="34" t="n">
        <f aca="false">IFERROR(C578/B578,"")</f>
        <v>4.38144329896907</v>
      </c>
      <c r="F578" s="26" t="n">
        <f aca="false">IFERROR(D578/B578,"")</f>
        <v>4.38144329896907</v>
      </c>
      <c r="G578" s="0" t="str">
        <f aca="false">Q578</f>
        <v>1</v>
      </c>
      <c r="H578" s="0" t="str">
        <f aca="false">IFERROR(LEFT(G578,1),"")</f>
        <v>1</v>
      </c>
      <c r="I578" s="0" t="n">
        <f aca="false">IF(LEN(G578)&gt;1,1,0)</f>
        <v>0</v>
      </c>
      <c r="J578" s="4" t="n">
        <v>46113</v>
      </c>
      <c r="K578" s="0" t="s">
        <v>13</v>
      </c>
      <c r="L578" s="0" t="s">
        <v>101</v>
      </c>
      <c r="M578" s="0" t="s">
        <v>226</v>
      </c>
      <c r="N578" s="0" t="s">
        <v>103</v>
      </c>
      <c r="O578" s="0" t="s">
        <v>2761</v>
      </c>
      <c r="Q578" s="0" t="s">
        <v>242</v>
      </c>
      <c r="R578" s="0" t="n">
        <v>1</v>
      </c>
      <c r="S578" s="5" t="n">
        <v>582</v>
      </c>
      <c r="T578" s="0" t="s">
        <v>271</v>
      </c>
      <c r="U578" s="0" t="n">
        <v>0</v>
      </c>
      <c r="V578" s="0" t="s">
        <v>230</v>
      </c>
      <c r="W578" s="0" t="s">
        <v>244</v>
      </c>
      <c r="Y578" s="0" t="s">
        <v>253</v>
      </c>
      <c r="Z578" s="0" t="s">
        <v>2657</v>
      </c>
      <c r="AA578" s="0" t="s">
        <v>235</v>
      </c>
      <c r="AB578" s="32" t="n">
        <v>2550</v>
      </c>
      <c r="AC578" s="32" t="n">
        <v>2550</v>
      </c>
      <c r="AD578" s="26" t="n">
        <f aca="false">IFERROR(AB578/B578,"")</f>
        <v>4.38144329896907</v>
      </c>
      <c r="AE578" s="26" t="n">
        <f aca="false">IFERROR(AC578/B578,"")</f>
        <v>4.38144329896907</v>
      </c>
      <c r="AF578" s="0" t="s">
        <v>236</v>
      </c>
      <c r="AG578" s="0" t="s">
        <v>236</v>
      </c>
      <c r="AH578" s="0" t="s">
        <v>236</v>
      </c>
      <c r="AI578" s="0" t="s">
        <v>2762</v>
      </c>
      <c r="AJ578" s="0" t="s">
        <v>2763</v>
      </c>
      <c r="AK578" s="0" t="s">
        <v>2764</v>
      </c>
      <c r="AL578" s="0" t="s">
        <v>2765</v>
      </c>
      <c r="AM578" s="0" t="s">
        <v>94</v>
      </c>
      <c r="AN578" s="26" t="n">
        <f aca="false">IFERROR(E578*(1+IF(AM578="Apartment",Data_Summary!$C$3,0)),"")</f>
        <v>4.38144329896907</v>
      </c>
      <c r="AO578" s="4" t="n">
        <v>46195</v>
      </c>
    </row>
    <row r="579" customFormat="false" ht="15" hidden="false" customHeight="false" outlineLevel="0" collapsed="false">
      <c r="A579" s="0" t="n">
        <f aca="false">IF(AND(ISNUMBER(B579),B579&gt;0,ISNUMBER(AB579),AB579&gt;0,J579&gt;=Data_Summary!$C$1),1,0)</f>
        <v>1</v>
      </c>
      <c r="B579" s="30" t="n">
        <v>649</v>
      </c>
      <c r="C579" s="5" t="n">
        <f aca="false">IF(ISNUMBER(AB579),AB579,"")</f>
        <v>2450</v>
      </c>
      <c r="D579" s="0" t="n">
        <f aca="false">IF(ISNUMBER(C579),C579-U579*Data_Summary!$C$2,"")</f>
        <v>2450</v>
      </c>
      <c r="E579" s="31" t="n">
        <f aca="false">IFERROR(C579/B579,"")</f>
        <v>3.77503852080123</v>
      </c>
      <c r="F579" s="26" t="n">
        <f aca="false">IFERROR(D579/B579,"")</f>
        <v>3.77503852080123</v>
      </c>
      <c r="G579" s="0" t="str">
        <f aca="false">Q579</f>
        <v>1+1</v>
      </c>
      <c r="H579" s="0" t="str">
        <f aca="false">IFERROR(LEFT(G579,1),"")</f>
        <v>1</v>
      </c>
      <c r="I579" s="0" t="n">
        <f aca="false">IF(LEN(G579)&gt;1,1,0)</f>
        <v>1</v>
      </c>
      <c r="J579" s="4" t="n">
        <v>46112</v>
      </c>
      <c r="K579" s="0" t="s">
        <v>13</v>
      </c>
      <c r="L579" s="0" t="s">
        <v>101</v>
      </c>
      <c r="M579" s="0" t="s">
        <v>226</v>
      </c>
      <c r="N579" s="0" t="s">
        <v>103</v>
      </c>
      <c r="O579" s="0" t="s">
        <v>2766</v>
      </c>
      <c r="Q579" s="0" t="s">
        <v>270</v>
      </c>
      <c r="R579" s="0" t="n">
        <v>1</v>
      </c>
      <c r="S579" s="5" t="n">
        <v>649</v>
      </c>
      <c r="T579" s="0" t="s">
        <v>271</v>
      </c>
      <c r="U579" s="0" t="n">
        <v>0</v>
      </c>
      <c r="V579" s="0" t="s">
        <v>230</v>
      </c>
      <c r="W579" s="0" t="s">
        <v>231</v>
      </c>
      <c r="Y579" s="0" t="s">
        <v>272</v>
      </c>
      <c r="Z579" s="0" t="s">
        <v>2657</v>
      </c>
      <c r="AA579" s="0" t="s">
        <v>235</v>
      </c>
      <c r="AB579" s="32" t="n">
        <v>2450</v>
      </c>
      <c r="AC579" s="32" t="n">
        <v>2450</v>
      </c>
      <c r="AD579" s="26" t="n">
        <f aca="false">IFERROR(AB579/B579,"")</f>
        <v>3.77503852080123</v>
      </c>
      <c r="AE579" s="26" t="n">
        <f aca="false">IFERROR(AC579/B579,"")</f>
        <v>3.77503852080123</v>
      </c>
      <c r="AF579" s="0" t="s">
        <v>236</v>
      </c>
      <c r="AG579" s="0" t="s">
        <v>236</v>
      </c>
      <c r="AH579" s="0" t="s">
        <v>236</v>
      </c>
      <c r="AI579" s="0" t="s">
        <v>473</v>
      </c>
      <c r="AJ579" s="0" t="s">
        <v>2767</v>
      </c>
      <c r="AK579" s="0" t="s">
        <v>2768</v>
      </c>
      <c r="AL579" s="0" t="s">
        <v>2769</v>
      </c>
      <c r="AM579" s="0" t="s">
        <v>94</v>
      </c>
      <c r="AN579" s="26" t="n">
        <f aca="false">IFERROR(E579*(1+IF(AM579="Apartment",Data_Summary!$C$3,0)),"")</f>
        <v>3.77503852080123</v>
      </c>
      <c r="AO579" s="4" t="n">
        <v>46195</v>
      </c>
    </row>
    <row r="580" customFormat="false" ht="15" hidden="false" customHeight="false" outlineLevel="0" collapsed="false">
      <c r="A580" s="0" t="n">
        <f aca="false">IF(AND(ISNUMBER(B580),B580&gt;0,ISNUMBER(AB580),AB580&gt;0,J580&gt;=Data_Summary!$C$1),1,0)</f>
        <v>1</v>
      </c>
      <c r="B580" s="33" t="n">
        <v>830</v>
      </c>
      <c r="C580" s="5" t="n">
        <f aca="false">IF(ISNUMBER(AB580),AB580,"")</f>
        <v>4000</v>
      </c>
      <c r="D580" s="0" t="n">
        <f aca="false">IF(ISNUMBER(C580),C580-U580*Data_Summary!$C$2,"")</f>
        <v>3850</v>
      </c>
      <c r="E580" s="34" t="n">
        <f aca="false">IFERROR(C580/B580,"")</f>
        <v>4.81927710843374</v>
      </c>
      <c r="F580" s="26" t="n">
        <f aca="false">IFERROR(D580/B580,"")</f>
        <v>4.63855421686747</v>
      </c>
      <c r="G580" s="0" t="str">
        <f aca="false">Q580</f>
        <v>2</v>
      </c>
      <c r="H580" s="0" t="str">
        <f aca="false">IFERROR(LEFT(G580,1),"")</f>
        <v>2</v>
      </c>
      <c r="I580" s="0" t="n">
        <f aca="false">IF(LEN(G580)&gt;1,1,0)</f>
        <v>0</v>
      </c>
      <c r="J580" s="4" t="n">
        <v>46109</v>
      </c>
      <c r="K580" s="0" t="s">
        <v>13</v>
      </c>
      <c r="L580" s="0" t="s">
        <v>101</v>
      </c>
      <c r="M580" s="0" t="s">
        <v>226</v>
      </c>
      <c r="N580" s="0" t="s">
        <v>103</v>
      </c>
      <c r="O580" s="0" t="s">
        <v>745</v>
      </c>
      <c r="Q580" s="0" t="s">
        <v>251</v>
      </c>
      <c r="R580" s="0" t="n">
        <v>2</v>
      </c>
      <c r="S580" s="5" t="n">
        <v>830</v>
      </c>
      <c r="T580" s="0" t="s">
        <v>229</v>
      </c>
      <c r="U580" s="0" t="n">
        <v>1</v>
      </c>
      <c r="V580" s="0" t="s">
        <v>230</v>
      </c>
      <c r="W580" s="0" t="s">
        <v>244</v>
      </c>
      <c r="X580" s="0" t="s">
        <v>232</v>
      </c>
      <c r="Y580" s="0" t="s">
        <v>308</v>
      </c>
      <c r="Z580" s="0" t="s">
        <v>2657</v>
      </c>
      <c r="AA580" s="0" t="s">
        <v>235</v>
      </c>
      <c r="AB580" s="32" t="n">
        <v>4000</v>
      </c>
      <c r="AC580" s="32" t="n">
        <v>4000</v>
      </c>
      <c r="AD580" s="26" t="n">
        <f aca="false">IFERROR(AB580/B580,"")</f>
        <v>4.81927710843374</v>
      </c>
      <c r="AE580" s="26" t="n">
        <f aca="false">IFERROR(AC580/B580,"")</f>
        <v>4.81927710843374</v>
      </c>
      <c r="AF580" s="0" t="s">
        <v>230</v>
      </c>
      <c r="AG580" s="0" t="s">
        <v>236</v>
      </c>
      <c r="AH580" s="0" t="s">
        <v>236</v>
      </c>
      <c r="AI580" s="0" t="s">
        <v>488</v>
      </c>
      <c r="AJ580" s="0" t="s">
        <v>2770</v>
      </c>
      <c r="AK580" s="0" t="s">
        <v>2771</v>
      </c>
      <c r="AL580" s="0" t="s">
        <v>2772</v>
      </c>
      <c r="AM580" s="0" t="s">
        <v>94</v>
      </c>
      <c r="AN580" s="26" t="n">
        <f aca="false">IFERROR(E580*(1+IF(AM580="Apartment",Data_Summary!$C$3,0)),"")</f>
        <v>4.81927710843374</v>
      </c>
      <c r="AO580" s="4" t="n">
        <v>46195</v>
      </c>
    </row>
    <row r="581" customFormat="false" ht="15" hidden="false" customHeight="false" outlineLevel="0" collapsed="false">
      <c r="A581" s="0" t="n">
        <f aca="false">IF(AND(ISNUMBER(B581),B581&gt;0,ISNUMBER(AB581),AB581&gt;0,J581&gt;=Data_Summary!$C$1),1,0)</f>
        <v>1</v>
      </c>
      <c r="B581" s="30" t="n">
        <v>602</v>
      </c>
      <c r="C581" s="5" t="n">
        <f aca="false">IF(ISNUMBER(AB581),AB581,"")</f>
        <v>2300</v>
      </c>
      <c r="D581" s="0" t="n">
        <f aca="false">IF(ISNUMBER(C581),C581-U581*Data_Summary!$C$2,"")</f>
        <v>2300</v>
      </c>
      <c r="E581" s="31" t="n">
        <f aca="false">IFERROR(C581/B581,"")</f>
        <v>3.82059800664452</v>
      </c>
      <c r="F581" s="26" t="n">
        <f aca="false">IFERROR(D581/B581,"")</f>
        <v>3.82059800664452</v>
      </c>
      <c r="G581" s="0" t="str">
        <f aca="false">Q581</f>
        <v>1</v>
      </c>
      <c r="H581" s="0" t="str">
        <f aca="false">IFERROR(LEFT(G581,1),"")</f>
        <v>1</v>
      </c>
      <c r="I581" s="0" t="n">
        <f aca="false">IF(LEN(G581)&gt;1,1,0)</f>
        <v>0</v>
      </c>
      <c r="J581" s="4" t="n">
        <v>46107</v>
      </c>
      <c r="K581" s="0" t="s">
        <v>13</v>
      </c>
      <c r="L581" s="0" t="s">
        <v>101</v>
      </c>
      <c r="M581" s="0" t="s">
        <v>226</v>
      </c>
      <c r="N581" s="0" t="s">
        <v>103</v>
      </c>
      <c r="O581" s="0" t="s">
        <v>2773</v>
      </c>
      <c r="Q581" s="0" t="s">
        <v>242</v>
      </c>
      <c r="R581" s="0" t="n">
        <v>1</v>
      </c>
      <c r="S581" s="5" t="n">
        <v>602</v>
      </c>
      <c r="T581" s="0" t="s">
        <v>271</v>
      </c>
      <c r="U581" s="0" t="n">
        <v>0</v>
      </c>
      <c r="V581" s="0" t="s">
        <v>230</v>
      </c>
      <c r="W581" s="0" t="s">
        <v>231</v>
      </c>
      <c r="Y581" s="0" t="s">
        <v>278</v>
      </c>
      <c r="Z581" s="0" t="s">
        <v>2657</v>
      </c>
      <c r="AA581" s="0" t="s">
        <v>235</v>
      </c>
      <c r="AB581" s="32" t="n">
        <v>2300</v>
      </c>
      <c r="AC581" s="32" t="n">
        <v>2300</v>
      </c>
      <c r="AD581" s="26" t="n">
        <f aca="false">IFERROR(AB581/B581,"")</f>
        <v>3.82059800664452</v>
      </c>
      <c r="AE581" s="26" t="n">
        <f aca="false">IFERROR(AC581/B581,"")</f>
        <v>3.82059800664452</v>
      </c>
      <c r="AF581" s="0" t="s">
        <v>236</v>
      </c>
      <c r="AG581" s="0" t="s">
        <v>236</v>
      </c>
      <c r="AH581" s="0" t="s">
        <v>236</v>
      </c>
      <c r="AI581" s="0" t="s">
        <v>1731</v>
      </c>
      <c r="AJ581" s="0" t="s">
        <v>2774</v>
      </c>
      <c r="AK581" s="0" t="s">
        <v>2775</v>
      </c>
      <c r="AL581" s="0" t="s">
        <v>2776</v>
      </c>
      <c r="AM581" s="0" t="s">
        <v>94</v>
      </c>
      <c r="AN581" s="26" t="n">
        <f aca="false">IFERROR(E581*(1+IF(AM581="Apartment",Data_Summary!$C$3,0)),"")</f>
        <v>3.82059800664452</v>
      </c>
      <c r="AO581" s="4" t="n">
        <v>46195</v>
      </c>
    </row>
    <row r="582" customFormat="false" ht="15" hidden="false" customHeight="false" outlineLevel="0" collapsed="false">
      <c r="A582" s="0" t="n">
        <f aca="false">IF(AND(ISNUMBER(B582),B582&gt;0,ISNUMBER(AB582),AB582&gt;0,J582&gt;=Data_Summary!$C$1),1,0)</f>
        <v>1</v>
      </c>
      <c r="B582" s="30" t="n">
        <v>630</v>
      </c>
      <c r="C582" s="5" t="n">
        <f aca="false">IF(ISNUMBER(AB582),AB582,"")</f>
        <v>2350</v>
      </c>
      <c r="D582" s="0" t="n">
        <f aca="false">IF(ISNUMBER(C582),C582-U582*Data_Summary!$C$2,"")</f>
        <v>2350</v>
      </c>
      <c r="E582" s="31" t="n">
        <f aca="false">IFERROR(C582/B582,"")</f>
        <v>3.73015873015873</v>
      </c>
      <c r="F582" s="26" t="n">
        <f aca="false">IFERROR(D582/B582,"")</f>
        <v>3.73015873015873</v>
      </c>
      <c r="G582" s="0" t="str">
        <f aca="false">Q582</f>
        <v>1+1</v>
      </c>
      <c r="H582" s="0" t="str">
        <f aca="false">IFERROR(LEFT(G582,1),"")</f>
        <v>1</v>
      </c>
      <c r="I582" s="0" t="n">
        <f aca="false">IF(LEN(G582)&gt;1,1,0)</f>
        <v>1</v>
      </c>
      <c r="J582" s="4" t="n">
        <v>46105</v>
      </c>
      <c r="K582" s="0" t="s">
        <v>13</v>
      </c>
      <c r="L582" s="0" t="s">
        <v>101</v>
      </c>
      <c r="M582" s="0" t="s">
        <v>226</v>
      </c>
      <c r="N582" s="0" t="s">
        <v>103</v>
      </c>
      <c r="O582" s="0" t="s">
        <v>569</v>
      </c>
      <c r="Q582" s="0" t="s">
        <v>270</v>
      </c>
      <c r="R582" s="0" t="n">
        <v>1</v>
      </c>
      <c r="S582" s="5" t="n">
        <v>630</v>
      </c>
      <c r="T582" s="0" t="s">
        <v>271</v>
      </c>
      <c r="U582" s="0" t="n">
        <v>0</v>
      </c>
      <c r="V582" s="0" t="s">
        <v>230</v>
      </c>
      <c r="W582" s="0" t="s">
        <v>244</v>
      </c>
      <c r="Y582" s="0" t="s">
        <v>253</v>
      </c>
      <c r="Z582" s="0" t="s">
        <v>2657</v>
      </c>
      <c r="AA582" s="0" t="s">
        <v>235</v>
      </c>
      <c r="AB582" s="32" t="n">
        <v>2350</v>
      </c>
      <c r="AC582" s="32" t="n">
        <v>2400</v>
      </c>
      <c r="AD582" s="26" t="n">
        <f aca="false">IFERROR(AB582/B582,"")</f>
        <v>3.73015873015873</v>
      </c>
      <c r="AE582" s="26" t="n">
        <f aca="false">IFERROR(AC582/B582,"")</f>
        <v>3.80952380952381</v>
      </c>
      <c r="AF582" s="0" t="s">
        <v>236</v>
      </c>
      <c r="AG582" s="0" t="s">
        <v>236</v>
      </c>
      <c r="AH582" s="0" t="s">
        <v>236</v>
      </c>
      <c r="AI582" s="0" t="s">
        <v>1736</v>
      </c>
      <c r="AJ582" s="0" t="s">
        <v>2777</v>
      </c>
      <c r="AK582" s="0" t="s">
        <v>2778</v>
      </c>
      <c r="AL582" s="0" t="s">
        <v>2779</v>
      </c>
      <c r="AM582" s="0" t="s">
        <v>94</v>
      </c>
      <c r="AN582" s="26" t="n">
        <f aca="false">IFERROR(E582*(1+IF(AM582="Apartment",Data_Summary!$C$3,0)),"")</f>
        <v>3.73015873015873</v>
      </c>
      <c r="AO582" s="4" t="n">
        <v>46195</v>
      </c>
    </row>
    <row r="583" customFormat="false" ht="15" hidden="false" customHeight="false" outlineLevel="0" collapsed="false">
      <c r="A583" s="0" t="n">
        <f aca="false">IF(AND(ISNUMBER(B583),B583&gt;0,ISNUMBER(AB583),AB583&gt;0,J583&gt;=Data_Summary!$C$1),1,0)</f>
        <v>1</v>
      </c>
      <c r="B583" s="30" t="n">
        <v>602</v>
      </c>
      <c r="C583" s="5" t="n">
        <f aca="false">IF(ISNUMBER(AB583),AB583,"")</f>
        <v>2500</v>
      </c>
      <c r="D583" s="0" t="n">
        <f aca="false">IF(ISNUMBER(C583),C583-U583*Data_Summary!$C$2,"")</f>
        <v>2500</v>
      </c>
      <c r="E583" s="31" t="n">
        <f aca="false">IFERROR(C583/B583,"")</f>
        <v>4.15282392026578</v>
      </c>
      <c r="F583" s="26" t="n">
        <f aca="false">IFERROR(D583/B583,"")</f>
        <v>4.15282392026578</v>
      </c>
      <c r="G583" s="0" t="str">
        <f aca="false">Q583</f>
        <v>1</v>
      </c>
      <c r="H583" s="0" t="str">
        <f aca="false">IFERROR(LEFT(G583,1),"")</f>
        <v>1</v>
      </c>
      <c r="I583" s="0" t="n">
        <f aca="false">IF(LEN(G583)&gt;1,1,0)</f>
        <v>0</v>
      </c>
      <c r="J583" s="4" t="n">
        <v>46104</v>
      </c>
      <c r="K583" s="0" t="s">
        <v>13</v>
      </c>
      <c r="L583" s="0" t="s">
        <v>101</v>
      </c>
      <c r="M583" s="0" t="s">
        <v>226</v>
      </c>
      <c r="N583" s="0" t="s">
        <v>103</v>
      </c>
      <c r="O583" s="0" t="s">
        <v>1157</v>
      </c>
      <c r="Q583" s="0" t="s">
        <v>242</v>
      </c>
      <c r="R583" s="0" t="n">
        <v>1</v>
      </c>
      <c r="S583" s="5" t="n">
        <v>602</v>
      </c>
      <c r="T583" s="0" t="s">
        <v>271</v>
      </c>
      <c r="U583" s="0" t="n">
        <v>0</v>
      </c>
      <c r="V583" s="0" t="s">
        <v>230</v>
      </c>
      <c r="W583" s="0" t="s">
        <v>244</v>
      </c>
      <c r="Y583" s="0" t="s">
        <v>278</v>
      </c>
      <c r="Z583" s="0" t="s">
        <v>2657</v>
      </c>
      <c r="AA583" s="0" t="s">
        <v>235</v>
      </c>
      <c r="AB583" s="32" t="n">
        <v>2500</v>
      </c>
      <c r="AC583" s="32" t="n">
        <v>2500</v>
      </c>
      <c r="AD583" s="26" t="n">
        <f aca="false">IFERROR(AB583/B583,"")</f>
        <v>4.15282392026578</v>
      </c>
      <c r="AE583" s="26" t="n">
        <f aca="false">IFERROR(AC583/B583,"")</f>
        <v>4.15282392026578</v>
      </c>
      <c r="AF583" s="0" t="s">
        <v>236</v>
      </c>
      <c r="AG583" s="0" t="s">
        <v>236</v>
      </c>
      <c r="AH583" s="0" t="s">
        <v>236</v>
      </c>
      <c r="AI583" s="0" t="s">
        <v>2780</v>
      </c>
      <c r="AJ583" s="0" t="s">
        <v>2781</v>
      </c>
      <c r="AK583" s="0" t="s">
        <v>2782</v>
      </c>
      <c r="AL583" s="0" t="s">
        <v>2783</v>
      </c>
      <c r="AM583" s="0" t="s">
        <v>94</v>
      </c>
      <c r="AN583" s="26" t="n">
        <f aca="false">IFERROR(E583*(1+IF(AM583="Apartment",Data_Summary!$C$3,0)),"")</f>
        <v>4.15282392026578</v>
      </c>
      <c r="AO583" s="4" t="n">
        <v>46195</v>
      </c>
    </row>
    <row r="584" customFormat="false" ht="15" hidden="false" customHeight="false" outlineLevel="0" collapsed="false">
      <c r="A584" s="0" t="n">
        <f aca="false">IF(AND(ISNUMBER(B584),B584&gt;0,ISNUMBER(AB584),AB584&gt;0,J584&gt;=Data_Summary!$C$1),1,0)</f>
        <v>1</v>
      </c>
      <c r="B584" s="33" t="n">
        <v>648</v>
      </c>
      <c r="C584" s="5" t="n">
        <f aca="false">IF(ISNUMBER(AB584),AB584,"")</f>
        <v>2450</v>
      </c>
      <c r="D584" s="0" t="n">
        <f aca="false">IF(ISNUMBER(C584),C584-U584*Data_Summary!$C$2,"")</f>
        <v>2450</v>
      </c>
      <c r="E584" s="34" t="n">
        <f aca="false">IFERROR(C584/B584,"")</f>
        <v>3.78086419753086</v>
      </c>
      <c r="F584" s="26" t="n">
        <f aca="false">IFERROR(D584/B584,"")</f>
        <v>3.78086419753086</v>
      </c>
      <c r="G584" s="0" t="str">
        <f aca="false">Q584</f>
        <v>1+1</v>
      </c>
      <c r="H584" s="0" t="str">
        <f aca="false">IFERROR(LEFT(G584,1),"")</f>
        <v>1</v>
      </c>
      <c r="I584" s="0" t="n">
        <f aca="false">IF(LEN(G584)&gt;1,1,0)</f>
        <v>1</v>
      </c>
      <c r="J584" s="4" t="n">
        <v>46099</v>
      </c>
      <c r="K584" s="0" t="s">
        <v>13</v>
      </c>
      <c r="L584" s="0" t="s">
        <v>101</v>
      </c>
      <c r="M584" s="0" t="s">
        <v>226</v>
      </c>
      <c r="N584" s="0" t="s">
        <v>103</v>
      </c>
      <c r="O584" s="0" t="s">
        <v>2784</v>
      </c>
      <c r="Q584" s="0" t="s">
        <v>270</v>
      </c>
      <c r="R584" s="0" t="n">
        <v>1</v>
      </c>
      <c r="S584" s="5" t="n">
        <v>648</v>
      </c>
      <c r="T584" s="0" t="s">
        <v>271</v>
      </c>
      <c r="U584" s="0" t="n">
        <v>0</v>
      </c>
      <c r="V584" s="0" t="s">
        <v>230</v>
      </c>
      <c r="W584" s="0" t="s">
        <v>244</v>
      </c>
      <c r="Y584" s="0" t="s">
        <v>278</v>
      </c>
      <c r="Z584" s="0" t="s">
        <v>2657</v>
      </c>
      <c r="AA584" s="0" t="s">
        <v>235</v>
      </c>
      <c r="AB584" s="32" t="n">
        <v>2450</v>
      </c>
      <c r="AC584" s="32" t="n">
        <v>2450</v>
      </c>
      <c r="AD584" s="26" t="n">
        <f aca="false">IFERROR(AB584/B584,"")</f>
        <v>3.78086419753086</v>
      </c>
      <c r="AE584" s="26" t="n">
        <f aca="false">IFERROR(AC584/B584,"")</f>
        <v>3.78086419753086</v>
      </c>
      <c r="AF584" s="0" t="s">
        <v>230</v>
      </c>
      <c r="AG584" s="0" t="s">
        <v>236</v>
      </c>
      <c r="AH584" s="0" t="s">
        <v>236</v>
      </c>
      <c r="AI584" s="0" t="s">
        <v>521</v>
      </c>
      <c r="AJ584" s="0" t="s">
        <v>2785</v>
      </c>
      <c r="AK584" s="0" t="s">
        <v>2786</v>
      </c>
      <c r="AL584" s="0" t="s">
        <v>2787</v>
      </c>
      <c r="AM584" s="0" t="s">
        <v>94</v>
      </c>
      <c r="AN584" s="26" t="n">
        <f aca="false">IFERROR(E584*(1+IF(AM584="Apartment",Data_Summary!$C$3,0)),"")</f>
        <v>3.78086419753086</v>
      </c>
      <c r="AO584" s="4" t="n">
        <v>46195</v>
      </c>
    </row>
    <row r="585" customFormat="false" ht="15" hidden="false" customHeight="false" outlineLevel="0" collapsed="false">
      <c r="A585" s="0" t="n">
        <f aca="false">IF(AND(ISNUMBER(B585),B585&gt;0,ISNUMBER(AB585),AB585&gt;0,J585&gt;=Data_Summary!$C$1),1,0)</f>
        <v>1</v>
      </c>
      <c r="B585" s="30" t="n">
        <v>625</v>
      </c>
      <c r="C585" s="5" t="n">
        <f aca="false">IF(ISNUMBER(AB585),AB585,"")</f>
        <v>2450</v>
      </c>
      <c r="D585" s="0" t="n">
        <f aca="false">IF(ISNUMBER(C585),C585-U585*Data_Summary!$C$2,"")</f>
        <v>2450</v>
      </c>
      <c r="E585" s="31" t="n">
        <f aca="false">IFERROR(C585/B585,"")</f>
        <v>3.92</v>
      </c>
      <c r="F585" s="26" t="n">
        <f aca="false">IFERROR(D585/B585,"")</f>
        <v>3.92</v>
      </c>
      <c r="G585" s="0" t="str">
        <f aca="false">Q585</f>
        <v>1</v>
      </c>
      <c r="H585" s="0" t="str">
        <f aca="false">IFERROR(LEFT(G585,1),"")</f>
        <v>1</v>
      </c>
      <c r="I585" s="0" t="n">
        <f aca="false">IF(LEN(G585)&gt;1,1,0)</f>
        <v>0</v>
      </c>
      <c r="J585" s="4" t="n">
        <v>46097</v>
      </c>
      <c r="K585" s="0" t="s">
        <v>13</v>
      </c>
      <c r="L585" s="0" t="s">
        <v>101</v>
      </c>
      <c r="M585" s="0" t="s">
        <v>226</v>
      </c>
      <c r="N585" s="0" t="s">
        <v>103</v>
      </c>
      <c r="O585" s="0" t="s">
        <v>1912</v>
      </c>
      <c r="Q585" s="0" t="s">
        <v>242</v>
      </c>
      <c r="R585" s="0" t="n">
        <v>1</v>
      </c>
      <c r="S585" s="5" t="n">
        <v>625</v>
      </c>
      <c r="T585" s="0" t="s">
        <v>271</v>
      </c>
      <c r="U585" s="0" t="n">
        <v>0</v>
      </c>
      <c r="V585" s="0" t="s">
        <v>230</v>
      </c>
      <c r="W585" s="0" t="s">
        <v>244</v>
      </c>
      <c r="X585" s="0" t="s">
        <v>232</v>
      </c>
      <c r="Y585" s="0" t="s">
        <v>297</v>
      </c>
      <c r="Z585" s="0" t="s">
        <v>2657</v>
      </c>
      <c r="AA585" s="0" t="s">
        <v>235</v>
      </c>
      <c r="AB585" s="32" t="n">
        <v>2450</v>
      </c>
      <c r="AC585" s="32" t="n">
        <v>2450</v>
      </c>
      <c r="AD585" s="26" t="n">
        <f aca="false">IFERROR(AB585/B585,"")</f>
        <v>3.92</v>
      </c>
      <c r="AE585" s="26" t="n">
        <f aca="false">IFERROR(AC585/B585,"")</f>
        <v>3.92</v>
      </c>
      <c r="AF585" s="0" t="s">
        <v>236</v>
      </c>
      <c r="AG585" s="0" t="s">
        <v>236</v>
      </c>
      <c r="AH585" s="0" t="s">
        <v>236</v>
      </c>
      <c r="AI585" s="0" t="s">
        <v>2488</v>
      </c>
      <c r="AJ585" s="0" t="s">
        <v>2788</v>
      </c>
      <c r="AK585" s="0" t="s">
        <v>2789</v>
      </c>
      <c r="AL585" s="0" t="s">
        <v>2790</v>
      </c>
      <c r="AM585" s="0" t="s">
        <v>94</v>
      </c>
      <c r="AN585" s="26" t="n">
        <f aca="false">IFERROR(E585*(1+IF(AM585="Apartment",Data_Summary!$C$3,0)),"")</f>
        <v>3.92</v>
      </c>
      <c r="AO585" s="4" t="n">
        <v>46195</v>
      </c>
    </row>
    <row r="586" customFormat="false" ht="15" hidden="false" customHeight="false" outlineLevel="0" collapsed="false">
      <c r="A586" s="0" t="n">
        <f aca="false">IF(AND(ISNUMBER(B586),B586&gt;0,ISNUMBER(AB586),AB586&gt;0,J586&gt;=Data_Summary!$C$1),1,0)</f>
        <v>1</v>
      </c>
      <c r="B586" s="30" t="n">
        <v>602</v>
      </c>
      <c r="C586" s="5" t="n">
        <f aca="false">IF(ISNUMBER(AB586),AB586,"")</f>
        <v>2300</v>
      </c>
      <c r="D586" s="0" t="n">
        <f aca="false">IF(ISNUMBER(C586),C586-U586*Data_Summary!$C$2,"")</f>
        <v>2300</v>
      </c>
      <c r="E586" s="31" t="n">
        <f aca="false">IFERROR(C586/B586,"")</f>
        <v>3.82059800664452</v>
      </c>
      <c r="F586" s="26" t="n">
        <f aca="false">IFERROR(D586/B586,"")</f>
        <v>3.82059800664452</v>
      </c>
      <c r="G586" s="0" t="str">
        <f aca="false">Q586</f>
        <v>1</v>
      </c>
      <c r="H586" s="0" t="str">
        <f aca="false">IFERROR(LEFT(G586,1),"")</f>
        <v>1</v>
      </c>
      <c r="I586" s="0" t="n">
        <f aca="false">IF(LEN(G586)&gt;1,1,0)</f>
        <v>0</v>
      </c>
      <c r="J586" s="4" t="n">
        <v>46094</v>
      </c>
      <c r="K586" s="0" t="s">
        <v>13</v>
      </c>
      <c r="L586" s="0" t="s">
        <v>101</v>
      </c>
      <c r="M586" s="0" t="s">
        <v>226</v>
      </c>
      <c r="N586" s="0" t="s">
        <v>103</v>
      </c>
      <c r="O586" s="0" t="s">
        <v>1931</v>
      </c>
      <c r="Q586" s="0" t="s">
        <v>242</v>
      </c>
      <c r="R586" s="0" t="n">
        <v>1</v>
      </c>
      <c r="S586" s="5" t="n">
        <v>602</v>
      </c>
      <c r="T586" s="0" t="s">
        <v>271</v>
      </c>
      <c r="U586" s="0" t="n">
        <v>0</v>
      </c>
      <c r="V586" s="0" t="s">
        <v>230</v>
      </c>
      <c r="W586" s="0" t="s">
        <v>231</v>
      </c>
      <c r="X586" s="0" t="s">
        <v>232</v>
      </c>
      <c r="Y586" s="0" t="s">
        <v>278</v>
      </c>
      <c r="Z586" s="0" t="s">
        <v>2657</v>
      </c>
      <c r="AA586" s="0" t="s">
        <v>235</v>
      </c>
      <c r="AB586" s="32" t="n">
        <v>2300</v>
      </c>
      <c r="AC586" s="32" t="n">
        <v>2350</v>
      </c>
      <c r="AD586" s="26" t="n">
        <f aca="false">IFERROR(AB586/B586,"")</f>
        <v>3.82059800664452</v>
      </c>
      <c r="AE586" s="26" t="n">
        <f aca="false">IFERROR(AC586/B586,"")</f>
        <v>3.90365448504983</v>
      </c>
      <c r="AF586" s="0" t="s">
        <v>236</v>
      </c>
      <c r="AG586" s="0" t="s">
        <v>236</v>
      </c>
      <c r="AH586" s="0" t="s">
        <v>236</v>
      </c>
      <c r="AI586" s="0" t="s">
        <v>2791</v>
      </c>
      <c r="AJ586" s="0" t="s">
        <v>2792</v>
      </c>
      <c r="AK586" s="0" t="s">
        <v>2793</v>
      </c>
      <c r="AL586" s="0" t="s">
        <v>2794</v>
      </c>
      <c r="AM586" s="0" t="s">
        <v>94</v>
      </c>
      <c r="AN586" s="26" t="n">
        <f aca="false">IFERROR(E586*(1+IF(AM586="Apartment",Data_Summary!$C$3,0)),"")</f>
        <v>3.82059800664452</v>
      </c>
      <c r="AO586" s="4" t="n">
        <v>46195</v>
      </c>
    </row>
    <row r="587" customFormat="false" ht="15" hidden="false" customHeight="false" outlineLevel="0" collapsed="false">
      <c r="A587" s="0" t="n">
        <f aca="false">IF(AND(ISNUMBER(B587),B587&gt;0,ISNUMBER(AB587),AB587&gt;0,J587&gt;=Data_Summary!$C$1),1,0)</f>
        <v>1</v>
      </c>
      <c r="B587" s="30" t="n">
        <v>698</v>
      </c>
      <c r="C587" s="5" t="n">
        <f aca="false">IF(ISNUMBER(AB587),AB587,"")</f>
        <v>2550</v>
      </c>
      <c r="D587" s="0" t="n">
        <f aca="false">IF(ISNUMBER(C587),C587-U587*Data_Summary!$C$2,"")</f>
        <v>2550</v>
      </c>
      <c r="E587" s="31" t="n">
        <f aca="false">IFERROR(C587/B587,"")</f>
        <v>3.65329512893983</v>
      </c>
      <c r="F587" s="26" t="n">
        <f aca="false">IFERROR(D587/B587,"")</f>
        <v>3.65329512893983</v>
      </c>
      <c r="G587" s="0" t="str">
        <f aca="false">Q587</f>
        <v>1</v>
      </c>
      <c r="H587" s="0" t="str">
        <f aca="false">IFERROR(LEFT(G587,1),"")</f>
        <v>1</v>
      </c>
      <c r="I587" s="0" t="n">
        <f aca="false">IF(LEN(G587)&gt;1,1,0)</f>
        <v>0</v>
      </c>
      <c r="J587" s="4" t="n">
        <v>46086</v>
      </c>
      <c r="K587" s="0" t="s">
        <v>13</v>
      </c>
      <c r="L587" s="0" t="s">
        <v>101</v>
      </c>
      <c r="M587" s="0" t="s">
        <v>226</v>
      </c>
      <c r="N587" s="0" t="s">
        <v>103</v>
      </c>
      <c r="O587" s="0" t="s">
        <v>2795</v>
      </c>
      <c r="Q587" s="0" t="s">
        <v>242</v>
      </c>
      <c r="R587" s="0" t="n">
        <v>2</v>
      </c>
      <c r="S587" s="5" t="n">
        <v>698</v>
      </c>
      <c r="T587" s="0" t="s">
        <v>271</v>
      </c>
      <c r="U587" s="0" t="n">
        <v>0</v>
      </c>
      <c r="V587" s="0" t="s">
        <v>230</v>
      </c>
      <c r="W587" s="0" t="s">
        <v>244</v>
      </c>
      <c r="Y587" s="0" t="s">
        <v>278</v>
      </c>
      <c r="Z587" s="0" t="s">
        <v>2657</v>
      </c>
      <c r="AA587" s="0" t="s">
        <v>235</v>
      </c>
      <c r="AB587" s="32" t="n">
        <v>2550</v>
      </c>
      <c r="AC587" s="32" t="n">
        <v>2550</v>
      </c>
      <c r="AD587" s="26" t="n">
        <f aca="false">IFERROR(AB587/B587,"")</f>
        <v>3.65329512893983</v>
      </c>
      <c r="AE587" s="26" t="n">
        <f aca="false">IFERROR(AC587/B587,"")</f>
        <v>3.65329512893983</v>
      </c>
      <c r="AF587" s="0" t="s">
        <v>236</v>
      </c>
      <c r="AG587" s="0" t="s">
        <v>236</v>
      </c>
      <c r="AH587" s="0" t="s">
        <v>236</v>
      </c>
      <c r="AI587" s="0" t="s">
        <v>1774</v>
      </c>
      <c r="AJ587" s="0" t="s">
        <v>2796</v>
      </c>
      <c r="AK587" s="0" t="s">
        <v>2797</v>
      </c>
      <c r="AL587" s="0" t="s">
        <v>2798</v>
      </c>
      <c r="AM587" s="0" t="s">
        <v>94</v>
      </c>
      <c r="AN587" s="26" t="n">
        <f aca="false">IFERROR(E587*(1+IF(AM587="Apartment",Data_Summary!$C$3,0)),"")</f>
        <v>3.65329512893983</v>
      </c>
      <c r="AO587" s="4" t="n">
        <v>46195</v>
      </c>
    </row>
    <row r="588" customFormat="false" ht="15" hidden="false" customHeight="false" outlineLevel="0" collapsed="false">
      <c r="A588" s="0" t="n">
        <f aca="false">IF(AND(ISNUMBER(B588),B588&gt;0,ISNUMBER(AB588),AB588&gt;0,J588&gt;=Data_Summary!$C$1),1,0)</f>
        <v>1</v>
      </c>
      <c r="B588" s="30" t="n">
        <v>586</v>
      </c>
      <c r="C588" s="5" t="n">
        <f aca="false">IF(ISNUMBER(AB588),AB588,"")</f>
        <v>2400</v>
      </c>
      <c r="D588" s="0" t="n">
        <f aca="false">IF(ISNUMBER(C588),C588-U588*Data_Summary!$C$2,"")</f>
        <v>2400</v>
      </c>
      <c r="E588" s="31" t="n">
        <f aca="false">IFERROR(C588/B588,"")</f>
        <v>4.09556313993174</v>
      </c>
      <c r="F588" s="26" t="n">
        <f aca="false">IFERROR(D588/B588,"")</f>
        <v>4.09556313993174</v>
      </c>
      <c r="G588" s="0" t="str">
        <f aca="false">Q588</f>
        <v>1</v>
      </c>
      <c r="H588" s="0" t="str">
        <f aca="false">IFERROR(LEFT(G588,1),"")</f>
        <v>1</v>
      </c>
      <c r="I588" s="0" t="n">
        <f aca="false">IF(LEN(G588)&gt;1,1,0)</f>
        <v>0</v>
      </c>
      <c r="J588" s="4" t="n">
        <v>46085</v>
      </c>
      <c r="K588" s="0" t="s">
        <v>13</v>
      </c>
      <c r="L588" s="0" t="s">
        <v>101</v>
      </c>
      <c r="M588" s="0" t="s">
        <v>226</v>
      </c>
      <c r="N588" s="0" t="s">
        <v>103</v>
      </c>
      <c r="O588" s="0" t="s">
        <v>2799</v>
      </c>
      <c r="Q588" s="0" t="s">
        <v>242</v>
      </c>
      <c r="R588" s="0" t="n">
        <v>1</v>
      </c>
      <c r="S588" s="5" t="n">
        <v>586</v>
      </c>
      <c r="T588" s="0" t="s">
        <v>243</v>
      </c>
      <c r="U588" s="0" t="n">
        <v>0</v>
      </c>
      <c r="V588" s="0" t="s">
        <v>230</v>
      </c>
      <c r="W588" s="0" t="s">
        <v>244</v>
      </c>
      <c r="Y588" s="0" t="s">
        <v>253</v>
      </c>
      <c r="Z588" s="0" t="s">
        <v>2657</v>
      </c>
      <c r="AA588" s="0" t="s">
        <v>235</v>
      </c>
      <c r="AB588" s="32" t="n">
        <v>2400</v>
      </c>
      <c r="AC588" s="32" t="n">
        <v>2400</v>
      </c>
      <c r="AD588" s="26" t="n">
        <f aca="false">IFERROR(AB588/B588,"")</f>
        <v>4.09556313993174</v>
      </c>
      <c r="AE588" s="26" t="n">
        <f aca="false">IFERROR(AC588/B588,"")</f>
        <v>4.09556313993174</v>
      </c>
      <c r="AF588" s="0" t="s">
        <v>236</v>
      </c>
      <c r="AG588" s="0" t="s">
        <v>236</v>
      </c>
      <c r="AH588" s="0" t="s">
        <v>236</v>
      </c>
      <c r="AI588" s="0" t="s">
        <v>570</v>
      </c>
      <c r="AJ588" s="0" t="s">
        <v>2800</v>
      </c>
      <c r="AK588" s="0" t="s">
        <v>2801</v>
      </c>
      <c r="AL588" s="0" t="s">
        <v>2802</v>
      </c>
      <c r="AM588" s="0" t="s">
        <v>94</v>
      </c>
      <c r="AN588" s="26" t="n">
        <f aca="false">IFERROR(E588*(1+IF(AM588="Apartment",Data_Summary!$C$3,0)),"")</f>
        <v>4.09556313993174</v>
      </c>
      <c r="AO588" s="4" t="n">
        <v>46195</v>
      </c>
    </row>
    <row r="589" customFormat="false" ht="15" hidden="false" customHeight="false" outlineLevel="0" collapsed="false">
      <c r="A589" s="0" t="n">
        <f aca="false">IF(AND(ISNUMBER(B589),B589&gt;0,ISNUMBER(AB589),AB589&gt;0,J589&gt;=Data_Summary!$C$1),1,0)</f>
        <v>1</v>
      </c>
      <c r="B589" s="30" t="n">
        <v>830</v>
      </c>
      <c r="C589" s="5" t="n">
        <f aca="false">IF(ISNUMBER(AB589),AB589,"")</f>
        <v>3500</v>
      </c>
      <c r="D589" s="0" t="n">
        <f aca="false">IF(ISNUMBER(C589),C589-U589*Data_Summary!$C$2,"")</f>
        <v>3350</v>
      </c>
      <c r="E589" s="31" t="n">
        <f aca="false">IFERROR(C589/B589,"")</f>
        <v>4.21686746987952</v>
      </c>
      <c r="F589" s="26" t="n">
        <f aca="false">IFERROR(D589/B589,"")</f>
        <v>4.03614457831325</v>
      </c>
      <c r="G589" s="0" t="str">
        <f aca="false">Q589</f>
        <v>2</v>
      </c>
      <c r="H589" s="0" t="str">
        <f aca="false">IFERROR(LEFT(G589,1),"")</f>
        <v>2</v>
      </c>
      <c r="I589" s="0" t="n">
        <f aca="false">IF(LEN(G589)&gt;1,1,0)</f>
        <v>0</v>
      </c>
      <c r="J589" s="4" t="n">
        <v>46084</v>
      </c>
      <c r="K589" s="0" t="s">
        <v>13</v>
      </c>
      <c r="L589" s="0" t="s">
        <v>101</v>
      </c>
      <c r="M589" s="0" t="s">
        <v>226</v>
      </c>
      <c r="N589" s="0" t="s">
        <v>103</v>
      </c>
      <c r="O589" s="0" t="s">
        <v>2803</v>
      </c>
      <c r="Q589" s="0" t="s">
        <v>251</v>
      </c>
      <c r="R589" s="0" t="n">
        <v>2</v>
      </c>
      <c r="S589" s="5" t="n">
        <v>830</v>
      </c>
      <c r="T589" s="0" t="s">
        <v>229</v>
      </c>
      <c r="U589" s="0" t="n">
        <v>1</v>
      </c>
      <c r="V589" s="0" t="s">
        <v>230</v>
      </c>
      <c r="X589" s="0" t="s">
        <v>232</v>
      </c>
      <c r="Y589" s="0" t="s">
        <v>260</v>
      </c>
      <c r="Z589" s="0" t="s">
        <v>2657</v>
      </c>
      <c r="AA589" s="0" t="s">
        <v>235</v>
      </c>
      <c r="AB589" s="32" t="n">
        <v>3500</v>
      </c>
      <c r="AC589" s="32" t="n">
        <v>3700</v>
      </c>
      <c r="AD589" s="26" t="n">
        <f aca="false">IFERROR(AB589/B589,"")</f>
        <v>4.21686746987952</v>
      </c>
      <c r="AE589" s="26" t="n">
        <f aca="false">IFERROR(AC589/B589,"")</f>
        <v>4.45783132530121</v>
      </c>
      <c r="AF589" s="0" t="s">
        <v>236</v>
      </c>
      <c r="AG589" s="0" t="s">
        <v>236</v>
      </c>
      <c r="AH589" s="0" t="s">
        <v>230</v>
      </c>
      <c r="AI589" s="0" t="s">
        <v>2505</v>
      </c>
      <c r="AJ589" s="0" t="s">
        <v>2804</v>
      </c>
      <c r="AK589" s="0" t="s">
        <v>2805</v>
      </c>
      <c r="AL589" s="0" t="s">
        <v>2806</v>
      </c>
      <c r="AM589" s="0" t="s">
        <v>94</v>
      </c>
      <c r="AN589" s="26" t="n">
        <f aca="false">IFERROR(E589*(1+IF(AM589="Apartment",Data_Summary!$C$3,0)),"")</f>
        <v>4.21686746987952</v>
      </c>
      <c r="AO589" s="4" t="n">
        <v>46195</v>
      </c>
    </row>
    <row r="590" customFormat="false" ht="15" hidden="false" customHeight="false" outlineLevel="0" collapsed="false">
      <c r="A590" s="0" t="n">
        <f aca="false">IF(AND(ISNUMBER(B590),B590&gt;0,ISNUMBER(AB590),AB590&gt;0,J590&gt;=Data_Summary!$C$1),1,0)</f>
        <v>1</v>
      </c>
      <c r="B590" s="30" t="n">
        <v>625</v>
      </c>
      <c r="C590" s="5" t="n">
        <f aca="false">IF(ISNUMBER(AB590),AB590,"")</f>
        <v>2600</v>
      </c>
      <c r="D590" s="0" t="n">
        <f aca="false">IF(ISNUMBER(C590),C590-U590*Data_Summary!$C$2,"")</f>
        <v>2450</v>
      </c>
      <c r="E590" s="31" t="n">
        <f aca="false">IFERROR(C590/B590,"")</f>
        <v>4.16</v>
      </c>
      <c r="F590" s="26" t="n">
        <f aca="false">IFERROR(D590/B590,"")</f>
        <v>3.92</v>
      </c>
      <c r="G590" s="0" t="str">
        <f aca="false">Q590</f>
        <v>1</v>
      </c>
      <c r="H590" s="0" t="str">
        <f aca="false">IFERROR(LEFT(G590,1),"")</f>
        <v>1</v>
      </c>
      <c r="I590" s="0" t="n">
        <f aca="false">IF(LEN(G590)&gt;1,1,0)</f>
        <v>0</v>
      </c>
      <c r="J590" s="4" t="n">
        <v>46079</v>
      </c>
      <c r="K590" s="0" t="s">
        <v>13</v>
      </c>
      <c r="L590" s="0" t="s">
        <v>101</v>
      </c>
      <c r="M590" s="0" t="s">
        <v>226</v>
      </c>
      <c r="N590" s="0" t="s">
        <v>103</v>
      </c>
      <c r="O590" s="0" t="s">
        <v>2807</v>
      </c>
      <c r="Q590" s="0" t="s">
        <v>242</v>
      </c>
      <c r="R590" s="0" t="n">
        <v>1</v>
      </c>
      <c r="S590" s="5" t="n">
        <v>625</v>
      </c>
      <c r="T590" s="0" t="s">
        <v>271</v>
      </c>
      <c r="U590" s="0" t="n">
        <v>1</v>
      </c>
      <c r="V590" s="0" t="s">
        <v>230</v>
      </c>
      <c r="W590" s="0" t="s">
        <v>231</v>
      </c>
      <c r="X590" s="0" t="s">
        <v>232</v>
      </c>
      <c r="Y590" s="0" t="s">
        <v>297</v>
      </c>
      <c r="Z590" s="0" t="s">
        <v>2657</v>
      </c>
      <c r="AA590" s="0" t="s">
        <v>235</v>
      </c>
      <c r="AB590" s="32" t="n">
        <v>2600</v>
      </c>
      <c r="AC590" s="32" t="n">
        <v>2650</v>
      </c>
      <c r="AD590" s="26" t="n">
        <f aca="false">IFERROR(AB590/B590,"")</f>
        <v>4.16</v>
      </c>
      <c r="AE590" s="26" t="n">
        <f aca="false">IFERROR(AC590/B590,"")</f>
        <v>4.24</v>
      </c>
      <c r="AF590" s="0" t="s">
        <v>236</v>
      </c>
      <c r="AG590" s="0" t="s">
        <v>236</v>
      </c>
      <c r="AH590" s="0" t="s">
        <v>236</v>
      </c>
      <c r="AI590" s="0" t="s">
        <v>595</v>
      </c>
      <c r="AJ590" s="0" t="s">
        <v>2808</v>
      </c>
      <c r="AK590" s="0" t="s">
        <v>2809</v>
      </c>
      <c r="AL590" s="0" t="s">
        <v>2810</v>
      </c>
      <c r="AM590" s="0" t="s">
        <v>94</v>
      </c>
      <c r="AN590" s="26" t="n">
        <f aca="false">IFERROR(E590*(1+IF(AM590="Apartment",Data_Summary!$C$3,0)),"")</f>
        <v>4.16</v>
      </c>
      <c r="AO590" s="4" t="n">
        <v>46195</v>
      </c>
    </row>
    <row r="591" customFormat="false" ht="15" hidden="false" customHeight="false" outlineLevel="0" collapsed="false">
      <c r="A591" s="0" t="n">
        <f aca="false">IF(AND(ISNUMBER(B591),B591&gt;0,ISNUMBER(AB591),AB591&gt;0,J591&gt;=Data_Summary!$C$1),1,0)</f>
        <v>1</v>
      </c>
      <c r="B591" s="33" t="n">
        <v>575</v>
      </c>
      <c r="C591" s="5" t="n">
        <f aca="false">IF(ISNUMBER(AB591),AB591,"")</f>
        <v>2500</v>
      </c>
      <c r="D591" s="0" t="n">
        <f aca="false">IF(ISNUMBER(C591),C591-U591*Data_Summary!$C$2,"")</f>
        <v>2500</v>
      </c>
      <c r="E591" s="34" t="n">
        <f aca="false">IFERROR(C591/B591,"")</f>
        <v>4.34782608695652</v>
      </c>
      <c r="F591" s="26" t="n">
        <f aca="false">IFERROR(D591/B591,"")</f>
        <v>4.34782608695652</v>
      </c>
      <c r="G591" s="0" t="str">
        <f aca="false">Q591</f>
        <v>1</v>
      </c>
      <c r="H591" s="0" t="str">
        <f aca="false">IFERROR(LEFT(G591,1),"")</f>
        <v>1</v>
      </c>
      <c r="I591" s="0" t="n">
        <f aca="false">IF(LEN(G591)&gt;1,1,0)</f>
        <v>0</v>
      </c>
      <c r="J591" s="4" t="n">
        <v>46076</v>
      </c>
      <c r="K591" s="0" t="s">
        <v>13</v>
      </c>
      <c r="L591" s="0" t="s">
        <v>101</v>
      </c>
      <c r="M591" s="0" t="s">
        <v>226</v>
      </c>
      <c r="N591" s="0" t="s">
        <v>103</v>
      </c>
      <c r="O591" s="0" t="s">
        <v>1727</v>
      </c>
      <c r="Q591" s="0" t="s">
        <v>242</v>
      </c>
      <c r="R591" s="0" t="n">
        <v>1</v>
      </c>
      <c r="S591" s="5" t="n">
        <v>575</v>
      </c>
      <c r="T591" s="0" t="s">
        <v>243</v>
      </c>
      <c r="U591" s="0" t="n">
        <v>0</v>
      </c>
      <c r="V591" s="0" t="s">
        <v>230</v>
      </c>
      <c r="W591" s="0" t="s">
        <v>244</v>
      </c>
      <c r="Y591" s="0" t="s">
        <v>278</v>
      </c>
      <c r="Z591" s="0" t="s">
        <v>2657</v>
      </c>
      <c r="AA591" s="0" t="s">
        <v>235</v>
      </c>
      <c r="AB591" s="32" t="n">
        <v>2500</v>
      </c>
      <c r="AC591" s="32" t="n">
        <v>2600</v>
      </c>
      <c r="AD591" s="26" t="n">
        <f aca="false">IFERROR(AB591/B591,"")</f>
        <v>4.34782608695652</v>
      </c>
      <c r="AE591" s="26" t="n">
        <f aca="false">IFERROR(AC591/B591,"")</f>
        <v>4.52173913043478</v>
      </c>
      <c r="AF591" s="0" t="s">
        <v>421</v>
      </c>
      <c r="AG591" s="0" t="s">
        <v>236</v>
      </c>
      <c r="AH591" s="0" t="s">
        <v>236</v>
      </c>
      <c r="AI591" s="0" t="s">
        <v>604</v>
      </c>
      <c r="AJ591" s="0" t="s">
        <v>2811</v>
      </c>
      <c r="AK591" s="0" t="s">
        <v>2812</v>
      </c>
      <c r="AL591" s="0" t="s">
        <v>2813</v>
      </c>
      <c r="AM591" s="0" t="s">
        <v>94</v>
      </c>
      <c r="AN591" s="26" t="n">
        <f aca="false">IFERROR(E591*(1+IF(AM591="Apartment",Data_Summary!$C$3,0)),"")</f>
        <v>4.34782608695652</v>
      </c>
      <c r="AO591" s="4" t="n">
        <v>46195</v>
      </c>
    </row>
    <row r="592" customFormat="false" ht="15" hidden="false" customHeight="false" outlineLevel="0" collapsed="false">
      <c r="A592" s="0" t="n">
        <f aca="false">IF(AND(ISNUMBER(B592),B592&gt;0,ISNUMBER(AB592),AB592&gt;0,J592&gt;=Data_Summary!$C$1),1,0)</f>
        <v>1</v>
      </c>
      <c r="B592" s="30" t="n">
        <v>830</v>
      </c>
      <c r="C592" s="5" t="n">
        <f aca="false">IF(ISNUMBER(AB592),AB592,"")</f>
        <v>3350</v>
      </c>
      <c r="D592" s="0" t="n">
        <f aca="false">IF(ISNUMBER(C592),C592-U592*Data_Summary!$C$2,"")</f>
        <v>3200</v>
      </c>
      <c r="E592" s="31" t="n">
        <f aca="false">IFERROR(C592/B592,"")</f>
        <v>4.03614457831325</v>
      </c>
      <c r="F592" s="26" t="n">
        <f aca="false">IFERROR(D592/B592,"")</f>
        <v>3.85542168674699</v>
      </c>
      <c r="G592" s="0" t="str">
        <f aca="false">Q592</f>
        <v>2</v>
      </c>
      <c r="H592" s="0" t="str">
        <f aca="false">IFERROR(LEFT(G592,1),"")</f>
        <v>2</v>
      </c>
      <c r="I592" s="0" t="n">
        <f aca="false">IF(LEN(G592)&gt;1,1,0)</f>
        <v>0</v>
      </c>
      <c r="J592" s="4" t="n">
        <v>46071</v>
      </c>
      <c r="K592" s="0" t="s">
        <v>13</v>
      </c>
      <c r="L592" s="0" t="s">
        <v>101</v>
      </c>
      <c r="M592" s="0" t="s">
        <v>226</v>
      </c>
      <c r="N592" s="0" t="s">
        <v>103</v>
      </c>
      <c r="O592" s="0" t="s">
        <v>862</v>
      </c>
      <c r="Q592" s="0" t="s">
        <v>251</v>
      </c>
      <c r="R592" s="0" t="n">
        <v>2</v>
      </c>
      <c r="S592" s="5" t="n">
        <v>830</v>
      </c>
      <c r="T592" s="0" t="s">
        <v>229</v>
      </c>
      <c r="U592" s="0" t="n">
        <v>1</v>
      </c>
      <c r="V592" s="0" t="s">
        <v>230</v>
      </c>
      <c r="W592" s="0" t="s">
        <v>231</v>
      </c>
      <c r="X592" s="0" t="s">
        <v>232</v>
      </c>
      <c r="Y592" s="0" t="s">
        <v>272</v>
      </c>
      <c r="Z592" s="0" t="s">
        <v>2657</v>
      </c>
      <c r="AA592" s="0" t="s">
        <v>235</v>
      </c>
      <c r="AB592" s="32" t="n">
        <v>3350</v>
      </c>
      <c r="AC592" s="32" t="n">
        <v>3350</v>
      </c>
      <c r="AD592" s="26" t="n">
        <f aca="false">IFERROR(AB592/B592,"")</f>
        <v>4.03614457831325</v>
      </c>
      <c r="AE592" s="26" t="n">
        <f aca="false">IFERROR(AC592/B592,"")</f>
        <v>4.03614457831325</v>
      </c>
      <c r="AF592" s="0" t="s">
        <v>236</v>
      </c>
      <c r="AG592" s="0" t="s">
        <v>236</v>
      </c>
      <c r="AH592" s="0" t="s">
        <v>236</v>
      </c>
      <c r="AI592" s="0" t="s">
        <v>623</v>
      </c>
      <c r="AJ592" s="0" t="s">
        <v>2814</v>
      </c>
      <c r="AK592" s="0" t="s">
        <v>2815</v>
      </c>
      <c r="AL592" s="0" t="s">
        <v>2816</v>
      </c>
      <c r="AM592" s="0" t="s">
        <v>94</v>
      </c>
      <c r="AN592" s="26" t="n">
        <f aca="false">IFERROR(E592*(1+IF(AM592="Apartment",Data_Summary!$C$3,0)),"")</f>
        <v>4.03614457831325</v>
      </c>
      <c r="AO592" s="4" t="n">
        <v>46195</v>
      </c>
    </row>
    <row r="593" customFormat="false" ht="15" hidden="false" customHeight="false" outlineLevel="0" collapsed="false">
      <c r="A593" s="0" t="n">
        <f aca="false">IF(AND(ISNUMBER(B593),B593&gt;0,ISNUMBER(AB593),AB593&gt;0,J593&gt;=Data_Summary!$C$1),1,0)</f>
        <v>1</v>
      </c>
      <c r="B593" s="33" t="n">
        <v>630</v>
      </c>
      <c r="C593" s="5" t="n">
        <f aca="false">IF(ISNUMBER(AB593),AB593,"")</f>
        <v>2500</v>
      </c>
      <c r="D593" s="0" t="n">
        <f aca="false">IF(ISNUMBER(C593),C593-U593*Data_Summary!$C$2,"")</f>
        <v>2500</v>
      </c>
      <c r="E593" s="34" t="n">
        <f aca="false">IFERROR(C593/B593,"")</f>
        <v>3.96825396825397</v>
      </c>
      <c r="F593" s="26" t="n">
        <f aca="false">IFERROR(D593/B593,"")</f>
        <v>3.96825396825397</v>
      </c>
      <c r="G593" s="0" t="str">
        <f aca="false">Q593</f>
        <v>1+1</v>
      </c>
      <c r="H593" s="0" t="str">
        <f aca="false">IFERROR(LEFT(G593,1),"")</f>
        <v>1</v>
      </c>
      <c r="I593" s="0" t="n">
        <f aca="false">IF(LEN(G593)&gt;1,1,0)</f>
        <v>1</v>
      </c>
      <c r="J593" s="4" t="n">
        <v>46070</v>
      </c>
      <c r="K593" s="0" t="s">
        <v>13</v>
      </c>
      <c r="L593" s="0" t="s">
        <v>101</v>
      </c>
      <c r="M593" s="0" t="s">
        <v>226</v>
      </c>
      <c r="N593" s="0" t="s">
        <v>103</v>
      </c>
      <c r="O593" s="0" t="s">
        <v>2306</v>
      </c>
      <c r="Q593" s="0" t="s">
        <v>270</v>
      </c>
      <c r="R593" s="0" t="n">
        <v>1</v>
      </c>
      <c r="S593" s="5" t="n">
        <v>630</v>
      </c>
      <c r="T593" s="0" t="s">
        <v>303</v>
      </c>
      <c r="U593" s="0" t="n">
        <v>0</v>
      </c>
      <c r="V593" s="0" t="s">
        <v>230</v>
      </c>
      <c r="W593" s="0" t="s">
        <v>244</v>
      </c>
      <c r="Y593" s="0" t="s">
        <v>308</v>
      </c>
      <c r="Z593" s="0" t="s">
        <v>2657</v>
      </c>
      <c r="AA593" s="0" t="s">
        <v>235</v>
      </c>
      <c r="AB593" s="32" t="n">
        <v>2500</v>
      </c>
      <c r="AC593" s="32" t="n">
        <v>2500</v>
      </c>
      <c r="AD593" s="26" t="n">
        <f aca="false">IFERROR(AB593/B593,"")</f>
        <v>3.96825396825397</v>
      </c>
      <c r="AE593" s="26" t="n">
        <f aca="false">IFERROR(AC593/B593,"")</f>
        <v>3.96825396825397</v>
      </c>
      <c r="AF593" s="0" t="s">
        <v>236</v>
      </c>
      <c r="AG593" s="0" t="s">
        <v>236</v>
      </c>
      <c r="AH593" s="0" t="s">
        <v>236</v>
      </c>
      <c r="AI593" s="0" t="s">
        <v>2817</v>
      </c>
      <c r="AJ593" s="0" t="s">
        <v>2818</v>
      </c>
      <c r="AK593" s="0" t="s">
        <v>2819</v>
      </c>
      <c r="AL593" s="0" t="s">
        <v>2820</v>
      </c>
      <c r="AM593" s="0" t="s">
        <v>94</v>
      </c>
      <c r="AN593" s="26" t="n">
        <f aca="false">IFERROR(E593*(1+IF(AM593="Apartment",Data_Summary!$C$3,0)),"")</f>
        <v>3.96825396825397</v>
      </c>
      <c r="AO593" s="4" t="n">
        <v>46195</v>
      </c>
    </row>
    <row r="594" customFormat="false" ht="15" hidden="false" customHeight="false" outlineLevel="0" collapsed="false">
      <c r="A594" s="0" t="n">
        <f aca="false">IF(AND(ISNUMBER(B594),B594&gt;0,ISNUMBER(AB594),AB594&gt;0,J594&gt;=Data_Summary!$C$1),1,0)</f>
        <v>1</v>
      </c>
      <c r="B594" s="30" t="n">
        <v>582</v>
      </c>
      <c r="C594" s="5" t="n">
        <f aca="false">IF(ISNUMBER(AB594),AB594,"")</f>
        <v>2195</v>
      </c>
      <c r="D594" s="0" t="n">
        <f aca="false">IF(ISNUMBER(C594),C594-U594*Data_Summary!$C$2,"")</f>
        <v>2195</v>
      </c>
      <c r="E594" s="31" t="n">
        <f aca="false">IFERROR(C594/B594,"")</f>
        <v>3.77147766323024</v>
      </c>
      <c r="F594" s="26" t="n">
        <f aca="false">IFERROR(D594/B594,"")</f>
        <v>3.77147766323024</v>
      </c>
      <c r="G594" s="0" t="str">
        <f aca="false">Q594</f>
        <v>1</v>
      </c>
      <c r="H594" s="0" t="str">
        <f aca="false">IFERROR(LEFT(G594,1),"")</f>
        <v>1</v>
      </c>
      <c r="I594" s="0" t="n">
        <f aca="false">IF(LEN(G594)&gt;1,1,0)</f>
        <v>0</v>
      </c>
      <c r="J594" s="4" t="n">
        <v>46070</v>
      </c>
      <c r="K594" s="0" t="s">
        <v>13</v>
      </c>
      <c r="L594" s="0" t="s">
        <v>101</v>
      </c>
      <c r="M594" s="0" t="s">
        <v>226</v>
      </c>
      <c r="N594" s="0" t="s">
        <v>103</v>
      </c>
      <c r="O594" s="0" t="s">
        <v>986</v>
      </c>
      <c r="Q594" s="0" t="s">
        <v>242</v>
      </c>
      <c r="R594" s="0" t="n">
        <v>1</v>
      </c>
      <c r="S594" s="5" t="n">
        <v>582</v>
      </c>
      <c r="T594" s="0" t="s">
        <v>243</v>
      </c>
      <c r="U594" s="0" t="n">
        <v>0</v>
      </c>
      <c r="V594" s="0" t="s">
        <v>230</v>
      </c>
      <c r="W594" s="0" t="s">
        <v>244</v>
      </c>
      <c r="Y594" s="0" t="s">
        <v>233</v>
      </c>
      <c r="Z594" s="0" t="s">
        <v>2657</v>
      </c>
      <c r="AA594" s="0" t="s">
        <v>235</v>
      </c>
      <c r="AB594" s="32" t="n">
        <v>2195</v>
      </c>
      <c r="AC594" s="32" t="n">
        <v>2195</v>
      </c>
      <c r="AD594" s="26" t="n">
        <f aca="false">IFERROR(AB594/B594,"")</f>
        <v>3.77147766323024</v>
      </c>
      <c r="AE594" s="26" t="n">
        <f aca="false">IFERROR(AC594/B594,"")</f>
        <v>3.77147766323024</v>
      </c>
      <c r="AF594" s="0" t="s">
        <v>236</v>
      </c>
      <c r="AG594" s="0" t="s">
        <v>236</v>
      </c>
      <c r="AH594" s="0" t="s">
        <v>236</v>
      </c>
      <c r="AI594" s="0" t="s">
        <v>2817</v>
      </c>
      <c r="AJ594" s="0" t="s">
        <v>2821</v>
      </c>
      <c r="AK594" s="0" t="s">
        <v>2822</v>
      </c>
      <c r="AL594" s="0" t="s">
        <v>2823</v>
      </c>
      <c r="AM594" s="0" t="s">
        <v>94</v>
      </c>
      <c r="AN594" s="26" t="n">
        <f aca="false">IFERROR(E594*(1+IF(AM594="Apartment",Data_Summary!$C$3,0)),"")</f>
        <v>3.77147766323024</v>
      </c>
      <c r="AO594" s="4" t="n">
        <v>46195</v>
      </c>
    </row>
    <row r="595" customFormat="false" ht="15" hidden="false" customHeight="false" outlineLevel="0" collapsed="false">
      <c r="A595" s="0" t="n">
        <f aca="false">IF(AND(ISNUMBER(B595),B595&gt;0,ISNUMBER(AB595),AB595&gt;0,J595&gt;=Data_Summary!$C$1),1,0)</f>
        <v>1</v>
      </c>
      <c r="B595" s="30" t="n">
        <v>648</v>
      </c>
      <c r="C595" s="5" t="n">
        <f aca="false">IF(ISNUMBER(AB595),AB595,"")</f>
        <v>2400</v>
      </c>
      <c r="D595" s="0" t="n">
        <f aca="false">IF(ISNUMBER(C595),C595-U595*Data_Summary!$C$2,"")</f>
        <v>2400</v>
      </c>
      <c r="E595" s="31" t="n">
        <f aca="false">IFERROR(C595/B595,"")</f>
        <v>3.7037037037037</v>
      </c>
      <c r="F595" s="26" t="n">
        <f aca="false">IFERROR(D595/B595,"")</f>
        <v>3.7037037037037</v>
      </c>
      <c r="G595" s="0" t="str">
        <f aca="false">Q595</f>
        <v>1+1</v>
      </c>
      <c r="H595" s="0" t="str">
        <f aca="false">IFERROR(LEFT(G595,1),"")</f>
        <v>1</v>
      </c>
      <c r="I595" s="0" t="n">
        <f aca="false">IF(LEN(G595)&gt;1,1,0)</f>
        <v>1</v>
      </c>
      <c r="J595" s="4" t="n">
        <v>46070</v>
      </c>
      <c r="K595" s="0" t="s">
        <v>13</v>
      </c>
      <c r="L595" s="0" t="s">
        <v>101</v>
      </c>
      <c r="M595" s="0" t="s">
        <v>226</v>
      </c>
      <c r="N595" s="0" t="s">
        <v>103</v>
      </c>
      <c r="O595" s="0" t="s">
        <v>2824</v>
      </c>
      <c r="Q595" s="0" t="s">
        <v>270</v>
      </c>
      <c r="R595" s="0" t="n">
        <v>1</v>
      </c>
      <c r="S595" s="5" t="n">
        <v>648</v>
      </c>
      <c r="T595" s="0" t="s">
        <v>271</v>
      </c>
      <c r="U595" s="0" t="n">
        <v>0</v>
      </c>
      <c r="V595" s="0" t="s">
        <v>230</v>
      </c>
      <c r="W595" s="0" t="s">
        <v>231</v>
      </c>
      <c r="Y595" s="0" t="s">
        <v>278</v>
      </c>
      <c r="Z595" s="0" t="s">
        <v>2657</v>
      </c>
      <c r="AA595" s="0" t="s">
        <v>235</v>
      </c>
      <c r="AB595" s="32" t="n">
        <v>2400</v>
      </c>
      <c r="AC595" s="32" t="n">
        <v>2400</v>
      </c>
      <c r="AD595" s="26" t="n">
        <f aca="false">IFERROR(AB595/B595,"")</f>
        <v>3.7037037037037</v>
      </c>
      <c r="AE595" s="26" t="n">
        <f aca="false">IFERROR(AC595/B595,"")</f>
        <v>3.7037037037037</v>
      </c>
      <c r="AF595" s="0" t="s">
        <v>236</v>
      </c>
      <c r="AG595" s="0" t="s">
        <v>236</v>
      </c>
      <c r="AH595" s="0" t="s">
        <v>236</v>
      </c>
      <c r="AI595" s="0" t="s">
        <v>2817</v>
      </c>
      <c r="AJ595" s="0" t="s">
        <v>2825</v>
      </c>
      <c r="AK595" s="0" t="s">
        <v>2826</v>
      </c>
      <c r="AL595" s="0" t="s">
        <v>2827</v>
      </c>
      <c r="AM595" s="0" t="s">
        <v>94</v>
      </c>
      <c r="AN595" s="26" t="n">
        <f aca="false">IFERROR(E595*(1+IF(AM595="Apartment",Data_Summary!$C$3,0)),"")</f>
        <v>3.7037037037037</v>
      </c>
      <c r="AO595" s="4" t="n">
        <v>46195</v>
      </c>
    </row>
    <row r="596" customFormat="false" ht="15" hidden="false" customHeight="false" outlineLevel="0" collapsed="false">
      <c r="A596" s="0" t="n">
        <f aca="false">IF(AND(ISNUMBER(B596),B596&gt;0,ISNUMBER(AB596),AB596&gt;0,J596&gt;=Data_Summary!$C$1),1,0)</f>
        <v>1</v>
      </c>
      <c r="B596" s="30" t="n">
        <v>602</v>
      </c>
      <c r="C596" s="5" t="n">
        <f aca="false">IF(ISNUMBER(AB596),AB596,"")</f>
        <v>2700</v>
      </c>
      <c r="D596" s="0" t="n">
        <f aca="false">IF(ISNUMBER(C596),C596-U596*Data_Summary!$C$2,"")</f>
        <v>2550</v>
      </c>
      <c r="E596" s="31" t="n">
        <f aca="false">IFERROR(C596/B596,"")</f>
        <v>4.48504983388704</v>
      </c>
      <c r="F596" s="26" t="n">
        <f aca="false">IFERROR(D596/B596,"")</f>
        <v>4.2358803986711</v>
      </c>
      <c r="G596" s="0" t="str">
        <f aca="false">Q596</f>
        <v>1</v>
      </c>
      <c r="H596" s="0" t="str">
        <f aca="false">IFERROR(LEFT(G596,1),"")</f>
        <v>1</v>
      </c>
      <c r="I596" s="0" t="n">
        <f aca="false">IF(LEN(G596)&gt;1,1,0)</f>
        <v>0</v>
      </c>
      <c r="J596" s="4" t="n">
        <v>46066</v>
      </c>
      <c r="K596" s="0" t="s">
        <v>13</v>
      </c>
      <c r="L596" s="0" t="s">
        <v>101</v>
      </c>
      <c r="M596" s="0" t="s">
        <v>226</v>
      </c>
      <c r="N596" s="0" t="s">
        <v>103</v>
      </c>
      <c r="O596" s="0" t="s">
        <v>2828</v>
      </c>
      <c r="Q596" s="0" t="s">
        <v>242</v>
      </c>
      <c r="R596" s="0" t="n">
        <v>1</v>
      </c>
      <c r="S596" s="5" t="n">
        <v>602</v>
      </c>
      <c r="T596" s="0" t="s">
        <v>271</v>
      </c>
      <c r="U596" s="0" t="n">
        <v>1</v>
      </c>
      <c r="V596" s="0" t="s">
        <v>230</v>
      </c>
      <c r="W596" s="0" t="s">
        <v>244</v>
      </c>
      <c r="Y596" s="0" t="s">
        <v>278</v>
      </c>
      <c r="Z596" s="0" t="s">
        <v>2657</v>
      </c>
      <c r="AA596" s="0" t="s">
        <v>235</v>
      </c>
      <c r="AB596" s="32" t="n">
        <v>2700</v>
      </c>
      <c r="AC596" s="32" t="n">
        <v>2700</v>
      </c>
      <c r="AD596" s="26" t="n">
        <f aca="false">IFERROR(AB596/B596,"")</f>
        <v>4.48504983388704</v>
      </c>
      <c r="AE596" s="26" t="n">
        <f aca="false">IFERROR(AC596/B596,"")</f>
        <v>4.48504983388704</v>
      </c>
      <c r="AF596" s="0" t="s">
        <v>236</v>
      </c>
      <c r="AG596" s="0" t="s">
        <v>236</v>
      </c>
      <c r="AH596" s="0" t="s">
        <v>236</v>
      </c>
      <c r="AI596" s="0" t="s">
        <v>2829</v>
      </c>
      <c r="AJ596" s="0" t="s">
        <v>2830</v>
      </c>
      <c r="AK596" s="0" t="s">
        <v>2831</v>
      </c>
      <c r="AL596" s="0" t="s">
        <v>2832</v>
      </c>
      <c r="AM596" s="0" t="s">
        <v>94</v>
      </c>
      <c r="AN596" s="26" t="n">
        <f aca="false">IFERROR(E596*(1+IF(AM596="Apartment",Data_Summary!$C$3,0)),"")</f>
        <v>4.48504983388704</v>
      </c>
      <c r="AO596" s="4" t="n">
        <v>46195</v>
      </c>
    </row>
    <row r="597" customFormat="false" ht="15" hidden="false" customHeight="false" outlineLevel="0" collapsed="false">
      <c r="A597" s="0" t="n">
        <f aca="false">IF(AND(ISNUMBER(B597),B597&gt;0,ISNUMBER(AB597),AB597&gt;0,J597&gt;=Data_Summary!$C$1),1,0)</f>
        <v>1</v>
      </c>
      <c r="B597" s="30" t="n">
        <v>698</v>
      </c>
      <c r="C597" s="5" t="n">
        <f aca="false">IF(ISNUMBER(AB597),AB597,"")</f>
        <v>2700</v>
      </c>
      <c r="D597" s="0" t="n">
        <f aca="false">IF(ISNUMBER(C597),C597-U597*Data_Summary!$C$2,"")</f>
        <v>2700</v>
      </c>
      <c r="E597" s="31" t="n">
        <f aca="false">IFERROR(C597/B597,"")</f>
        <v>3.86819484240688</v>
      </c>
      <c r="F597" s="26" t="n">
        <f aca="false">IFERROR(D597/B597,"")</f>
        <v>3.86819484240688</v>
      </c>
      <c r="G597" s="0" t="str">
        <f aca="false">Q597</f>
        <v>1+1</v>
      </c>
      <c r="H597" s="0" t="str">
        <f aca="false">IFERROR(LEFT(G597,1),"")</f>
        <v>1</v>
      </c>
      <c r="I597" s="0" t="n">
        <f aca="false">IF(LEN(G597)&gt;1,1,0)</f>
        <v>1</v>
      </c>
      <c r="J597" s="4" t="n">
        <v>46066</v>
      </c>
      <c r="K597" s="0" t="s">
        <v>13</v>
      </c>
      <c r="L597" s="0" t="s">
        <v>101</v>
      </c>
      <c r="M597" s="0" t="s">
        <v>226</v>
      </c>
      <c r="N597" s="0" t="s">
        <v>103</v>
      </c>
      <c r="O597" s="0" t="s">
        <v>2833</v>
      </c>
      <c r="Q597" s="0" t="s">
        <v>270</v>
      </c>
      <c r="R597" s="0" t="n">
        <v>2</v>
      </c>
      <c r="S597" s="5" t="n">
        <v>698</v>
      </c>
      <c r="T597" s="0" t="s">
        <v>271</v>
      </c>
      <c r="U597" s="0" t="n">
        <v>0</v>
      </c>
      <c r="V597" s="0" t="s">
        <v>230</v>
      </c>
      <c r="W597" s="0" t="s">
        <v>231</v>
      </c>
      <c r="Y597" s="0" t="s">
        <v>278</v>
      </c>
      <c r="Z597" s="0" t="s">
        <v>2657</v>
      </c>
      <c r="AA597" s="0" t="s">
        <v>235</v>
      </c>
      <c r="AB597" s="32" t="n">
        <v>2700</v>
      </c>
      <c r="AC597" s="32" t="n">
        <v>2700</v>
      </c>
      <c r="AD597" s="26" t="n">
        <f aca="false">IFERROR(AB597/B597,"")</f>
        <v>3.86819484240688</v>
      </c>
      <c r="AE597" s="26" t="n">
        <f aca="false">IFERROR(AC597/B597,"")</f>
        <v>3.86819484240688</v>
      </c>
      <c r="AF597" s="0" t="s">
        <v>236</v>
      </c>
      <c r="AG597" s="0" t="s">
        <v>236</v>
      </c>
      <c r="AH597" s="0" t="s">
        <v>230</v>
      </c>
      <c r="AI597" s="0" t="s">
        <v>2829</v>
      </c>
      <c r="AJ597" s="0" t="s">
        <v>2834</v>
      </c>
      <c r="AK597" s="0" t="s">
        <v>2835</v>
      </c>
      <c r="AL597" s="0" t="s">
        <v>2836</v>
      </c>
      <c r="AM597" s="0" t="s">
        <v>94</v>
      </c>
      <c r="AN597" s="26" t="n">
        <f aca="false">IFERROR(E597*(1+IF(AM597="Apartment",Data_Summary!$C$3,0)),"")</f>
        <v>3.86819484240688</v>
      </c>
      <c r="AO597" s="4" t="n">
        <v>46195</v>
      </c>
    </row>
    <row r="598" customFormat="false" ht="15" hidden="false" customHeight="false" outlineLevel="0" collapsed="false">
      <c r="A598" s="0" t="n">
        <f aca="false">IF(AND(ISNUMBER(B598),B598&gt;0,ISNUMBER(AB598),AB598&gt;0,J598&gt;=Data_Summary!$C$1),1,0)</f>
        <v>1</v>
      </c>
      <c r="B598" s="30" t="n">
        <v>625</v>
      </c>
      <c r="C598" s="5" t="n">
        <f aca="false">IF(ISNUMBER(AB598),AB598,"")</f>
        <v>2400</v>
      </c>
      <c r="D598" s="0" t="n">
        <f aca="false">IF(ISNUMBER(C598),C598-U598*Data_Summary!$C$2,"")</f>
        <v>2400</v>
      </c>
      <c r="E598" s="31" t="n">
        <f aca="false">IFERROR(C598/B598,"")</f>
        <v>3.84</v>
      </c>
      <c r="F598" s="26" t="n">
        <f aca="false">IFERROR(D598/B598,"")</f>
        <v>3.84</v>
      </c>
      <c r="G598" s="0" t="str">
        <f aca="false">Q598</f>
        <v>1</v>
      </c>
      <c r="H598" s="0" t="str">
        <f aca="false">IFERROR(LEFT(G598,1),"")</f>
        <v>1</v>
      </c>
      <c r="I598" s="0" t="n">
        <f aca="false">IF(LEN(G598)&gt;1,1,0)</f>
        <v>0</v>
      </c>
      <c r="J598" s="4" t="n">
        <v>46062</v>
      </c>
      <c r="K598" s="0" t="s">
        <v>13</v>
      </c>
      <c r="L598" s="0" t="s">
        <v>101</v>
      </c>
      <c r="M598" s="0" t="s">
        <v>226</v>
      </c>
      <c r="N598" s="0" t="s">
        <v>103</v>
      </c>
      <c r="O598" s="0" t="s">
        <v>2837</v>
      </c>
      <c r="Q598" s="0" t="s">
        <v>242</v>
      </c>
      <c r="R598" s="0" t="n">
        <v>1</v>
      </c>
      <c r="S598" s="5" t="n">
        <v>625</v>
      </c>
      <c r="T598" s="0" t="s">
        <v>271</v>
      </c>
      <c r="U598" s="0" t="n">
        <v>0</v>
      </c>
      <c r="V598" s="0" t="s">
        <v>230</v>
      </c>
      <c r="W598" s="0" t="s">
        <v>244</v>
      </c>
      <c r="X598" s="0" t="s">
        <v>232</v>
      </c>
      <c r="Y598" s="0" t="s">
        <v>297</v>
      </c>
      <c r="Z598" s="0" t="s">
        <v>2657</v>
      </c>
      <c r="AA598" s="0" t="s">
        <v>235</v>
      </c>
      <c r="AB598" s="32" t="n">
        <v>2400</v>
      </c>
      <c r="AC598" s="32" t="n">
        <v>2400</v>
      </c>
      <c r="AD598" s="26" t="n">
        <f aca="false">IFERROR(AB598/B598,"")</f>
        <v>3.84</v>
      </c>
      <c r="AE598" s="26" t="n">
        <f aca="false">IFERROR(AC598/B598,"")</f>
        <v>3.84</v>
      </c>
      <c r="AF598" s="0" t="s">
        <v>236</v>
      </c>
      <c r="AG598" s="0" t="s">
        <v>236</v>
      </c>
      <c r="AH598" s="0" t="s">
        <v>236</v>
      </c>
      <c r="AI598" s="0" t="s">
        <v>1811</v>
      </c>
      <c r="AJ598" s="0" t="s">
        <v>2838</v>
      </c>
      <c r="AK598" s="0" t="s">
        <v>2839</v>
      </c>
      <c r="AL598" s="0" t="s">
        <v>2840</v>
      </c>
      <c r="AM598" s="0" t="s">
        <v>94</v>
      </c>
      <c r="AN598" s="26" t="n">
        <f aca="false">IFERROR(E598*(1+IF(AM598="Apartment",Data_Summary!$C$3,0)),"")</f>
        <v>3.84</v>
      </c>
      <c r="AO598" s="4" t="n">
        <v>46195</v>
      </c>
    </row>
    <row r="599" customFormat="false" ht="15" hidden="false" customHeight="false" outlineLevel="0" collapsed="false">
      <c r="A599" s="0" t="n">
        <f aca="false">IF(AND(ISNUMBER(B599),B599&gt;0,ISNUMBER(AB599),AB599&gt;0,J599&gt;=Data_Summary!$C$1),1,0)</f>
        <v>1</v>
      </c>
      <c r="B599" s="30" t="n">
        <v>602</v>
      </c>
      <c r="C599" s="5" t="n">
        <f aca="false">IF(ISNUMBER(AB599),AB599,"")</f>
        <v>2300</v>
      </c>
      <c r="D599" s="0" t="n">
        <f aca="false">IF(ISNUMBER(C599),C599-U599*Data_Summary!$C$2,"")</f>
        <v>2300</v>
      </c>
      <c r="E599" s="31" t="n">
        <f aca="false">IFERROR(C599/B599,"")</f>
        <v>3.82059800664452</v>
      </c>
      <c r="F599" s="26" t="n">
        <f aca="false">IFERROR(D599/B599,"")</f>
        <v>3.82059800664452</v>
      </c>
      <c r="G599" s="0" t="str">
        <f aca="false">Q599</f>
        <v>1</v>
      </c>
      <c r="H599" s="0" t="str">
        <f aca="false">IFERROR(LEFT(G599,1),"")</f>
        <v>1</v>
      </c>
      <c r="I599" s="0" t="n">
        <f aca="false">IF(LEN(G599)&gt;1,1,0)</f>
        <v>0</v>
      </c>
      <c r="J599" s="4" t="n">
        <v>46049</v>
      </c>
      <c r="K599" s="0" t="s">
        <v>13</v>
      </c>
      <c r="L599" s="0" t="s">
        <v>101</v>
      </c>
      <c r="M599" s="0" t="s">
        <v>226</v>
      </c>
      <c r="N599" s="0" t="s">
        <v>103</v>
      </c>
      <c r="O599" s="0" t="s">
        <v>2841</v>
      </c>
      <c r="Q599" s="0" t="s">
        <v>242</v>
      </c>
      <c r="R599" s="0" t="n">
        <v>1</v>
      </c>
      <c r="S599" s="5" t="n">
        <v>602</v>
      </c>
      <c r="T599" s="0" t="s">
        <v>271</v>
      </c>
      <c r="U599" s="0" t="n">
        <v>0</v>
      </c>
      <c r="V599" s="0" t="s">
        <v>230</v>
      </c>
      <c r="W599" s="0" t="s">
        <v>231</v>
      </c>
      <c r="Y599" s="0" t="s">
        <v>278</v>
      </c>
      <c r="Z599" s="0" t="s">
        <v>2657</v>
      </c>
      <c r="AA599" s="0" t="s">
        <v>235</v>
      </c>
      <c r="AB599" s="32" t="n">
        <v>2300</v>
      </c>
      <c r="AC599" s="32" t="n">
        <v>2300</v>
      </c>
      <c r="AD599" s="26" t="n">
        <f aca="false">IFERROR(AB599/B599,"")</f>
        <v>3.82059800664452</v>
      </c>
      <c r="AE599" s="26" t="n">
        <f aca="false">IFERROR(AC599/B599,"")</f>
        <v>3.82059800664452</v>
      </c>
      <c r="AF599" s="0" t="s">
        <v>236</v>
      </c>
      <c r="AG599" s="0" t="s">
        <v>236</v>
      </c>
      <c r="AH599" s="0" t="s">
        <v>236</v>
      </c>
      <c r="AI599" s="0" t="s">
        <v>1859</v>
      </c>
      <c r="AJ599" s="0" t="s">
        <v>2842</v>
      </c>
      <c r="AK599" s="0" t="s">
        <v>2843</v>
      </c>
      <c r="AL599" s="0" t="s">
        <v>2844</v>
      </c>
      <c r="AM599" s="0" t="s">
        <v>94</v>
      </c>
      <c r="AN599" s="26" t="n">
        <f aca="false">IFERROR(E599*(1+IF(AM599="Apartment",Data_Summary!$C$3,0)),"")</f>
        <v>3.82059800664452</v>
      </c>
      <c r="AO599" s="4" t="n">
        <v>46195</v>
      </c>
    </row>
    <row r="600" customFormat="false" ht="15" hidden="false" customHeight="false" outlineLevel="0" collapsed="false">
      <c r="A600" s="0" t="n">
        <f aca="false">IF(AND(ISNUMBER(B600),B600&gt;0,ISNUMBER(AB600),AB600&gt;0,J600&gt;=Data_Summary!$C$1),1,0)</f>
        <v>1</v>
      </c>
      <c r="B600" s="30" t="n">
        <v>678</v>
      </c>
      <c r="C600" s="5" t="n">
        <f aca="false">IF(ISNUMBER(AB600),AB600,"")</f>
        <v>2600</v>
      </c>
      <c r="D600" s="0" t="n">
        <f aca="false">IF(ISNUMBER(C600),C600-U600*Data_Summary!$C$2,"")</f>
        <v>2600</v>
      </c>
      <c r="E600" s="31" t="n">
        <f aca="false">IFERROR(C600/B600,"")</f>
        <v>3.83480825958702</v>
      </c>
      <c r="F600" s="26" t="n">
        <f aca="false">IFERROR(D600/B600,"")</f>
        <v>3.83480825958702</v>
      </c>
      <c r="G600" s="0" t="str">
        <f aca="false">Q600</f>
        <v>1</v>
      </c>
      <c r="H600" s="0" t="str">
        <f aca="false">IFERROR(LEFT(G600,1),"")</f>
        <v>1</v>
      </c>
      <c r="I600" s="0" t="n">
        <f aca="false">IF(LEN(G600)&gt;1,1,0)</f>
        <v>0</v>
      </c>
      <c r="J600" s="4" t="n">
        <v>46047</v>
      </c>
      <c r="K600" s="0" t="s">
        <v>13</v>
      </c>
      <c r="L600" s="0" t="s">
        <v>101</v>
      </c>
      <c r="M600" s="0" t="s">
        <v>226</v>
      </c>
      <c r="N600" s="0" t="s">
        <v>103</v>
      </c>
      <c r="O600" s="0" t="s">
        <v>2845</v>
      </c>
      <c r="Q600" s="0" t="s">
        <v>242</v>
      </c>
      <c r="R600" s="0" t="n">
        <v>2</v>
      </c>
      <c r="S600" s="5" t="n">
        <v>678</v>
      </c>
      <c r="T600" s="0" t="s">
        <v>271</v>
      </c>
      <c r="U600" s="0" t="n">
        <v>0</v>
      </c>
      <c r="V600" s="0" t="s">
        <v>230</v>
      </c>
      <c r="W600" s="0" t="s">
        <v>244</v>
      </c>
      <c r="Y600" s="0" t="s">
        <v>253</v>
      </c>
      <c r="Z600" s="0" t="s">
        <v>2657</v>
      </c>
      <c r="AA600" s="0" t="s">
        <v>235</v>
      </c>
      <c r="AB600" s="32" t="n">
        <v>2600</v>
      </c>
      <c r="AC600" s="32" t="n">
        <v>2650</v>
      </c>
      <c r="AD600" s="26" t="n">
        <f aca="false">IFERROR(AB600/B600,"")</f>
        <v>3.83480825958702</v>
      </c>
      <c r="AE600" s="26" t="n">
        <f aca="false">IFERROR(AC600/B600,"")</f>
        <v>3.90855457227139</v>
      </c>
      <c r="AF600" s="0" t="s">
        <v>236</v>
      </c>
      <c r="AG600" s="0" t="s">
        <v>236</v>
      </c>
      <c r="AH600" s="0" t="s">
        <v>236</v>
      </c>
      <c r="AI600" s="0" t="s">
        <v>2846</v>
      </c>
      <c r="AJ600" s="0" t="s">
        <v>2847</v>
      </c>
      <c r="AK600" s="0" t="s">
        <v>2848</v>
      </c>
      <c r="AL600" s="0" t="s">
        <v>2849</v>
      </c>
      <c r="AM600" s="0" t="s">
        <v>94</v>
      </c>
      <c r="AN600" s="26" t="n">
        <f aca="false">IFERROR(E600*(1+IF(AM600="Apartment",Data_Summary!$C$3,0)),"")</f>
        <v>3.83480825958702</v>
      </c>
      <c r="AO600" s="4" t="n">
        <v>46195</v>
      </c>
    </row>
    <row r="601" customFormat="false" ht="15" hidden="false" customHeight="false" outlineLevel="0" collapsed="false">
      <c r="A601" s="0" t="n">
        <f aca="false">IF(AND(ISNUMBER(B601),B601&gt;0,ISNUMBER(AB601),AB601&gt;0,J601&gt;=Data_Summary!$C$1),1,0)</f>
        <v>1</v>
      </c>
      <c r="B601" s="30" t="n">
        <v>625</v>
      </c>
      <c r="C601" s="5" t="n">
        <f aca="false">IF(ISNUMBER(AB601),AB601,"")</f>
        <v>2400</v>
      </c>
      <c r="D601" s="0" t="n">
        <f aca="false">IF(ISNUMBER(C601),C601-U601*Data_Summary!$C$2,"")</f>
        <v>2400</v>
      </c>
      <c r="E601" s="31" t="n">
        <f aca="false">IFERROR(C601/B601,"")</f>
        <v>3.84</v>
      </c>
      <c r="F601" s="26" t="n">
        <f aca="false">IFERROR(D601/B601,"")</f>
        <v>3.84</v>
      </c>
      <c r="G601" s="0" t="str">
        <f aca="false">Q601</f>
        <v>1</v>
      </c>
      <c r="H601" s="0" t="str">
        <f aca="false">IFERROR(LEFT(G601,1),"")</f>
        <v>1</v>
      </c>
      <c r="I601" s="0" t="n">
        <f aca="false">IF(LEN(G601)&gt;1,1,0)</f>
        <v>0</v>
      </c>
      <c r="J601" s="4" t="n">
        <v>46038</v>
      </c>
      <c r="K601" s="0" t="s">
        <v>13</v>
      </c>
      <c r="L601" s="0" t="s">
        <v>101</v>
      </c>
      <c r="M601" s="0" t="s">
        <v>226</v>
      </c>
      <c r="N601" s="0" t="s">
        <v>103</v>
      </c>
      <c r="O601" s="0" t="s">
        <v>2850</v>
      </c>
      <c r="Q601" s="0" t="s">
        <v>242</v>
      </c>
      <c r="R601" s="0" t="n">
        <v>1</v>
      </c>
      <c r="S601" s="5" t="n">
        <v>625</v>
      </c>
      <c r="T601" s="0" t="s">
        <v>271</v>
      </c>
      <c r="U601" s="0" t="n">
        <v>0</v>
      </c>
      <c r="V601" s="0" t="s">
        <v>230</v>
      </c>
      <c r="W601" s="0" t="s">
        <v>244</v>
      </c>
      <c r="Y601" s="0" t="s">
        <v>297</v>
      </c>
      <c r="Z601" s="0" t="s">
        <v>2657</v>
      </c>
      <c r="AA601" s="0" t="s">
        <v>235</v>
      </c>
      <c r="AB601" s="32" t="n">
        <v>2400</v>
      </c>
      <c r="AC601" s="32" t="n">
        <v>2325</v>
      </c>
      <c r="AD601" s="26" t="n">
        <f aca="false">IFERROR(AB601/B601,"")</f>
        <v>3.84</v>
      </c>
      <c r="AE601" s="26" t="n">
        <f aca="false">IFERROR(AC601/B601,"")</f>
        <v>3.72</v>
      </c>
      <c r="AF601" s="0" t="s">
        <v>236</v>
      </c>
      <c r="AG601" s="0" t="s">
        <v>236</v>
      </c>
      <c r="AH601" s="0" t="s">
        <v>236</v>
      </c>
      <c r="AI601" s="0" t="s">
        <v>663</v>
      </c>
      <c r="AJ601" s="0" t="s">
        <v>2851</v>
      </c>
      <c r="AK601" s="0" t="s">
        <v>2852</v>
      </c>
      <c r="AL601" s="0" t="s">
        <v>2853</v>
      </c>
      <c r="AM601" s="0" t="s">
        <v>94</v>
      </c>
      <c r="AN601" s="26" t="n">
        <f aca="false">IFERROR(E601*(1+IF(AM601="Apartment",Data_Summary!$C$3,0)),"")</f>
        <v>3.84</v>
      </c>
      <c r="AO601" s="4" t="n">
        <v>46195</v>
      </c>
    </row>
    <row r="602" customFormat="false" ht="15" hidden="false" customHeight="false" outlineLevel="0" collapsed="false">
      <c r="A602" s="0" t="n">
        <f aca="false">IF(AND(ISNUMBER(B602),B602&gt;0,ISNUMBER(AB602),AB602&gt;0,J602&gt;=Data_Summary!$C$1),1,0)</f>
        <v>1</v>
      </c>
      <c r="B602" s="30" t="n">
        <v>1305</v>
      </c>
      <c r="C602" s="5" t="n">
        <f aca="false">IF(ISNUMBER(AB602),AB602,"")</f>
        <v>6300</v>
      </c>
      <c r="D602" s="0" t="n">
        <f aca="false">IF(ISNUMBER(C602),C602-U602*Data_Summary!$C$2,"")</f>
        <v>6150</v>
      </c>
      <c r="E602" s="31" t="n">
        <f aca="false">IFERROR(C602/B602,"")</f>
        <v>4.82758620689655</v>
      </c>
      <c r="F602" s="26" t="n">
        <f aca="false">IFERROR(D602/B602,"")</f>
        <v>4.71264367816092</v>
      </c>
      <c r="G602" s="0" t="str">
        <f aca="false">Q602</f>
        <v>3</v>
      </c>
      <c r="H602" s="0" t="str">
        <f aca="false">IFERROR(LEFT(G602,1),"")</f>
        <v>3</v>
      </c>
      <c r="I602" s="0" t="n">
        <f aca="false">IF(LEN(G602)&gt;1,1,0)</f>
        <v>0</v>
      </c>
      <c r="J602" s="4" t="n">
        <v>46035</v>
      </c>
      <c r="K602" s="0" t="s">
        <v>13</v>
      </c>
      <c r="L602" s="0" t="s">
        <v>101</v>
      </c>
      <c r="M602" s="0" t="s">
        <v>226</v>
      </c>
      <c r="N602" s="0" t="s">
        <v>103</v>
      </c>
      <c r="O602" s="0" t="s">
        <v>2854</v>
      </c>
      <c r="Q602" s="0" t="s">
        <v>228</v>
      </c>
      <c r="R602" s="0" t="n">
        <v>3</v>
      </c>
      <c r="S602" s="5" t="n">
        <v>1305</v>
      </c>
      <c r="T602" s="0" t="s">
        <v>467</v>
      </c>
      <c r="U602" s="0" t="n">
        <v>1</v>
      </c>
      <c r="V602" s="0" t="s">
        <v>230</v>
      </c>
      <c r="W602" s="0" t="s">
        <v>231</v>
      </c>
      <c r="X602" s="0" t="s">
        <v>232</v>
      </c>
      <c r="Y602" s="0" t="s">
        <v>297</v>
      </c>
      <c r="Z602" s="0" t="s">
        <v>2657</v>
      </c>
      <c r="AA602" s="0" t="s">
        <v>235</v>
      </c>
      <c r="AB602" s="32" t="n">
        <v>6300</v>
      </c>
      <c r="AC602" s="32" t="n">
        <v>5800</v>
      </c>
      <c r="AD602" s="26" t="n">
        <f aca="false">IFERROR(AB602/B602,"")</f>
        <v>4.82758620689655</v>
      </c>
      <c r="AE602" s="26" t="n">
        <f aca="false">IFERROR(AC602/B602,"")</f>
        <v>4.44444444444445</v>
      </c>
      <c r="AF602" s="0" t="s">
        <v>236</v>
      </c>
      <c r="AG602" s="0" t="s">
        <v>236</v>
      </c>
      <c r="AH602" s="0" t="s">
        <v>236</v>
      </c>
      <c r="AI602" s="0" t="s">
        <v>673</v>
      </c>
      <c r="AJ602" s="0" t="s">
        <v>2855</v>
      </c>
      <c r="AK602" s="0" t="s">
        <v>2856</v>
      </c>
      <c r="AL602" s="0" t="s">
        <v>2857</v>
      </c>
      <c r="AM602" s="0" t="s">
        <v>94</v>
      </c>
      <c r="AN602" s="26" t="n">
        <f aca="false">IFERROR(E602*(1+IF(AM602="Apartment",Data_Summary!$C$3,0)),"")</f>
        <v>4.82758620689655</v>
      </c>
      <c r="AO602" s="4" t="n">
        <v>46195</v>
      </c>
    </row>
    <row r="603" customFormat="false" ht="15" hidden="false" customHeight="false" outlineLevel="0" collapsed="false">
      <c r="A603" s="0" t="n">
        <f aca="false">IF(AND(ISNUMBER(B603),B603&gt;0,ISNUMBER(AB603),AB603&gt;0,J603&gt;=Data_Summary!$C$1),1,0)</f>
        <v>1</v>
      </c>
      <c r="B603" s="30" t="n">
        <v>1305</v>
      </c>
      <c r="C603" s="5" t="n">
        <f aca="false">IF(ISNUMBER(AB603),AB603,"")</f>
        <v>5900</v>
      </c>
      <c r="D603" s="0" t="n">
        <f aca="false">IF(ISNUMBER(C603),C603-U603*Data_Summary!$C$2,"")</f>
        <v>5750</v>
      </c>
      <c r="E603" s="31" t="n">
        <f aca="false">IFERROR(C603/B603,"")</f>
        <v>4.52107279693487</v>
      </c>
      <c r="F603" s="26" t="n">
        <f aca="false">IFERROR(D603/B603,"")</f>
        <v>4.40613026819923</v>
      </c>
      <c r="G603" s="0" t="str">
        <f aca="false">Q603</f>
        <v>3</v>
      </c>
      <c r="H603" s="0" t="str">
        <f aca="false">IFERROR(LEFT(G603,1),"")</f>
        <v>3</v>
      </c>
      <c r="I603" s="0" t="n">
        <f aca="false">IF(LEN(G603)&gt;1,1,0)</f>
        <v>0</v>
      </c>
      <c r="J603" s="4" t="n">
        <v>46035</v>
      </c>
      <c r="K603" s="0" t="s">
        <v>13</v>
      </c>
      <c r="L603" s="0" t="s">
        <v>101</v>
      </c>
      <c r="M603" s="0" t="s">
        <v>226</v>
      </c>
      <c r="N603" s="0" t="s">
        <v>103</v>
      </c>
      <c r="O603" s="0" t="s">
        <v>2858</v>
      </c>
      <c r="Q603" s="0" t="s">
        <v>228</v>
      </c>
      <c r="R603" s="0" t="n">
        <v>3</v>
      </c>
      <c r="S603" s="5" t="n">
        <v>1305</v>
      </c>
      <c r="T603" s="0" t="s">
        <v>467</v>
      </c>
      <c r="U603" s="0" t="n">
        <v>1</v>
      </c>
      <c r="V603" s="0" t="s">
        <v>230</v>
      </c>
      <c r="W603" s="0" t="s">
        <v>231</v>
      </c>
      <c r="X603" s="0" t="s">
        <v>232</v>
      </c>
      <c r="Y603" s="0" t="s">
        <v>245</v>
      </c>
      <c r="Z603" s="0" t="s">
        <v>2657</v>
      </c>
      <c r="AA603" s="0" t="s">
        <v>235</v>
      </c>
      <c r="AB603" s="32" t="n">
        <v>5900</v>
      </c>
      <c r="AC603" s="32" t="n">
        <v>5850</v>
      </c>
      <c r="AD603" s="26" t="n">
        <f aca="false">IFERROR(AB603/B603,"")</f>
        <v>4.52107279693487</v>
      </c>
      <c r="AE603" s="26" t="n">
        <f aca="false">IFERROR(AC603/B603,"")</f>
        <v>4.48275862068966</v>
      </c>
      <c r="AF603" s="0" t="s">
        <v>236</v>
      </c>
      <c r="AG603" s="0" t="s">
        <v>236</v>
      </c>
      <c r="AH603" s="0" t="s">
        <v>236</v>
      </c>
      <c r="AI603" s="0" t="s">
        <v>673</v>
      </c>
      <c r="AJ603" s="0" t="s">
        <v>2859</v>
      </c>
      <c r="AK603" s="0" t="s">
        <v>2860</v>
      </c>
      <c r="AL603" s="0" t="s">
        <v>2857</v>
      </c>
      <c r="AM603" s="0" t="s">
        <v>94</v>
      </c>
      <c r="AN603" s="26" t="n">
        <f aca="false">IFERROR(E603*(1+IF(AM603="Apartment",Data_Summary!$C$3,0)),"")</f>
        <v>4.52107279693487</v>
      </c>
      <c r="AO603" s="4" t="n">
        <v>46195</v>
      </c>
    </row>
    <row r="604" customFormat="false" ht="15" hidden="false" customHeight="false" outlineLevel="0" collapsed="false">
      <c r="A604" s="0" t="n">
        <f aca="false">IF(AND(ISNUMBER(B604),B604&gt;0,ISNUMBER(AB604),AB604&gt;0,J604&gt;=Data_Summary!$C$1),1,0)</f>
        <v>1</v>
      </c>
      <c r="B604" s="30" t="n">
        <v>630</v>
      </c>
      <c r="C604" s="5" t="n">
        <f aca="false">IF(ISNUMBER(AB604),AB604,"")</f>
        <v>2400</v>
      </c>
      <c r="D604" s="0" t="n">
        <f aca="false">IF(ISNUMBER(C604),C604-U604*Data_Summary!$C$2,"")</f>
        <v>2400</v>
      </c>
      <c r="E604" s="31" t="n">
        <f aca="false">IFERROR(C604/B604,"")</f>
        <v>3.80952380952381</v>
      </c>
      <c r="F604" s="26" t="n">
        <f aca="false">IFERROR(D604/B604,"")</f>
        <v>3.80952380952381</v>
      </c>
      <c r="G604" s="0" t="str">
        <f aca="false">Q604</f>
        <v>1+1</v>
      </c>
      <c r="H604" s="0" t="str">
        <f aca="false">IFERROR(LEFT(G604,1),"")</f>
        <v>1</v>
      </c>
      <c r="I604" s="0" t="n">
        <f aca="false">IF(LEN(G604)&gt;1,1,0)</f>
        <v>1</v>
      </c>
      <c r="J604" s="4" t="n">
        <v>46030</v>
      </c>
      <c r="K604" s="0" t="s">
        <v>13</v>
      </c>
      <c r="L604" s="0" t="s">
        <v>101</v>
      </c>
      <c r="M604" s="0" t="s">
        <v>226</v>
      </c>
      <c r="N604" s="0" t="s">
        <v>103</v>
      </c>
      <c r="O604" s="0" t="s">
        <v>2861</v>
      </c>
      <c r="Q604" s="0" t="s">
        <v>270</v>
      </c>
      <c r="R604" s="0" t="n">
        <v>1</v>
      </c>
      <c r="S604" s="5" t="n">
        <v>630</v>
      </c>
      <c r="T604" s="0" t="s">
        <v>271</v>
      </c>
      <c r="U604" s="0" t="n">
        <v>0</v>
      </c>
      <c r="V604" s="0" t="s">
        <v>230</v>
      </c>
      <c r="W604" s="0" t="s">
        <v>244</v>
      </c>
      <c r="Y604" s="0" t="s">
        <v>253</v>
      </c>
      <c r="Z604" s="0" t="s">
        <v>2657</v>
      </c>
      <c r="AA604" s="0" t="s">
        <v>235</v>
      </c>
      <c r="AB604" s="32" t="n">
        <v>2400</v>
      </c>
      <c r="AC604" s="32" t="n">
        <v>2400</v>
      </c>
      <c r="AD604" s="26" t="n">
        <f aca="false">IFERROR(AB604/B604,"")</f>
        <v>3.80952380952381</v>
      </c>
      <c r="AE604" s="26" t="n">
        <f aca="false">IFERROR(AC604/B604,"")</f>
        <v>3.80952380952381</v>
      </c>
      <c r="AF604" s="0" t="s">
        <v>236</v>
      </c>
      <c r="AG604" s="0" t="s">
        <v>236</v>
      </c>
      <c r="AH604" s="0" t="s">
        <v>236</v>
      </c>
      <c r="AI604" s="0" t="s">
        <v>2524</v>
      </c>
      <c r="AJ604" s="0" t="s">
        <v>2862</v>
      </c>
      <c r="AK604" s="0" t="s">
        <v>2863</v>
      </c>
      <c r="AL604" s="0" t="s">
        <v>2864</v>
      </c>
      <c r="AM604" s="0" t="s">
        <v>94</v>
      </c>
      <c r="AN604" s="26" t="n">
        <f aca="false">IFERROR(E604*(1+IF(AM604="Apartment",Data_Summary!$C$3,0)),"")</f>
        <v>3.80952380952381</v>
      </c>
      <c r="AO604" s="4" t="n">
        <v>46195</v>
      </c>
    </row>
    <row r="605" customFormat="false" ht="15" hidden="false" customHeight="false" outlineLevel="0" collapsed="false">
      <c r="A605" s="0" t="n">
        <f aca="false">IF(AND(ISNUMBER(B605),B605&gt;0,ISNUMBER(AB605),AB605&gt;0,J605&gt;=Data_Summary!$C$1),1,0)</f>
        <v>1</v>
      </c>
      <c r="B605" s="30" t="n">
        <v>1305</v>
      </c>
      <c r="C605" s="5" t="n">
        <f aca="false">IF(ISNUMBER(AB605),AB605,"")</f>
        <v>5680</v>
      </c>
      <c r="D605" s="0" t="n">
        <f aca="false">IF(ISNUMBER(C605),C605-U605*Data_Summary!$C$2,"")</f>
        <v>5530</v>
      </c>
      <c r="E605" s="31" t="n">
        <f aca="false">IFERROR(C605/B605,"")</f>
        <v>4.35249042145594</v>
      </c>
      <c r="F605" s="26" t="n">
        <f aca="false">IFERROR(D605/B605,"")</f>
        <v>4.23754789272031</v>
      </c>
      <c r="G605" s="0" t="str">
        <f aca="false">Q605</f>
        <v>3</v>
      </c>
      <c r="H605" s="0" t="str">
        <f aca="false">IFERROR(LEFT(G605,1),"")</f>
        <v>3</v>
      </c>
      <c r="I605" s="0" t="n">
        <f aca="false">IF(LEN(G605)&gt;1,1,0)</f>
        <v>0</v>
      </c>
      <c r="J605" s="4" t="n">
        <v>46018</v>
      </c>
      <c r="K605" s="0" t="s">
        <v>13</v>
      </c>
      <c r="L605" s="0" t="s">
        <v>101</v>
      </c>
      <c r="M605" s="0" t="s">
        <v>226</v>
      </c>
      <c r="N605" s="0" t="s">
        <v>103</v>
      </c>
      <c r="O605" s="0" t="s">
        <v>2865</v>
      </c>
      <c r="Q605" s="0" t="s">
        <v>228</v>
      </c>
      <c r="R605" s="0" t="n">
        <v>3</v>
      </c>
      <c r="S605" s="5" t="n">
        <v>1305</v>
      </c>
      <c r="T605" s="0" t="s">
        <v>467</v>
      </c>
      <c r="U605" s="0" t="n">
        <v>1</v>
      </c>
      <c r="V605" s="0" t="s">
        <v>230</v>
      </c>
      <c r="W605" s="0" t="s">
        <v>231</v>
      </c>
      <c r="X605" s="0" t="s">
        <v>232</v>
      </c>
      <c r="Y605" s="0" t="s">
        <v>245</v>
      </c>
      <c r="Z605" s="0" t="s">
        <v>2657</v>
      </c>
      <c r="AA605" s="0" t="s">
        <v>235</v>
      </c>
      <c r="AB605" s="32" t="n">
        <v>5680</v>
      </c>
      <c r="AC605" s="32" t="n">
        <v>5680</v>
      </c>
      <c r="AD605" s="26" t="n">
        <f aca="false">IFERROR(AB605/B605,"")</f>
        <v>4.35249042145594</v>
      </c>
      <c r="AE605" s="26" t="n">
        <f aca="false">IFERROR(AC605/B605,"")</f>
        <v>4.35249042145594</v>
      </c>
      <c r="AF605" s="0" t="s">
        <v>236</v>
      </c>
      <c r="AG605" s="0" t="s">
        <v>236</v>
      </c>
      <c r="AH605" s="0" t="s">
        <v>236</v>
      </c>
      <c r="AI605" s="0" t="s">
        <v>2866</v>
      </c>
      <c r="AJ605" s="0" t="s">
        <v>2867</v>
      </c>
      <c r="AK605" s="0" t="s">
        <v>2868</v>
      </c>
      <c r="AL605" s="0" t="s">
        <v>2869</v>
      </c>
      <c r="AM605" s="0" t="s">
        <v>94</v>
      </c>
      <c r="AN605" s="26" t="n">
        <f aca="false">IFERROR(E605*(1+IF(AM605="Apartment",Data_Summary!$C$3,0)),"")</f>
        <v>4.35249042145594</v>
      </c>
      <c r="AO605" s="4" t="n">
        <v>46195</v>
      </c>
    </row>
    <row r="606" customFormat="false" ht="15" hidden="false" customHeight="false" outlineLevel="0" collapsed="false">
      <c r="A606" s="0" t="n">
        <f aca="false">IF(AND(ISNUMBER(B606),B606&gt;0,ISNUMBER(AB606),AB606&gt;0,J606&gt;=Data_Summary!$C$1),1,0)</f>
        <v>1</v>
      </c>
      <c r="B606" s="30" t="n">
        <v>830</v>
      </c>
      <c r="C606" s="5" t="n">
        <f aca="false">IF(ISNUMBER(AB606),AB606,"")</f>
        <v>3450</v>
      </c>
      <c r="D606" s="0" t="n">
        <f aca="false">IF(ISNUMBER(C606),C606-U606*Data_Summary!$C$2,"")</f>
        <v>3300</v>
      </c>
      <c r="E606" s="31" t="n">
        <f aca="false">IFERROR(C606/B606,"")</f>
        <v>4.1566265060241</v>
      </c>
      <c r="F606" s="26" t="n">
        <f aca="false">IFERROR(D606/B606,"")</f>
        <v>3.97590361445783</v>
      </c>
      <c r="G606" s="0" t="str">
        <f aca="false">Q606</f>
        <v>2</v>
      </c>
      <c r="H606" s="0" t="str">
        <f aca="false">IFERROR(LEFT(G606,1),"")</f>
        <v>2</v>
      </c>
      <c r="I606" s="0" t="n">
        <f aca="false">IF(LEN(G606)&gt;1,1,0)</f>
        <v>0</v>
      </c>
      <c r="J606" s="4" t="n">
        <v>46013</v>
      </c>
      <c r="K606" s="0" t="s">
        <v>13</v>
      </c>
      <c r="L606" s="0" t="s">
        <v>101</v>
      </c>
      <c r="M606" s="0" t="s">
        <v>226</v>
      </c>
      <c r="N606" s="0" t="s">
        <v>103</v>
      </c>
      <c r="O606" s="0" t="s">
        <v>2870</v>
      </c>
      <c r="Q606" s="0" t="s">
        <v>251</v>
      </c>
      <c r="R606" s="0" t="n">
        <v>2</v>
      </c>
      <c r="S606" s="5" t="n">
        <v>830</v>
      </c>
      <c r="T606" s="0" t="s">
        <v>229</v>
      </c>
      <c r="U606" s="0" t="n">
        <v>1</v>
      </c>
      <c r="V606" s="0" t="s">
        <v>230</v>
      </c>
      <c r="X606" s="0" t="s">
        <v>232</v>
      </c>
      <c r="Y606" s="0" t="s">
        <v>260</v>
      </c>
      <c r="Z606" s="0" t="s">
        <v>2657</v>
      </c>
      <c r="AA606" s="0" t="s">
        <v>235</v>
      </c>
      <c r="AB606" s="32" t="n">
        <v>3450</v>
      </c>
      <c r="AC606" s="32" t="n">
        <v>3499</v>
      </c>
      <c r="AD606" s="26" t="n">
        <f aca="false">IFERROR(AB606/B606,"")</f>
        <v>4.1566265060241</v>
      </c>
      <c r="AE606" s="26" t="n">
        <f aca="false">IFERROR(AC606/B606,"")</f>
        <v>4.21566265060241</v>
      </c>
      <c r="AF606" s="0" t="s">
        <v>236</v>
      </c>
      <c r="AG606" s="0" t="s">
        <v>236</v>
      </c>
      <c r="AH606" s="0" t="s">
        <v>236</v>
      </c>
      <c r="AI606" s="0" t="s">
        <v>722</v>
      </c>
      <c r="AJ606" s="0" t="s">
        <v>2871</v>
      </c>
      <c r="AK606" s="0" t="s">
        <v>2872</v>
      </c>
      <c r="AL606" s="0" t="s">
        <v>2873</v>
      </c>
      <c r="AM606" s="0" t="s">
        <v>94</v>
      </c>
      <c r="AN606" s="26" t="n">
        <f aca="false">IFERROR(E606*(1+IF(AM606="Apartment",Data_Summary!$C$3,0)),"")</f>
        <v>4.1566265060241</v>
      </c>
      <c r="AO606" s="4" t="n">
        <v>46195</v>
      </c>
    </row>
    <row r="607" customFormat="false" ht="15" hidden="false" customHeight="false" outlineLevel="0" collapsed="false">
      <c r="A607" s="0" t="n">
        <f aca="false">IF(AND(ISNUMBER(B607),B607&gt;0,ISNUMBER(AB607),AB607&gt;0,J607&gt;=Data_Summary!$C$1),1,0)</f>
        <v>1</v>
      </c>
      <c r="B607" s="30" t="n">
        <v>1305</v>
      </c>
      <c r="C607" s="5" t="n">
        <f aca="false">IF(ISNUMBER(AB607),AB607,"")</f>
        <v>5800</v>
      </c>
      <c r="D607" s="0" t="n">
        <f aca="false">IF(ISNUMBER(C607),C607-U607*Data_Summary!$C$2,"")</f>
        <v>5650</v>
      </c>
      <c r="E607" s="31" t="n">
        <f aca="false">IFERROR(C607/B607,"")</f>
        <v>4.44444444444445</v>
      </c>
      <c r="F607" s="26" t="n">
        <f aca="false">IFERROR(D607/B607,"")</f>
        <v>4.32950191570881</v>
      </c>
      <c r="G607" s="0" t="str">
        <f aca="false">Q607</f>
        <v>3</v>
      </c>
      <c r="H607" s="0" t="str">
        <f aca="false">IFERROR(LEFT(G607,1),"")</f>
        <v>3</v>
      </c>
      <c r="I607" s="0" t="n">
        <f aca="false">IF(LEN(G607)&gt;1,1,0)</f>
        <v>0</v>
      </c>
      <c r="J607" s="4" t="n">
        <v>46009</v>
      </c>
      <c r="K607" s="0" t="s">
        <v>13</v>
      </c>
      <c r="L607" s="0" t="s">
        <v>101</v>
      </c>
      <c r="M607" s="0" t="s">
        <v>226</v>
      </c>
      <c r="N607" s="0" t="s">
        <v>103</v>
      </c>
      <c r="O607" s="0" t="s">
        <v>1170</v>
      </c>
      <c r="Q607" s="0" t="s">
        <v>228</v>
      </c>
      <c r="R607" s="0" t="n">
        <v>3</v>
      </c>
      <c r="S607" s="5" t="n">
        <v>1305</v>
      </c>
      <c r="T607" s="0" t="s">
        <v>467</v>
      </c>
      <c r="U607" s="0" t="n">
        <v>1</v>
      </c>
      <c r="V607" s="0" t="s">
        <v>230</v>
      </c>
      <c r="W607" s="0" t="s">
        <v>231</v>
      </c>
      <c r="X607" s="0" t="s">
        <v>232</v>
      </c>
      <c r="Y607" s="0" t="s">
        <v>297</v>
      </c>
      <c r="Z607" s="0" t="s">
        <v>2657</v>
      </c>
      <c r="AA607" s="0" t="s">
        <v>235</v>
      </c>
      <c r="AB607" s="32" t="n">
        <v>5800</v>
      </c>
      <c r="AC607" s="32" t="n">
        <v>6000</v>
      </c>
      <c r="AD607" s="26" t="n">
        <f aca="false">IFERROR(AB607/B607,"")</f>
        <v>4.44444444444445</v>
      </c>
      <c r="AE607" s="26" t="n">
        <f aca="false">IFERROR(AC607/B607,"")</f>
        <v>4.59770114942529</v>
      </c>
      <c r="AF607" s="0" t="s">
        <v>236</v>
      </c>
      <c r="AG607" s="0" t="s">
        <v>236</v>
      </c>
      <c r="AH607" s="0" t="s">
        <v>236</v>
      </c>
      <c r="AI607" s="0" t="s">
        <v>2874</v>
      </c>
      <c r="AJ607" s="0" t="s">
        <v>2875</v>
      </c>
      <c r="AK607" s="0" t="s">
        <v>2876</v>
      </c>
      <c r="AL607" s="0" t="s">
        <v>2877</v>
      </c>
      <c r="AM607" s="0" t="s">
        <v>94</v>
      </c>
      <c r="AN607" s="26" t="n">
        <f aca="false">IFERROR(E607*(1+IF(AM607="Apartment",Data_Summary!$C$3,0)),"")</f>
        <v>4.44444444444445</v>
      </c>
      <c r="AO607" s="4" t="n">
        <v>46195</v>
      </c>
    </row>
    <row r="608" customFormat="false" ht="15" hidden="false" customHeight="false" outlineLevel="0" collapsed="false">
      <c r="A608" s="0" t="n">
        <f aca="false">IF(AND(ISNUMBER(B608),B608&gt;0,ISNUMBER(AB608),AB608&gt;0,J608&gt;=Data_Summary!$C$1),1,0)</f>
        <v>1</v>
      </c>
      <c r="B608" s="30" t="n">
        <v>575</v>
      </c>
      <c r="C608" s="5" t="n">
        <f aca="false">IF(ISNUMBER(AB608),AB608,"")</f>
        <v>2450</v>
      </c>
      <c r="D608" s="0" t="n">
        <f aca="false">IF(ISNUMBER(C608),C608-U608*Data_Summary!$C$2,"")</f>
        <v>2450</v>
      </c>
      <c r="E608" s="31" t="n">
        <f aca="false">IFERROR(C608/B608,"")</f>
        <v>4.26086956521739</v>
      </c>
      <c r="F608" s="26" t="n">
        <f aca="false">IFERROR(D608/B608,"")</f>
        <v>4.26086956521739</v>
      </c>
      <c r="G608" s="0" t="str">
        <f aca="false">Q608</f>
        <v>1</v>
      </c>
      <c r="H608" s="0" t="str">
        <f aca="false">IFERROR(LEFT(G608,1),"")</f>
        <v>1</v>
      </c>
      <c r="I608" s="0" t="n">
        <f aca="false">IF(LEN(G608)&gt;1,1,0)</f>
        <v>0</v>
      </c>
      <c r="J608" s="4" t="n">
        <v>45993</v>
      </c>
      <c r="K608" s="0" t="s">
        <v>13</v>
      </c>
      <c r="L608" s="0" t="s">
        <v>101</v>
      </c>
      <c r="M608" s="0" t="s">
        <v>226</v>
      </c>
      <c r="N608" s="0" t="s">
        <v>103</v>
      </c>
      <c r="O608" s="0" t="s">
        <v>2878</v>
      </c>
      <c r="Q608" s="0" t="s">
        <v>242</v>
      </c>
      <c r="R608" s="0" t="n">
        <v>1</v>
      </c>
      <c r="S608" s="5" t="n">
        <v>575</v>
      </c>
      <c r="T608" s="0" t="s">
        <v>243</v>
      </c>
      <c r="U608" s="0" t="n">
        <v>0</v>
      </c>
      <c r="V608" s="0" t="s">
        <v>230</v>
      </c>
      <c r="W608" s="0" t="s">
        <v>244</v>
      </c>
      <c r="Y608" s="0" t="s">
        <v>278</v>
      </c>
      <c r="Z608" s="0" t="s">
        <v>2657</v>
      </c>
      <c r="AA608" s="0" t="s">
        <v>235</v>
      </c>
      <c r="AB608" s="32" t="n">
        <v>2450</v>
      </c>
      <c r="AC608" s="32" t="n">
        <v>2450</v>
      </c>
      <c r="AD608" s="26" t="n">
        <f aca="false">IFERROR(AB608/B608,"")</f>
        <v>4.26086956521739</v>
      </c>
      <c r="AE608" s="26" t="n">
        <f aca="false">IFERROR(AC608/B608,"")</f>
        <v>4.26086956521739</v>
      </c>
      <c r="AF608" s="0" t="s">
        <v>236</v>
      </c>
      <c r="AG608" s="0" t="s">
        <v>236</v>
      </c>
      <c r="AH608" s="0" t="s">
        <v>230</v>
      </c>
      <c r="AI608" s="0" t="s">
        <v>764</v>
      </c>
      <c r="AJ608" s="0" t="s">
        <v>2879</v>
      </c>
      <c r="AK608" s="0" t="s">
        <v>2880</v>
      </c>
      <c r="AL608" s="0" t="s">
        <v>2881</v>
      </c>
      <c r="AM608" s="0" t="s">
        <v>94</v>
      </c>
      <c r="AN608" s="26" t="n">
        <f aca="false">IFERROR(E608*(1+IF(AM608="Apartment",Data_Summary!$C$3,0)),"")</f>
        <v>4.26086956521739</v>
      </c>
      <c r="AO608" s="4" t="n">
        <v>46195</v>
      </c>
    </row>
    <row r="609" customFormat="false" ht="15" hidden="false" customHeight="false" outlineLevel="0" collapsed="false">
      <c r="A609" s="0" t="n">
        <f aca="false">IF(AND(ISNUMBER(B609),B609&gt;0,ISNUMBER(AB609),AB609&gt;0,J609&gt;=Data_Summary!$C$1),1,0)</f>
        <v>1</v>
      </c>
      <c r="B609" s="30" t="n">
        <v>564</v>
      </c>
      <c r="C609" s="5" t="n">
        <f aca="false">IF(ISNUMBER(AB609),AB609,"")</f>
        <v>2300</v>
      </c>
      <c r="D609" s="0" t="n">
        <f aca="false">IF(ISNUMBER(C609),C609-U609*Data_Summary!$C$2,"")</f>
        <v>2300</v>
      </c>
      <c r="E609" s="31" t="n">
        <f aca="false">IFERROR(C609/B609,"")</f>
        <v>4.07801418439716</v>
      </c>
      <c r="F609" s="26" t="n">
        <f aca="false">IFERROR(D609/B609,"")</f>
        <v>4.07801418439716</v>
      </c>
      <c r="G609" s="0" t="str">
        <f aca="false">Q609</f>
        <v>1</v>
      </c>
      <c r="H609" s="0" t="str">
        <f aca="false">IFERROR(LEFT(G609,1),"")</f>
        <v>1</v>
      </c>
      <c r="I609" s="0" t="n">
        <f aca="false">IF(LEN(G609)&gt;1,1,0)</f>
        <v>0</v>
      </c>
      <c r="J609" s="4" t="n">
        <v>45993</v>
      </c>
      <c r="K609" s="0" t="s">
        <v>13</v>
      </c>
      <c r="L609" s="0" t="s">
        <v>101</v>
      </c>
      <c r="M609" s="0" t="s">
        <v>226</v>
      </c>
      <c r="N609" s="0" t="s">
        <v>103</v>
      </c>
      <c r="O609" s="0" t="s">
        <v>2882</v>
      </c>
      <c r="Q609" s="0" t="s">
        <v>242</v>
      </c>
      <c r="R609" s="0" t="n">
        <v>1</v>
      </c>
      <c r="S609" s="5" t="n">
        <v>564</v>
      </c>
      <c r="T609" s="0" t="s">
        <v>243</v>
      </c>
      <c r="U609" s="0" t="n">
        <v>0</v>
      </c>
      <c r="V609" s="0" t="s">
        <v>230</v>
      </c>
      <c r="W609" s="0" t="s">
        <v>244</v>
      </c>
      <c r="Y609" s="0" t="s">
        <v>253</v>
      </c>
      <c r="Z609" s="0" t="s">
        <v>2657</v>
      </c>
      <c r="AA609" s="0" t="s">
        <v>235</v>
      </c>
      <c r="AB609" s="32" t="n">
        <v>2300</v>
      </c>
      <c r="AC609" s="32" t="n">
        <v>2250</v>
      </c>
      <c r="AD609" s="26" t="n">
        <f aca="false">IFERROR(AB609/B609,"")</f>
        <v>4.07801418439716</v>
      </c>
      <c r="AE609" s="26" t="n">
        <f aca="false">IFERROR(AC609/B609,"")</f>
        <v>3.98936170212766</v>
      </c>
      <c r="AF609" s="0" t="s">
        <v>236</v>
      </c>
      <c r="AG609" s="0" t="s">
        <v>236</v>
      </c>
      <c r="AH609" s="0" t="s">
        <v>236</v>
      </c>
      <c r="AI609" s="0" t="s">
        <v>764</v>
      </c>
      <c r="AJ609" s="0" t="s">
        <v>2883</v>
      </c>
      <c r="AK609" s="0" t="s">
        <v>2884</v>
      </c>
      <c r="AL609" s="0" t="s">
        <v>2885</v>
      </c>
      <c r="AM609" s="0" t="s">
        <v>94</v>
      </c>
      <c r="AN609" s="26" t="n">
        <f aca="false">IFERROR(E609*(1+IF(AM609="Apartment",Data_Summary!$C$3,0)),"")</f>
        <v>4.07801418439716</v>
      </c>
      <c r="AO609" s="4" t="n">
        <v>46195</v>
      </c>
    </row>
    <row r="610" customFormat="false" ht="15" hidden="false" customHeight="false" outlineLevel="0" collapsed="false">
      <c r="A610" s="0" t="n">
        <f aca="false">IF(AND(ISNUMBER(B610),B610&gt;0,ISNUMBER(AB610),AB610&gt;0,J610&gt;=Data_Summary!$C$1),1,0)</f>
        <v>1</v>
      </c>
      <c r="B610" s="30" t="n">
        <v>602</v>
      </c>
      <c r="C610" s="5" t="n">
        <f aca="false">IF(ISNUMBER(AB610),AB610,"")</f>
        <v>2350</v>
      </c>
      <c r="D610" s="0" t="n">
        <f aca="false">IF(ISNUMBER(C610),C610-U610*Data_Summary!$C$2,"")</f>
        <v>2350</v>
      </c>
      <c r="E610" s="31" t="n">
        <f aca="false">IFERROR(C610/B610,"")</f>
        <v>3.90365448504983</v>
      </c>
      <c r="F610" s="26" t="n">
        <f aca="false">IFERROR(D610/B610,"")</f>
        <v>3.90365448504983</v>
      </c>
      <c r="G610" s="0" t="str">
        <f aca="false">Q610</f>
        <v>1</v>
      </c>
      <c r="H610" s="0" t="str">
        <f aca="false">IFERROR(LEFT(G610,1),"")</f>
        <v>1</v>
      </c>
      <c r="I610" s="0" t="n">
        <f aca="false">IF(LEN(G610)&gt;1,1,0)</f>
        <v>0</v>
      </c>
      <c r="J610" s="4" t="n">
        <v>45992</v>
      </c>
      <c r="K610" s="0" t="s">
        <v>13</v>
      </c>
      <c r="L610" s="0" t="s">
        <v>101</v>
      </c>
      <c r="M610" s="0" t="s">
        <v>226</v>
      </c>
      <c r="N610" s="0" t="s">
        <v>103</v>
      </c>
      <c r="O610" s="0" t="s">
        <v>1289</v>
      </c>
      <c r="Q610" s="0" t="s">
        <v>242</v>
      </c>
      <c r="R610" s="0" t="n">
        <v>1</v>
      </c>
      <c r="S610" s="5" t="n">
        <v>602</v>
      </c>
      <c r="T610" s="0" t="s">
        <v>271</v>
      </c>
      <c r="U610" s="0" t="n">
        <v>0</v>
      </c>
      <c r="V610" s="0" t="s">
        <v>230</v>
      </c>
      <c r="W610" s="0" t="s">
        <v>231</v>
      </c>
      <c r="Y610" s="0" t="s">
        <v>278</v>
      </c>
      <c r="Z610" s="0" t="s">
        <v>2657</v>
      </c>
      <c r="AA610" s="0" t="s">
        <v>235</v>
      </c>
      <c r="AB610" s="32" t="n">
        <v>2350</v>
      </c>
      <c r="AC610" s="32" t="n">
        <v>2350</v>
      </c>
      <c r="AD610" s="26" t="n">
        <f aca="false">IFERROR(AB610/B610,"")</f>
        <v>3.90365448504983</v>
      </c>
      <c r="AE610" s="26" t="n">
        <f aca="false">IFERROR(AC610/B610,"")</f>
        <v>3.90365448504983</v>
      </c>
      <c r="AF610" s="0" t="s">
        <v>236</v>
      </c>
      <c r="AG610" s="0" t="s">
        <v>236</v>
      </c>
      <c r="AH610" s="0" t="s">
        <v>236</v>
      </c>
      <c r="AI610" s="0" t="s">
        <v>769</v>
      </c>
      <c r="AJ610" s="0" t="s">
        <v>2886</v>
      </c>
      <c r="AK610" s="0" t="s">
        <v>2887</v>
      </c>
      <c r="AL610" s="0" t="s">
        <v>2888</v>
      </c>
      <c r="AM610" s="0" t="s">
        <v>94</v>
      </c>
      <c r="AN610" s="26" t="n">
        <f aca="false">IFERROR(E610*(1+IF(AM610="Apartment",Data_Summary!$C$3,0)),"")</f>
        <v>3.90365448504983</v>
      </c>
      <c r="AO610" s="4" t="n">
        <v>46195</v>
      </c>
    </row>
    <row r="611" customFormat="false" ht="15" hidden="false" customHeight="false" outlineLevel="0" collapsed="false">
      <c r="A611" s="0" t="n">
        <f aca="false">IF(AND(ISNUMBER(B611),B611&gt;0,ISNUMBER(AB611),AB611&gt;0,J611&gt;=Data_Summary!$C$1),1,0)</f>
        <v>1</v>
      </c>
      <c r="B611" s="30" t="n">
        <v>648</v>
      </c>
      <c r="C611" s="5" t="n">
        <f aca="false">IF(ISNUMBER(AB611),AB611,"")</f>
        <v>2500</v>
      </c>
      <c r="D611" s="0" t="n">
        <f aca="false">IF(ISNUMBER(C611),C611-U611*Data_Summary!$C$2,"")</f>
        <v>2500</v>
      </c>
      <c r="E611" s="31" t="n">
        <f aca="false">IFERROR(C611/B611,"")</f>
        <v>3.85802469135802</v>
      </c>
      <c r="F611" s="26" t="n">
        <f aca="false">IFERROR(D611/B611,"")</f>
        <v>3.85802469135802</v>
      </c>
      <c r="G611" s="0" t="str">
        <f aca="false">Q611</f>
        <v>1+1</v>
      </c>
      <c r="H611" s="0" t="str">
        <f aca="false">IFERROR(LEFT(G611,1),"")</f>
        <v>1</v>
      </c>
      <c r="I611" s="0" t="n">
        <f aca="false">IF(LEN(G611)&gt;1,1,0)</f>
        <v>1</v>
      </c>
      <c r="J611" s="4" t="n">
        <v>45991</v>
      </c>
      <c r="K611" s="0" t="s">
        <v>13</v>
      </c>
      <c r="L611" s="0" t="s">
        <v>101</v>
      </c>
      <c r="M611" s="0" t="s">
        <v>226</v>
      </c>
      <c r="N611" s="0" t="s">
        <v>103</v>
      </c>
      <c r="O611" s="0" t="s">
        <v>750</v>
      </c>
      <c r="Q611" s="0" t="s">
        <v>270</v>
      </c>
      <c r="R611" s="0" t="n">
        <v>1</v>
      </c>
      <c r="S611" s="5" t="n">
        <v>648</v>
      </c>
      <c r="T611" s="0" t="s">
        <v>271</v>
      </c>
      <c r="U611" s="0" t="n">
        <v>0</v>
      </c>
      <c r="V611" s="0" t="s">
        <v>230</v>
      </c>
      <c r="W611" s="0" t="s">
        <v>231</v>
      </c>
      <c r="Y611" s="0" t="s">
        <v>278</v>
      </c>
      <c r="Z611" s="0" t="s">
        <v>2657</v>
      </c>
      <c r="AA611" s="0" t="s">
        <v>235</v>
      </c>
      <c r="AB611" s="32" t="n">
        <v>2500</v>
      </c>
      <c r="AC611" s="32" t="n">
        <v>2500</v>
      </c>
      <c r="AD611" s="26" t="n">
        <f aca="false">IFERROR(AB611/B611,"")</f>
        <v>3.85802469135802</v>
      </c>
      <c r="AE611" s="26" t="n">
        <f aca="false">IFERROR(AC611/B611,"")</f>
        <v>3.85802469135802</v>
      </c>
      <c r="AF611" s="0" t="s">
        <v>236</v>
      </c>
      <c r="AG611" s="0" t="s">
        <v>236</v>
      </c>
      <c r="AH611" s="0" t="s">
        <v>236</v>
      </c>
      <c r="AI611" s="0" t="s">
        <v>2889</v>
      </c>
      <c r="AJ611" s="0" t="s">
        <v>2890</v>
      </c>
      <c r="AK611" s="0" t="s">
        <v>2891</v>
      </c>
      <c r="AL611" s="0" t="s">
        <v>2892</v>
      </c>
      <c r="AM611" s="0" t="s">
        <v>94</v>
      </c>
      <c r="AN611" s="26" t="n">
        <f aca="false">IFERROR(E611*(1+IF(AM611="Apartment",Data_Summary!$C$3,0)),"")</f>
        <v>3.85802469135802</v>
      </c>
      <c r="AO611" s="4" t="n">
        <v>46195</v>
      </c>
    </row>
    <row r="612" customFormat="false" ht="15" hidden="false" customHeight="false" outlineLevel="0" collapsed="false">
      <c r="A612" s="0" t="n">
        <f aca="false">IF(AND(ISNUMBER(B612),B612&gt;0,ISNUMBER(AB612),AB612&gt;0,J612&gt;=Data_Summary!$C$1),1,0)</f>
        <v>1</v>
      </c>
      <c r="B612" s="30" t="n">
        <v>779</v>
      </c>
      <c r="C612" s="5" t="n">
        <f aca="false">IF(ISNUMBER(AB612),AB612,"")</f>
        <v>2800</v>
      </c>
      <c r="D612" s="0" t="n">
        <f aca="false">IF(ISNUMBER(C612),C612-U612*Data_Summary!$C$2,"")</f>
        <v>2800</v>
      </c>
      <c r="E612" s="31" t="n">
        <f aca="false">IFERROR(C612/B612,"")</f>
        <v>3.59435173299101</v>
      </c>
      <c r="F612" s="26" t="n">
        <f aca="false">IFERROR(D612/B612,"")</f>
        <v>3.59435173299101</v>
      </c>
      <c r="G612" s="0" t="str">
        <f aca="false">Q612</f>
        <v>1+1</v>
      </c>
      <c r="H612" s="0" t="str">
        <f aca="false">IFERROR(LEFT(G612,1),"")</f>
        <v>1</v>
      </c>
      <c r="I612" s="0" t="n">
        <f aca="false">IF(LEN(G612)&gt;1,1,0)</f>
        <v>1</v>
      </c>
      <c r="J612" s="4" t="n">
        <v>45981</v>
      </c>
      <c r="K612" s="0" t="s">
        <v>13</v>
      </c>
      <c r="L612" s="0" t="s">
        <v>101</v>
      </c>
      <c r="M612" s="0" t="s">
        <v>226</v>
      </c>
      <c r="N612" s="0" t="s">
        <v>103</v>
      </c>
      <c r="O612" s="0" t="s">
        <v>2677</v>
      </c>
      <c r="Q612" s="0" t="s">
        <v>270</v>
      </c>
      <c r="R612" s="0" t="n">
        <v>2</v>
      </c>
      <c r="S612" s="5" t="n">
        <v>779</v>
      </c>
      <c r="T612" s="0" t="s">
        <v>252</v>
      </c>
      <c r="U612" s="0" t="n">
        <v>0</v>
      </c>
      <c r="V612" s="0" t="s">
        <v>230</v>
      </c>
      <c r="W612" s="0" t="s">
        <v>231</v>
      </c>
      <c r="Y612" s="0" t="s">
        <v>253</v>
      </c>
      <c r="Z612" s="0" t="s">
        <v>2657</v>
      </c>
      <c r="AA612" s="0" t="s">
        <v>235</v>
      </c>
      <c r="AB612" s="32" t="n">
        <v>2800</v>
      </c>
      <c r="AC612" s="32" t="n">
        <v>2800</v>
      </c>
      <c r="AD612" s="26" t="n">
        <f aca="false">IFERROR(AB612/B612,"")</f>
        <v>3.59435173299101</v>
      </c>
      <c r="AE612" s="26" t="n">
        <f aca="false">IFERROR(AC612/B612,"")</f>
        <v>3.59435173299101</v>
      </c>
      <c r="AF612" s="0" t="s">
        <v>236</v>
      </c>
      <c r="AG612" s="0" t="s">
        <v>236</v>
      </c>
      <c r="AH612" s="0" t="s">
        <v>236</v>
      </c>
      <c r="AI612" s="0" t="s">
        <v>1940</v>
      </c>
      <c r="AJ612" s="0" t="s">
        <v>2893</v>
      </c>
      <c r="AK612" s="0" t="s">
        <v>2894</v>
      </c>
      <c r="AL612" s="0" t="s">
        <v>2895</v>
      </c>
      <c r="AM612" s="0" t="s">
        <v>94</v>
      </c>
      <c r="AN612" s="26" t="n">
        <f aca="false">IFERROR(E612*(1+IF(AM612="Apartment",Data_Summary!$C$3,0)),"")</f>
        <v>3.59435173299101</v>
      </c>
      <c r="AO612" s="4" t="n">
        <v>46195</v>
      </c>
    </row>
    <row r="613" customFormat="false" ht="15" hidden="false" customHeight="false" outlineLevel="0" collapsed="false">
      <c r="A613" s="0" t="n">
        <f aca="false">IF(AND(ISNUMBER(B613),B613&gt;0,ISNUMBER(AB613),AB613&gt;0,J613&gt;=Data_Summary!$C$1),1,0)</f>
        <v>1</v>
      </c>
      <c r="B613" s="30" t="n">
        <v>564</v>
      </c>
      <c r="C613" s="5" t="n">
        <f aca="false">IF(ISNUMBER(AB613),AB613,"")</f>
        <v>2250</v>
      </c>
      <c r="D613" s="0" t="n">
        <f aca="false">IF(ISNUMBER(C613),C613-U613*Data_Summary!$C$2,"")</f>
        <v>2250</v>
      </c>
      <c r="E613" s="31" t="n">
        <f aca="false">IFERROR(C613/B613,"")</f>
        <v>3.98936170212766</v>
      </c>
      <c r="F613" s="26" t="n">
        <f aca="false">IFERROR(D613/B613,"")</f>
        <v>3.98936170212766</v>
      </c>
      <c r="G613" s="0" t="str">
        <f aca="false">Q613</f>
        <v>1</v>
      </c>
      <c r="H613" s="0" t="str">
        <f aca="false">IFERROR(LEFT(G613,1),"")</f>
        <v>1</v>
      </c>
      <c r="I613" s="0" t="n">
        <f aca="false">IF(LEN(G613)&gt;1,1,0)</f>
        <v>0</v>
      </c>
      <c r="J613" s="4" t="n">
        <v>45979</v>
      </c>
      <c r="K613" s="0" t="s">
        <v>13</v>
      </c>
      <c r="L613" s="0" t="s">
        <v>101</v>
      </c>
      <c r="M613" s="0" t="s">
        <v>226</v>
      </c>
      <c r="N613" s="0" t="s">
        <v>103</v>
      </c>
      <c r="O613" s="0" t="s">
        <v>1322</v>
      </c>
      <c r="Q613" s="0" t="s">
        <v>242</v>
      </c>
      <c r="R613" s="0" t="n">
        <v>1</v>
      </c>
      <c r="S613" s="5" t="n">
        <v>564</v>
      </c>
      <c r="T613" s="0" t="s">
        <v>243</v>
      </c>
      <c r="U613" s="0" t="n">
        <v>0</v>
      </c>
      <c r="V613" s="0" t="s">
        <v>230</v>
      </c>
      <c r="W613" s="0" t="s">
        <v>244</v>
      </c>
      <c r="Y613" s="0" t="s">
        <v>253</v>
      </c>
      <c r="Z613" s="0" t="s">
        <v>2657</v>
      </c>
      <c r="AA613" s="0" t="s">
        <v>235</v>
      </c>
      <c r="AB613" s="32" t="n">
        <v>2250</v>
      </c>
      <c r="AC613" s="32" t="n">
        <v>2250</v>
      </c>
      <c r="AD613" s="26" t="n">
        <f aca="false">IFERROR(AB613/B613,"")</f>
        <v>3.98936170212766</v>
      </c>
      <c r="AE613" s="26" t="n">
        <f aca="false">IFERROR(AC613/B613,"")</f>
        <v>3.98936170212766</v>
      </c>
      <c r="AF613" s="0" t="s">
        <v>236</v>
      </c>
      <c r="AG613" s="0" t="s">
        <v>236</v>
      </c>
      <c r="AH613" s="0" t="s">
        <v>236</v>
      </c>
      <c r="AI613" s="0" t="s">
        <v>2896</v>
      </c>
      <c r="AJ613" s="0" t="s">
        <v>2897</v>
      </c>
      <c r="AK613" s="0" t="s">
        <v>2898</v>
      </c>
      <c r="AL613" s="0" t="s">
        <v>2899</v>
      </c>
      <c r="AM613" s="0" t="s">
        <v>94</v>
      </c>
      <c r="AN613" s="26" t="n">
        <f aca="false">IFERROR(E613*(1+IF(AM613="Apartment",Data_Summary!$C$3,0)),"")</f>
        <v>3.98936170212766</v>
      </c>
      <c r="AO613" s="4" t="n">
        <v>46195</v>
      </c>
    </row>
    <row r="614" customFormat="false" ht="15" hidden="false" customHeight="false" outlineLevel="0" collapsed="false">
      <c r="A614" s="0" t="n">
        <f aca="false">IF(AND(ISNUMBER(B614),B614&gt;0,ISNUMBER(AB614),AB614&gt;0,J614&gt;=Data_Summary!$C$1),1,0)</f>
        <v>1</v>
      </c>
      <c r="B614" s="30" t="n">
        <v>582</v>
      </c>
      <c r="C614" s="5" t="n">
        <f aca="false">IF(ISNUMBER(AB614),AB614,"")</f>
        <v>2450</v>
      </c>
      <c r="D614" s="0" t="n">
        <f aca="false">IF(ISNUMBER(C614),C614-U614*Data_Summary!$C$2,"")</f>
        <v>2450</v>
      </c>
      <c r="E614" s="31" t="n">
        <f aca="false">IFERROR(C614/B614,"")</f>
        <v>4.20962199312715</v>
      </c>
      <c r="F614" s="26" t="n">
        <f aca="false">IFERROR(D614/B614,"")</f>
        <v>4.20962199312715</v>
      </c>
      <c r="G614" s="0" t="str">
        <f aca="false">Q614</f>
        <v>1</v>
      </c>
      <c r="H614" s="0" t="str">
        <f aca="false">IFERROR(LEFT(G614,1),"")</f>
        <v>1</v>
      </c>
      <c r="I614" s="0" t="n">
        <f aca="false">IF(LEN(G614)&gt;1,1,0)</f>
        <v>0</v>
      </c>
      <c r="J614" s="4" t="n">
        <v>45973</v>
      </c>
      <c r="K614" s="0" t="s">
        <v>13</v>
      </c>
      <c r="L614" s="0" t="s">
        <v>101</v>
      </c>
      <c r="M614" s="0" t="s">
        <v>226</v>
      </c>
      <c r="N614" s="0" t="s">
        <v>103</v>
      </c>
      <c r="O614" s="0" t="s">
        <v>2900</v>
      </c>
      <c r="Q614" s="0" t="s">
        <v>242</v>
      </c>
      <c r="R614" s="0" t="n">
        <v>1</v>
      </c>
      <c r="S614" s="5" t="n">
        <v>582</v>
      </c>
      <c r="T614" s="0" t="s">
        <v>243</v>
      </c>
      <c r="U614" s="0" t="n">
        <v>0</v>
      </c>
      <c r="V614" s="0" t="s">
        <v>230</v>
      </c>
      <c r="W614" s="0" t="s">
        <v>244</v>
      </c>
      <c r="Y614" s="0" t="s">
        <v>253</v>
      </c>
      <c r="Z614" s="0" t="s">
        <v>2657</v>
      </c>
      <c r="AA614" s="0" t="s">
        <v>235</v>
      </c>
      <c r="AB614" s="32" t="n">
        <v>2450</v>
      </c>
      <c r="AC614" s="32" t="n">
        <v>2450</v>
      </c>
      <c r="AD614" s="26" t="n">
        <f aca="false">IFERROR(AB614/B614,"")</f>
        <v>4.20962199312715</v>
      </c>
      <c r="AE614" s="26" t="n">
        <f aca="false">IFERROR(AC614/B614,"")</f>
        <v>4.20962199312715</v>
      </c>
      <c r="AF614" s="0" t="s">
        <v>236</v>
      </c>
      <c r="AG614" s="0" t="s">
        <v>236</v>
      </c>
      <c r="AH614" s="0" t="s">
        <v>236</v>
      </c>
      <c r="AI614" s="0" t="s">
        <v>1950</v>
      </c>
      <c r="AJ614" s="0" t="s">
        <v>2901</v>
      </c>
      <c r="AK614" s="0" t="s">
        <v>2902</v>
      </c>
      <c r="AL614" s="0" t="s">
        <v>2903</v>
      </c>
      <c r="AM614" s="0" t="s">
        <v>94</v>
      </c>
      <c r="AN614" s="26" t="n">
        <f aca="false">IFERROR(E614*(1+IF(AM614="Apartment",Data_Summary!$C$3,0)),"")</f>
        <v>4.20962199312715</v>
      </c>
      <c r="AO614" s="4" t="n">
        <v>46195</v>
      </c>
    </row>
    <row r="615" customFormat="false" ht="15" hidden="false" customHeight="false" outlineLevel="0" collapsed="false">
      <c r="A615" s="0" t="n">
        <f aca="false">IF(AND(ISNUMBER(B615),B615&gt;0,ISNUMBER(AB615),AB615&gt;0,J615&gt;=Data_Summary!$C$1),1,0)</f>
        <v>1</v>
      </c>
      <c r="B615" s="30" t="n">
        <v>648</v>
      </c>
      <c r="C615" s="5" t="n">
        <f aca="false">IF(ISNUMBER(AB615),AB615,"")</f>
        <v>2500</v>
      </c>
      <c r="D615" s="0" t="n">
        <f aca="false">IF(ISNUMBER(C615),C615-U615*Data_Summary!$C$2,"")</f>
        <v>2500</v>
      </c>
      <c r="E615" s="31" t="n">
        <f aca="false">IFERROR(C615/B615,"")</f>
        <v>3.85802469135802</v>
      </c>
      <c r="F615" s="26" t="n">
        <f aca="false">IFERROR(D615/B615,"")</f>
        <v>3.85802469135802</v>
      </c>
      <c r="G615" s="0" t="str">
        <f aca="false">Q615</f>
        <v>1+1</v>
      </c>
      <c r="H615" s="0" t="str">
        <f aca="false">IFERROR(LEFT(G615,1),"")</f>
        <v>1</v>
      </c>
      <c r="I615" s="0" t="n">
        <f aca="false">IF(LEN(G615)&gt;1,1,0)</f>
        <v>1</v>
      </c>
      <c r="J615" s="4" t="n">
        <v>45958</v>
      </c>
      <c r="K615" s="0" t="s">
        <v>13</v>
      </c>
      <c r="L615" s="0" t="s">
        <v>101</v>
      </c>
      <c r="M615" s="0" t="s">
        <v>226</v>
      </c>
      <c r="N615" s="0" t="s">
        <v>103</v>
      </c>
      <c r="O615" s="0" t="s">
        <v>2904</v>
      </c>
      <c r="Q615" s="0" t="s">
        <v>270</v>
      </c>
      <c r="R615" s="0" t="n">
        <v>1</v>
      </c>
      <c r="S615" s="5" t="n">
        <v>648</v>
      </c>
      <c r="T615" s="0" t="s">
        <v>271</v>
      </c>
      <c r="U615" s="0" t="n">
        <v>0</v>
      </c>
      <c r="V615" s="0" t="s">
        <v>230</v>
      </c>
      <c r="W615" s="0" t="s">
        <v>231</v>
      </c>
      <c r="Y615" s="0" t="s">
        <v>278</v>
      </c>
      <c r="Z615" s="0" t="s">
        <v>2657</v>
      </c>
      <c r="AA615" s="0" t="s">
        <v>235</v>
      </c>
      <c r="AB615" s="32" t="n">
        <v>2500</v>
      </c>
      <c r="AC615" s="32" t="n">
        <v>2500</v>
      </c>
      <c r="AD615" s="26" t="n">
        <f aca="false">IFERROR(AB615/B615,"")</f>
        <v>3.85802469135802</v>
      </c>
      <c r="AE615" s="26" t="n">
        <f aca="false">IFERROR(AC615/B615,"")</f>
        <v>3.85802469135802</v>
      </c>
      <c r="AF615" s="0" t="s">
        <v>236</v>
      </c>
      <c r="AG615" s="0" t="s">
        <v>236</v>
      </c>
      <c r="AH615" s="0" t="s">
        <v>236</v>
      </c>
      <c r="AI615" s="0" t="s">
        <v>818</v>
      </c>
      <c r="AJ615" s="0" t="s">
        <v>2905</v>
      </c>
      <c r="AK615" s="0" t="s">
        <v>2906</v>
      </c>
      <c r="AL615" s="0" t="s">
        <v>2907</v>
      </c>
      <c r="AM615" s="0" t="s">
        <v>94</v>
      </c>
      <c r="AN615" s="26" t="n">
        <f aca="false">IFERROR(E615*(1+IF(AM615="Apartment",Data_Summary!$C$3,0)),"")</f>
        <v>3.85802469135802</v>
      </c>
      <c r="AO615" s="4" t="n">
        <v>46195</v>
      </c>
    </row>
    <row r="616" customFormat="false" ht="15" hidden="false" customHeight="false" outlineLevel="0" collapsed="false">
      <c r="A616" s="0" t="n">
        <f aca="false">IF(AND(ISNUMBER(B616),B616&gt;0,ISNUMBER(AB616),AB616&gt;0,J616&gt;=Data_Summary!$C$1),1,0)</f>
        <v>1</v>
      </c>
      <c r="B616" s="30" t="n">
        <v>602</v>
      </c>
      <c r="C616" s="5" t="n">
        <f aca="false">IF(ISNUMBER(AB616),AB616,"")</f>
        <v>2400</v>
      </c>
      <c r="D616" s="0" t="n">
        <f aca="false">IF(ISNUMBER(C616),C616-U616*Data_Summary!$C$2,"")</f>
        <v>2400</v>
      </c>
      <c r="E616" s="31" t="n">
        <f aca="false">IFERROR(C616/B616,"")</f>
        <v>3.98671096345515</v>
      </c>
      <c r="F616" s="26" t="n">
        <f aca="false">IFERROR(D616/B616,"")</f>
        <v>3.98671096345515</v>
      </c>
      <c r="G616" s="0" t="str">
        <f aca="false">Q616</f>
        <v>1</v>
      </c>
      <c r="H616" s="0" t="str">
        <f aca="false">IFERROR(LEFT(G616,1),"")</f>
        <v>1</v>
      </c>
      <c r="I616" s="0" t="n">
        <f aca="false">IF(LEN(G616)&gt;1,1,0)</f>
        <v>0</v>
      </c>
      <c r="J616" s="4" t="n">
        <v>45957</v>
      </c>
      <c r="K616" s="0" t="s">
        <v>13</v>
      </c>
      <c r="L616" s="0" t="s">
        <v>101</v>
      </c>
      <c r="M616" s="0" t="s">
        <v>226</v>
      </c>
      <c r="N616" s="0" t="s">
        <v>103</v>
      </c>
      <c r="O616" s="0" t="s">
        <v>2908</v>
      </c>
      <c r="Q616" s="0" t="s">
        <v>242</v>
      </c>
      <c r="R616" s="0" t="n">
        <v>1</v>
      </c>
      <c r="S616" s="5" t="n">
        <v>602</v>
      </c>
      <c r="T616" s="0" t="s">
        <v>271</v>
      </c>
      <c r="U616" s="0" t="n">
        <v>0</v>
      </c>
      <c r="V616" s="0" t="s">
        <v>230</v>
      </c>
      <c r="W616" s="0" t="s">
        <v>244</v>
      </c>
      <c r="Y616" s="0" t="s">
        <v>278</v>
      </c>
      <c r="Z616" s="0" t="s">
        <v>2657</v>
      </c>
      <c r="AA616" s="0" t="s">
        <v>235</v>
      </c>
      <c r="AB616" s="32" t="n">
        <v>2400</v>
      </c>
      <c r="AC616" s="32" t="n">
        <v>2300</v>
      </c>
      <c r="AD616" s="26" t="n">
        <f aca="false">IFERROR(AB616/B616,"")</f>
        <v>3.98671096345515</v>
      </c>
      <c r="AE616" s="26" t="n">
        <f aca="false">IFERROR(AC616/B616,"")</f>
        <v>3.82059800664452</v>
      </c>
      <c r="AF616" s="0" t="s">
        <v>236</v>
      </c>
      <c r="AG616" s="0" t="s">
        <v>236</v>
      </c>
      <c r="AH616" s="0" t="s">
        <v>236</v>
      </c>
      <c r="AI616" s="0" t="s">
        <v>823</v>
      </c>
      <c r="AJ616" s="0" t="s">
        <v>2909</v>
      </c>
      <c r="AK616" s="0" t="s">
        <v>2910</v>
      </c>
      <c r="AL616" s="0" t="s">
        <v>2911</v>
      </c>
      <c r="AM616" s="0" t="s">
        <v>94</v>
      </c>
      <c r="AN616" s="26" t="n">
        <f aca="false">IFERROR(E616*(1+IF(AM616="Apartment",Data_Summary!$C$3,0)),"")</f>
        <v>3.98671096345515</v>
      </c>
      <c r="AO616" s="4" t="n">
        <v>46195</v>
      </c>
    </row>
    <row r="617" customFormat="false" ht="15" hidden="false" customHeight="false" outlineLevel="0" collapsed="false">
      <c r="A617" s="0" t="n">
        <f aca="false">IF(AND(ISNUMBER(B617),B617&gt;0,ISNUMBER(AB617),AB617&gt;0,J617&gt;=Data_Summary!$C$1),1,0)</f>
        <v>1</v>
      </c>
      <c r="B617" s="30" t="n">
        <v>698</v>
      </c>
      <c r="C617" s="5" t="n">
        <f aca="false">IF(ISNUMBER(AB617),AB617,"")</f>
        <v>2700</v>
      </c>
      <c r="D617" s="0" t="n">
        <f aca="false">IF(ISNUMBER(C617),C617-U617*Data_Summary!$C$2,"")</f>
        <v>2700</v>
      </c>
      <c r="E617" s="31" t="n">
        <f aca="false">IFERROR(C617/B617,"")</f>
        <v>3.86819484240688</v>
      </c>
      <c r="F617" s="26" t="n">
        <f aca="false">IFERROR(D617/B617,"")</f>
        <v>3.86819484240688</v>
      </c>
      <c r="G617" s="0" t="str">
        <f aca="false">Q617</f>
        <v>1+1</v>
      </c>
      <c r="H617" s="0" t="str">
        <f aca="false">IFERROR(LEFT(G617,1),"")</f>
        <v>1</v>
      </c>
      <c r="I617" s="0" t="n">
        <f aca="false">IF(LEN(G617)&gt;1,1,0)</f>
        <v>1</v>
      </c>
      <c r="J617" s="4" t="n">
        <v>45954</v>
      </c>
      <c r="K617" s="0" t="s">
        <v>13</v>
      </c>
      <c r="L617" s="0" t="s">
        <v>101</v>
      </c>
      <c r="M617" s="0" t="s">
        <v>226</v>
      </c>
      <c r="N617" s="0" t="s">
        <v>103</v>
      </c>
      <c r="O617" s="0" t="s">
        <v>431</v>
      </c>
      <c r="Q617" s="0" t="s">
        <v>270</v>
      </c>
      <c r="R617" s="0" t="n">
        <v>2</v>
      </c>
      <c r="S617" s="5" t="n">
        <v>698</v>
      </c>
      <c r="T617" s="0" t="s">
        <v>271</v>
      </c>
      <c r="U617" s="0" t="n">
        <v>0</v>
      </c>
      <c r="V617" s="0" t="s">
        <v>230</v>
      </c>
      <c r="W617" s="0" t="s">
        <v>244</v>
      </c>
      <c r="Y617" s="0" t="s">
        <v>278</v>
      </c>
      <c r="Z617" s="0" t="s">
        <v>2657</v>
      </c>
      <c r="AA617" s="0" t="s">
        <v>235</v>
      </c>
      <c r="AB617" s="32" t="n">
        <v>2700</v>
      </c>
      <c r="AC617" s="32" t="n">
        <v>2700</v>
      </c>
      <c r="AD617" s="26" t="n">
        <f aca="false">IFERROR(AB617/B617,"")</f>
        <v>3.86819484240688</v>
      </c>
      <c r="AE617" s="26" t="n">
        <f aca="false">IFERROR(AC617/B617,"")</f>
        <v>3.86819484240688</v>
      </c>
      <c r="AF617" s="0" t="s">
        <v>236</v>
      </c>
      <c r="AG617" s="0" t="s">
        <v>236</v>
      </c>
      <c r="AH617" s="0" t="s">
        <v>230</v>
      </c>
      <c r="AI617" s="0" t="s">
        <v>2912</v>
      </c>
      <c r="AJ617" s="0" t="s">
        <v>2913</v>
      </c>
      <c r="AK617" s="0" t="s">
        <v>2914</v>
      </c>
      <c r="AL617" s="0" t="s">
        <v>2915</v>
      </c>
      <c r="AM617" s="0" t="s">
        <v>94</v>
      </c>
      <c r="AN617" s="26" t="n">
        <f aca="false">IFERROR(E617*(1+IF(AM617="Apartment",Data_Summary!$C$3,0)),"")</f>
        <v>3.86819484240688</v>
      </c>
      <c r="AO617" s="4" t="n">
        <v>46195</v>
      </c>
    </row>
    <row r="618" customFormat="false" ht="15" hidden="false" customHeight="false" outlineLevel="0" collapsed="false">
      <c r="A618" s="0" t="n">
        <f aca="false">IF(AND(ISNUMBER(B618),B618&gt;0,ISNUMBER(AB618),AB618&gt;0,J618&gt;=Data_Summary!$C$1),1,0)</f>
        <v>1</v>
      </c>
      <c r="B618" s="30" t="n">
        <v>1305</v>
      </c>
      <c r="C618" s="5" t="n">
        <f aca="false">IF(ISNUMBER(AB618),AB618,"")</f>
        <v>5950</v>
      </c>
      <c r="D618" s="0" t="n">
        <f aca="false">IF(ISNUMBER(C618),C618-U618*Data_Summary!$C$2,"")</f>
        <v>5800</v>
      </c>
      <c r="E618" s="31" t="n">
        <f aca="false">IFERROR(C618/B618,"")</f>
        <v>4.55938697318008</v>
      </c>
      <c r="F618" s="26" t="n">
        <f aca="false">IFERROR(D618/B618,"")</f>
        <v>4.44444444444445</v>
      </c>
      <c r="G618" s="0" t="str">
        <f aca="false">Q618</f>
        <v>3</v>
      </c>
      <c r="H618" s="0" t="str">
        <f aca="false">IFERROR(LEFT(G618,1),"")</f>
        <v>3</v>
      </c>
      <c r="I618" s="0" t="n">
        <f aca="false">IF(LEN(G618)&gt;1,1,0)</f>
        <v>0</v>
      </c>
      <c r="J618" s="4" t="n">
        <v>45947</v>
      </c>
      <c r="K618" s="0" t="s">
        <v>13</v>
      </c>
      <c r="L618" s="0" t="s">
        <v>101</v>
      </c>
      <c r="M618" s="0" t="s">
        <v>226</v>
      </c>
      <c r="N618" s="0" t="s">
        <v>103</v>
      </c>
      <c r="O618" s="0" t="s">
        <v>1152</v>
      </c>
      <c r="Q618" s="0" t="s">
        <v>228</v>
      </c>
      <c r="R618" s="0" t="n">
        <v>3</v>
      </c>
      <c r="S618" s="5" t="n">
        <v>1305</v>
      </c>
      <c r="T618" s="0" t="s">
        <v>467</v>
      </c>
      <c r="U618" s="0" t="n">
        <v>1</v>
      </c>
      <c r="V618" s="0" t="s">
        <v>230</v>
      </c>
      <c r="W618" s="0" t="s">
        <v>231</v>
      </c>
      <c r="X618" s="0" t="s">
        <v>232</v>
      </c>
      <c r="Y618" s="0" t="s">
        <v>297</v>
      </c>
      <c r="Z618" s="0" t="s">
        <v>2657</v>
      </c>
      <c r="AA618" s="0" t="s">
        <v>235</v>
      </c>
      <c r="AB618" s="32" t="n">
        <v>5950</v>
      </c>
      <c r="AC618" s="32" t="n">
        <v>5950</v>
      </c>
      <c r="AD618" s="26" t="n">
        <f aca="false">IFERROR(AB618/B618,"")</f>
        <v>4.55938697318008</v>
      </c>
      <c r="AE618" s="26" t="n">
        <f aca="false">IFERROR(AC618/B618,"")</f>
        <v>4.55938697318008</v>
      </c>
      <c r="AF618" s="0" t="s">
        <v>236</v>
      </c>
      <c r="AG618" s="0" t="s">
        <v>236</v>
      </c>
      <c r="AH618" s="0" t="s">
        <v>236</v>
      </c>
      <c r="AI618" s="0" t="s">
        <v>2916</v>
      </c>
      <c r="AJ618" s="0" t="s">
        <v>2917</v>
      </c>
      <c r="AK618" s="0" t="s">
        <v>2918</v>
      </c>
      <c r="AL618" s="0" t="s">
        <v>2919</v>
      </c>
      <c r="AM618" s="0" t="s">
        <v>94</v>
      </c>
      <c r="AN618" s="26" t="n">
        <f aca="false">IFERROR(E618*(1+IF(AM618="Apartment",Data_Summary!$C$3,0)),"")</f>
        <v>4.55938697318008</v>
      </c>
      <c r="AO618" s="4" t="n">
        <v>46195</v>
      </c>
    </row>
    <row r="619" customFormat="false" ht="15" hidden="false" customHeight="false" outlineLevel="0" collapsed="false">
      <c r="A619" s="0" t="n">
        <f aca="false">IF(AND(ISNUMBER(B619),B619&gt;0,ISNUMBER(AB619),AB619&gt;0,J619&gt;=Data_Summary!$C$1),1,0)</f>
        <v>1</v>
      </c>
      <c r="B619" s="33" t="n">
        <v>575</v>
      </c>
      <c r="C619" s="5" t="n">
        <f aca="false">IF(ISNUMBER(AB619),AB619,"")</f>
        <v>2800</v>
      </c>
      <c r="D619" s="0" t="n">
        <f aca="false">IF(ISNUMBER(C619),C619-U619*Data_Summary!$C$2,"")</f>
        <v>2650</v>
      </c>
      <c r="E619" s="34" t="n">
        <f aca="false">IFERROR(C619/B619,"")</f>
        <v>4.86956521739131</v>
      </c>
      <c r="F619" s="26" t="n">
        <f aca="false">IFERROR(D619/B619,"")</f>
        <v>4.60869565217391</v>
      </c>
      <c r="G619" s="0" t="str">
        <f aca="false">Q619</f>
        <v>1</v>
      </c>
      <c r="H619" s="0" t="str">
        <f aca="false">IFERROR(LEFT(G619,1),"")</f>
        <v>1</v>
      </c>
      <c r="I619" s="0" t="n">
        <f aca="false">IF(LEN(G619)&gt;1,1,0)</f>
        <v>0</v>
      </c>
      <c r="J619" s="4" t="n">
        <v>45946</v>
      </c>
      <c r="K619" s="0" t="s">
        <v>13</v>
      </c>
      <c r="L619" s="0" t="s">
        <v>101</v>
      </c>
      <c r="M619" s="0" t="s">
        <v>226</v>
      </c>
      <c r="N619" s="0" t="s">
        <v>103</v>
      </c>
      <c r="O619" s="0" t="s">
        <v>2920</v>
      </c>
      <c r="Q619" s="0" t="s">
        <v>242</v>
      </c>
      <c r="R619" s="0" t="n">
        <v>1</v>
      </c>
      <c r="S619" s="5" t="n">
        <v>575</v>
      </c>
      <c r="T619" s="0" t="s">
        <v>243</v>
      </c>
      <c r="U619" s="0" t="n">
        <v>1</v>
      </c>
      <c r="V619" s="0" t="s">
        <v>230</v>
      </c>
      <c r="W619" s="0" t="s">
        <v>231</v>
      </c>
      <c r="Y619" s="0" t="s">
        <v>278</v>
      </c>
      <c r="Z619" s="0" t="s">
        <v>2657</v>
      </c>
      <c r="AA619" s="0" t="s">
        <v>235</v>
      </c>
      <c r="AB619" s="32" t="n">
        <v>2800</v>
      </c>
      <c r="AC619" s="32" t="n">
        <v>2900</v>
      </c>
      <c r="AD619" s="26" t="n">
        <f aca="false">IFERROR(AB619/B619,"")</f>
        <v>4.86956521739131</v>
      </c>
      <c r="AE619" s="26" t="n">
        <f aca="false">IFERROR(AC619/B619,"")</f>
        <v>5.04347826086957</v>
      </c>
      <c r="AF619" s="0" t="s">
        <v>230</v>
      </c>
      <c r="AG619" s="0" t="s">
        <v>236</v>
      </c>
      <c r="AH619" s="0" t="s">
        <v>236</v>
      </c>
      <c r="AI619" s="0" t="s">
        <v>1978</v>
      </c>
      <c r="AJ619" s="0" t="s">
        <v>2921</v>
      </c>
      <c r="AK619" s="0" t="s">
        <v>2922</v>
      </c>
      <c r="AL619" s="0" t="s">
        <v>2923</v>
      </c>
      <c r="AM619" s="0" t="s">
        <v>94</v>
      </c>
      <c r="AN619" s="26" t="n">
        <f aca="false">IFERROR(E619*(1+IF(AM619="Apartment",Data_Summary!$C$3,0)),"")</f>
        <v>4.86956521739131</v>
      </c>
      <c r="AO619" s="4" t="n">
        <v>46195</v>
      </c>
    </row>
    <row r="620" customFormat="false" ht="15" hidden="false" customHeight="false" outlineLevel="0" collapsed="false">
      <c r="A620" s="0" t="n">
        <f aca="false">IF(AND(ISNUMBER(B620),B620&gt;0,ISNUMBER(AB620),AB620&gt;0,J620&gt;=Data_Summary!$C$1),1,0)</f>
        <v>1</v>
      </c>
      <c r="B620" s="30" t="n">
        <v>625</v>
      </c>
      <c r="C620" s="5" t="n">
        <f aca="false">IF(ISNUMBER(AB620),AB620,"")</f>
        <v>2450</v>
      </c>
      <c r="D620" s="0" t="n">
        <f aca="false">IF(ISNUMBER(C620),C620-U620*Data_Summary!$C$2,"")</f>
        <v>2450</v>
      </c>
      <c r="E620" s="31" t="n">
        <f aca="false">IFERROR(C620/B620,"")</f>
        <v>3.92</v>
      </c>
      <c r="F620" s="26" t="n">
        <f aca="false">IFERROR(D620/B620,"")</f>
        <v>3.92</v>
      </c>
      <c r="G620" s="0" t="str">
        <f aca="false">Q620</f>
        <v>1</v>
      </c>
      <c r="H620" s="0" t="str">
        <f aca="false">IFERROR(LEFT(G620,1),"")</f>
        <v>1</v>
      </c>
      <c r="I620" s="0" t="n">
        <f aca="false">IF(LEN(G620)&gt;1,1,0)</f>
        <v>0</v>
      </c>
      <c r="J620" s="4" t="n">
        <v>45933</v>
      </c>
      <c r="K620" s="0" t="s">
        <v>13</v>
      </c>
      <c r="L620" s="0" t="s">
        <v>101</v>
      </c>
      <c r="M620" s="0" t="s">
        <v>226</v>
      </c>
      <c r="N620" s="0" t="s">
        <v>103</v>
      </c>
      <c r="O620" s="0" t="s">
        <v>2924</v>
      </c>
      <c r="Q620" s="0" t="s">
        <v>242</v>
      </c>
      <c r="R620" s="0" t="n">
        <v>1</v>
      </c>
      <c r="S620" s="5" t="n">
        <v>625</v>
      </c>
      <c r="T620" s="0" t="s">
        <v>271</v>
      </c>
      <c r="U620" s="0" t="n">
        <v>0</v>
      </c>
      <c r="V620" s="0" t="s">
        <v>230</v>
      </c>
      <c r="W620" s="0" t="s">
        <v>244</v>
      </c>
      <c r="X620" s="0" t="s">
        <v>232</v>
      </c>
      <c r="Y620" s="0" t="s">
        <v>245</v>
      </c>
      <c r="Z620" s="0" t="s">
        <v>2657</v>
      </c>
      <c r="AA620" s="0" t="s">
        <v>235</v>
      </c>
      <c r="AB620" s="32" t="n">
        <v>2450</v>
      </c>
      <c r="AC620" s="32" t="n">
        <v>2200</v>
      </c>
      <c r="AD620" s="26" t="n">
        <f aca="false">IFERROR(AB620/B620,"")</f>
        <v>3.92</v>
      </c>
      <c r="AE620" s="26" t="n">
        <f aca="false">IFERROR(AC620/B620,"")</f>
        <v>3.52</v>
      </c>
      <c r="AF620" s="0" t="s">
        <v>236</v>
      </c>
      <c r="AG620" s="0" t="s">
        <v>236</v>
      </c>
      <c r="AH620" s="0" t="s">
        <v>236</v>
      </c>
      <c r="AI620" s="0" t="s">
        <v>2925</v>
      </c>
      <c r="AJ620" s="0" t="s">
        <v>2926</v>
      </c>
      <c r="AK620" s="0" t="s">
        <v>2927</v>
      </c>
      <c r="AL620" s="0" t="s">
        <v>2928</v>
      </c>
      <c r="AM620" s="0" t="s">
        <v>94</v>
      </c>
      <c r="AN620" s="26" t="n">
        <f aca="false">IFERROR(E620*(1+IF(AM620="Apartment",Data_Summary!$C$3,0)),"")</f>
        <v>3.92</v>
      </c>
      <c r="AO620" s="4" t="n">
        <v>46195</v>
      </c>
    </row>
    <row r="621" customFormat="false" ht="15" hidden="false" customHeight="false" outlineLevel="0" collapsed="false">
      <c r="A621" s="0" t="n">
        <f aca="false">IF(AND(ISNUMBER(B621),B621&gt;0,ISNUMBER(AB621),AB621&gt;0,J621&gt;=Data_Summary!$C$1),1,0)</f>
        <v>1</v>
      </c>
      <c r="B621" s="30" t="n">
        <v>564</v>
      </c>
      <c r="C621" s="5" t="n">
        <f aca="false">IF(ISNUMBER(AB621),AB621,"")</f>
        <v>2195</v>
      </c>
      <c r="D621" s="0" t="n">
        <f aca="false">IF(ISNUMBER(C621),C621-U621*Data_Summary!$C$2,"")</f>
        <v>2195</v>
      </c>
      <c r="E621" s="31" t="n">
        <f aca="false">IFERROR(C621/B621,"")</f>
        <v>3.89184397163121</v>
      </c>
      <c r="F621" s="26" t="n">
        <f aca="false">IFERROR(D621/B621,"")</f>
        <v>3.89184397163121</v>
      </c>
      <c r="G621" s="0" t="str">
        <f aca="false">Q621</f>
        <v>1</v>
      </c>
      <c r="H621" s="0" t="str">
        <f aca="false">IFERROR(LEFT(G621,1),"")</f>
        <v>1</v>
      </c>
      <c r="I621" s="0" t="n">
        <f aca="false">IF(LEN(G621)&gt;1,1,0)</f>
        <v>0</v>
      </c>
      <c r="J621" s="4" t="n">
        <v>45932</v>
      </c>
      <c r="K621" s="0" t="s">
        <v>13</v>
      </c>
      <c r="L621" s="0" t="s">
        <v>101</v>
      </c>
      <c r="M621" s="0" t="s">
        <v>226</v>
      </c>
      <c r="N621" s="0" t="s">
        <v>103</v>
      </c>
      <c r="O621" s="0" t="s">
        <v>2929</v>
      </c>
      <c r="Q621" s="0" t="s">
        <v>242</v>
      </c>
      <c r="R621" s="0" t="n">
        <v>1</v>
      </c>
      <c r="S621" s="5" t="n">
        <v>564</v>
      </c>
      <c r="T621" s="0" t="s">
        <v>243</v>
      </c>
      <c r="U621" s="0" t="n">
        <v>0</v>
      </c>
      <c r="V621" s="0" t="s">
        <v>230</v>
      </c>
      <c r="W621" s="0" t="s">
        <v>244</v>
      </c>
      <c r="Y621" s="0" t="s">
        <v>308</v>
      </c>
      <c r="Z621" s="0" t="s">
        <v>2657</v>
      </c>
      <c r="AA621" s="0" t="s">
        <v>235</v>
      </c>
      <c r="AB621" s="32" t="n">
        <v>2195</v>
      </c>
      <c r="AC621" s="32" t="n">
        <v>2195</v>
      </c>
      <c r="AD621" s="26" t="n">
        <f aca="false">IFERROR(AB621/B621,"")</f>
        <v>3.89184397163121</v>
      </c>
      <c r="AE621" s="26" t="n">
        <f aca="false">IFERROR(AC621/B621,"")</f>
        <v>3.89184397163121</v>
      </c>
      <c r="AF621" s="0" t="s">
        <v>236</v>
      </c>
      <c r="AG621" s="0" t="s">
        <v>236</v>
      </c>
      <c r="AH621" s="0" t="s">
        <v>236</v>
      </c>
      <c r="AI621" s="0" t="s">
        <v>2930</v>
      </c>
      <c r="AJ621" s="0" t="s">
        <v>2931</v>
      </c>
      <c r="AK621" s="0" t="s">
        <v>2932</v>
      </c>
      <c r="AL621" s="0" t="s">
        <v>2933</v>
      </c>
      <c r="AM621" s="0" t="s">
        <v>94</v>
      </c>
      <c r="AN621" s="26" t="n">
        <f aca="false">IFERROR(E621*(1+IF(AM621="Apartment",Data_Summary!$C$3,0)),"")</f>
        <v>3.89184397163121</v>
      </c>
      <c r="AO621" s="4" t="n">
        <v>46195</v>
      </c>
    </row>
    <row r="622" customFormat="false" ht="15" hidden="false" customHeight="false" outlineLevel="0" collapsed="false">
      <c r="A622" s="0" t="n">
        <f aca="false">IF(AND(ISNUMBER(B622),B622&gt;0,ISNUMBER(AB622),AB622&gt;0,J622&gt;=Data_Summary!$C$1),1,0)</f>
        <v>1</v>
      </c>
      <c r="B622" s="30" t="n">
        <v>2551</v>
      </c>
      <c r="C622" s="5" t="n">
        <f aca="false">IF(ISNUMBER(AB622),AB622,"")</f>
        <v>13000</v>
      </c>
      <c r="D622" s="0" t="n">
        <f aca="false">IF(ISNUMBER(C622),C622-U622*Data_Summary!$C$2,"")</f>
        <v>12700</v>
      </c>
      <c r="E622" s="31" t="n">
        <f aca="false">IFERROR(C622/B622,"")</f>
        <v>5.09604076832615</v>
      </c>
      <c r="F622" s="26" t="n">
        <f aca="false">IFERROR(D622/B622,"")</f>
        <v>4.97843982751862</v>
      </c>
      <c r="G622" s="0" t="str">
        <f aca="false">Q622</f>
        <v>3+1</v>
      </c>
      <c r="H622" s="0" t="str">
        <f aca="false">IFERROR(LEFT(G622,1),"")</f>
        <v>3</v>
      </c>
      <c r="I622" s="0" t="n">
        <f aca="false">IF(LEN(G622)&gt;1,1,0)</f>
        <v>1</v>
      </c>
      <c r="J622" s="4" t="n">
        <v>45932</v>
      </c>
      <c r="K622" s="0" t="s">
        <v>13</v>
      </c>
      <c r="L622" s="0" t="s">
        <v>101</v>
      </c>
      <c r="M622" s="0" t="s">
        <v>226</v>
      </c>
      <c r="N622" s="0" t="s">
        <v>103</v>
      </c>
      <c r="O622" s="0" t="s">
        <v>2934</v>
      </c>
      <c r="Q622" s="0" t="s">
        <v>559</v>
      </c>
      <c r="R622" s="0" t="n">
        <v>4</v>
      </c>
      <c r="S622" s="5" t="n">
        <v>2551</v>
      </c>
      <c r="T622" s="0" t="s">
        <v>2935</v>
      </c>
      <c r="U622" s="0" t="n">
        <v>2</v>
      </c>
      <c r="V622" s="0" t="s">
        <v>230</v>
      </c>
      <c r="W622" s="0" t="s">
        <v>231</v>
      </c>
      <c r="X622" s="0" t="s">
        <v>232</v>
      </c>
      <c r="Y622" s="0" t="s">
        <v>297</v>
      </c>
      <c r="Z622" s="0" t="s">
        <v>2657</v>
      </c>
      <c r="AA622" s="0" t="s">
        <v>235</v>
      </c>
      <c r="AB622" s="32" t="n">
        <v>13000</v>
      </c>
      <c r="AC622" s="32" t="n">
        <v>13500</v>
      </c>
      <c r="AD622" s="26" t="n">
        <f aca="false">IFERROR(AB622/B622,"")</f>
        <v>5.09604076832615</v>
      </c>
      <c r="AE622" s="26" t="n">
        <f aca="false">IFERROR(AC622/B622,"")</f>
        <v>5.29204233633869</v>
      </c>
      <c r="AF622" s="0" t="s">
        <v>236</v>
      </c>
      <c r="AG622" s="0" t="s">
        <v>236</v>
      </c>
      <c r="AH622" s="0" t="s">
        <v>236</v>
      </c>
      <c r="AI622" s="0" t="s">
        <v>2930</v>
      </c>
      <c r="AJ622" s="0" t="s">
        <v>2936</v>
      </c>
      <c r="AK622" s="0" t="s">
        <v>2937</v>
      </c>
      <c r="AL622" s="0" t="s">
        <v>2938</v>
      </c>
      <c r="AM622" s="0" t="s">
        <v>94</v>
      </c>
      <c r="AN622" s="26" t="n">
        <f aca="false">IFERROR(E622*(1+IF(AM622="Apartment",Data_Summary!$C$3,0)),"")</f>
        <v>5.09604076832615</v>
      </c>
      <c r="AO622" s="4" t="n">
        <v>46195</v>
      </c>
    </row>
    <row r="623" customFormat="false" ht="15" hidden="false" customHeight="false" outlineLevel="0" collapsed="false">
      <c r="A623" s="0" t="n">
        <f aca="false">IF(AND(ISNUMBER(B623),B623&gt;0,ISNUMBER(AB623),AB623&gt;0,J623&gt;=Data_Summary!$C$1),1,0)</f>
        <v>1</v>
      </c>
      <c r="B623" s="33" t="n">
        <v>586</v>
      </c>
      <c r="C623" s="5" t="n">
        <f aca="false">IF(ISNUMBER(AB623),AB623,"")</f>
        <v>2800</v>
      </c>
      <c r="D623" s="0" t="n">
        <f aca="false">IF(ISNUMBER(C623),C623-U623*Data_Summary!$C$2,"")</f>
        <v>2800</v>
      </c>
      <c r="E623" s="34" t="n">
        <f aca="false">IFERROR(C623/B623,"")</f>
        <v>4.77815699658703</v>
      </c>
      <c r="F623" s="26" t="n">
        <f aca="false">IFERROR(D623/B623,"")</f>
        <v>4.77815699658703</v>
      </c>
      <c r="G623" s="0" t="str">
        <f aca="false">Q623</f>
        <v>1</v>
      </c>
      <c r="H623" s="0" t="str">
        <f aca="false">IFERROR(LEFT(G623,1),"")</f>
        <v>1</v>
      </c>
      <c r="I623" s="0" t="n">
        <f aca="false">IF(LEN(G623)&gt;1,1,0)</f>
        <v>0</v>
      </c>
      <c r="J623" s="4" t="n">
        <v>45931</v>
      </c>
      <c r="K623" s="0" t="s">
        <v>13</v>
      </c>
      <c r="L623" s="0" t="s">
        <v>101</v>
      </c>
      <c r="M623" s="0" t="s">
        <v>226</v>
      </c>
      <c r="N623" s="0" t="s">
        <v>103</v>
      </c>
      <c r="O623" s="0" t="s">
        <v>2939</v>
      </c>
      <c r="Q623" s="0" t="s">
        <v>242</v>
      </c>
      <c r="R623" s="0" t="n">
        <v>1</v>
      </c>
      <c r="S623" s="5" t="n">
        <v>586</v>
      </c>
      <c r="T623" s="0" t="s">
        <v>243</v>
      </c>
      <c r="U623" s="0" t="n">
        <v>0</v>
      </c>
      <c r="V623" s="0" t="s">
        <v>230</v>
      </c>
      <c r="W623" s="0" t="s">
        <v>244</v>
      </c>
      <c r="Y623" s="0" t="s">
        <v>233</v>
      </c>
      <c r="Z623" s="0" t="s">
        <v>2657</v>
      </c>
      <c r="AA623" s="0" t="s">
        <v>235</v>
      </c>
      <c r="AB623" s="32" t="n">
        <v>2800</v>
      </c>
      <c r="AC623" s="32" t="n">
        <v>2875</v>
      </c>
      <c r="AD623" s="26" t="n">
        <f aca="false">IFERROR(AB623/B623,"")</f>
        <v>4.77815699658703</v>
      </c>
      <c r="AE623" s="26" t="n">
        <f aca="false">IFERROR(AC623/B623,"")</f>
        <v>4.9061433447099</v>
      </c>
      <c r="AF623" s="0" t="s">
        <v>230</v>
      </c>
      <c r="AG623" s="0" t="s">
        <v>236</v>
      </c>
      <c r="AH623" s="0" t="s">
        <v>230</v>
      </c>
      <c r="AI623" s="0" t="s">
        <v>2940</v>
      </c>
      <c r="AJ623" s="0" t="s">
        <v>2941</v>
      </c>
      <c r="AK623" s="0" t="s">
        <v>2942</v>
      </c>
      <c r="AL623" s="0" t="s">
        <v>2943</v>
      </c>
      <c r="AM623" s="0" t="s">
        <v>94</v>
      </c>
      <c r="AN623" s="26" t="n">
        <f aca="false">IFERROR(E623*(1+IF(AM623="Apartment",Data_Summary!$C$3,0)),"")</f>
        <v>4.77815699658703</v>
      </c>
      <c r="AO623" s="4" t="n">
        <v>46195</v>
      </c>
    </row>
    <row r="624" customFormat="false" ht="15" hidden="false" customHeight="false" outlineLevel="0" collapsed="false">
      <c r="A624" s="0" t="n">
        <f aca="false">IF(AND(ISNUMBER(B624),B624&gt;0,ISNUMBER(AB624),AB624&gt;0,J624&gt;=Data_Summary!$C$1),1,0)</f>
        <v>1</v>
      </c>
      <c r="B624" s="33" t="n">
        <v>602</v>
      </c>
      <c r="C624" s="5" t="n">
        <f aca="false">IF(ISNUMBER(AB624),AB624,"")</f>
        <v>2600</v>
      </c>
      <c r="D624" s="0" t="n">
        <f aca="false">IF(ISNUMBER(C624),C624-U624*Data_Summary!$C$2,"")</f>
        <v>2450</v>
      </c>
      <c r="E624" s="34" t="n">
        <f aca="false">IFERROR(C624/B624,"")</f>
        <v>4.31893687707641</v>
      </c>
      <c r="F624" s="26" t="n">
        <f aca="false">IFERROR(D624/B624,"")</f>
        <v>4.06976744186047</v>
      </c>
      <c r="G624" s="0" t="str">
        <f aca="false">Q624</f>
        <v>1+1</v>
      </c>
      <c r="H624" s="0" t="str">
        <f aca="false">IFERROR(LEFT(G624,1),"")</f>
        <v>1</v>
      </c>
      <c r="I624" s="0" t="n">
        <f aca="false">IF(LEN(G624)&gt;1,1,0)</f>
        <v>1</v>
      </c>
      <c r="J624" s="4" t="n">
        <v>45922</v>
      </c>
      <c r="K624" s="0" t="s">
        <v>13</v>
      </c>
      <c r="L624" s="0" t="s">
        <v>101</v>
      </c>
      <c r="M624" s="0" t="s">
        <v>226</v>
      </c>
      <c r="N624" s="0" t="s">
        <v>103</v>
      </c>
      <c r="O624" s="0" t="s">
        <v>515</v>
      </c>
      <c r="Q624" s="0" t="s">
        <v>270</v>
      </c>
      <c r="R624" s="0" t="n">
        <v>1</v>
      </c>
      <c r="S624" s="5" t="n">
        <v>602</v>
      </c>
      <c r="T624" s="0" t="s">
        <v>271</v>
      </c>
      <c r="U624" s="0" t="n">
        <v>1</v>
      </c>
      <c r="V624" s="0" t="s">
        <v>230</v>
      </c>
      <c r="W624" s="0" t="s">
        <v>231</v>
      </c>
      <c r="Y624" s="0" t="s">
        <v>278</v>
      </c>
      <c r="Z624" s="0" t="s">
        <v>2657</v>
      </c>
      <c r="AA624" s="0" t="s">
        <v>235</v>
      </c>
      <c r="AB624" s="32" t="n">
        <v>2600</v>
      </c>
      <c r="AC624" s="32" t="n">
        <v>2400</v>
      </c>
      <c r="AD624" s="26" t="n">
        <f aca="false">IFERROR(AB624/B624,"")</f>
        <v>4.31893687707641</v>
      </c>
      <c r="AE624" s="26" t="n">
        <f aca="false">IFERROR(AC624/B624,"")</f>
        <v>3.98671096345515</v>
      </c>
      <c r="AF624" s="0" t="s">
        <v>421</v>
      </c>
      <c r="AG624" s="0" t="s">
        <v>236</v>
      </c>
      <c r="AH624" s="0" t="s">
        <v>236</v>
      </c>
      <c r="AI624" s="0" t="s">
        <v>863</v>
      </c>
      <c r="AJ624" s="0" t="s">
        <v>2944</v>
      </c>
      <c r="AK624" s="0" t="s">
        <v>2945</v>
      </c>
      <c r="AL624" s="0" t="s">
        <v>2946</v>
      </c>
      <c r="AM624" s="0" t="s">
        <v>94</v>
      </c>
      <c r="AN624" s="26" t="n">
        <f aca="false">IFERROR(E624*(1+IF(AM624="Apartment",Data_Summary!$C$3,0)),"")</f>
        <v>4.31893687707641</v>
      </c>
      <c r="AO624" s="4" t="n">
        <v>46195</v>
      </c>
    </row>
    <row r="625" customFormat="false" ht="15" hidden="false" customHeight="false" outlineLevel="0" collapsed="false">
      <c r="A625" s="0" t="n">
        <f aca="false">IF(AND(ISNUMBER(B625),B625&gt;0,ISNUMBER(AB625),AB625&gt;0,J625&gt;=Data_Summary!$C$1),1,0)</f>
        <v>1</v>
      </c>
      <c r="B625" s="30" t="n">
        <v>830</v>
      </c>
      <c r="C625" s="5" t="n">
        <f aca="false">IF(ISNUMBER(AB625),AB625,"")</f>
        <v>3575</v>
      </c>
      <c r="D625" s="0" t="n">
        <f aca="false">IF(ISNUMBER(C625),C625-U625*Data_Summary!$C$2,"")</f>
        <v>3425</v>
      </c>
      <c r="E625" s="31" t="n">
        <f aca="false">IFERROR(C625/B625,"")</f>
        <v>4.30722891566265</v>
      </c>
      <c r="F625" s="26" t="n">
        <f aca="false">IFERROR(D625/B625,"")</f>
        <v>4.12650602409639</v>
      </c>
      <c r="G625" s="0" t="str">
        <f aca="false">Q625</f>
        <v>2</v>
      </c>
      <c r="H625" s="0" t="str">
        <f aca="false">IFERROR(LEFT(G625,1),"")</f>
        <v>2</v>
      </c>
      <c r="I625" s="0" t="n">
        <f aca="false">IF(LEN(G625)&gt;1,1,0)</f>
        <v>0</v>
      </c>
      <c r="J625" s="4" t="n">
        <v>45920</v>
      </c>
      <c r="K625" s="0" t="s">
        <v>13</v>
      </c>
      <c r="L625" s="0" t="s">
        <v>101</v>
      </c>
      <c r="M625" s="0" t="s">
        <v>226</v>
      </c>
      <c r="N625" s="0" t="s">
        <v>103</v>
      </c>
      <c r="O625" s="0" t="s">
        <v>2947</v>
      </c>
      <c r="Q625" s="0" t="s">
        <v>251</v>
      </c>
      <c r="R625" s="0" t="n">
        <v>2</v>
      </c>
      <c r="S625" s="5" t="n">
        <v>830</v>
      </c>
      <c r="T625" s="0" t="s">
        <v>229</v>
      </c>
      <c r="U625" s="0" t="n">
        <v>1</v>
      </c>
      <c r="V625" s="0" t="s">
        <v>230</v>
      </c>
      <c r="X625" s="0" t="s">
        <v>232</v>
      </c>
      <c r="Y625" s="0" t="s">
        <v>278</v>
      </c>
      <c r="Z625" s="0" t="s">
        <v>2657</v>
      </c>
      <c r="AA625" s="0" t="s">
        <v>235</v>
      </c>
      <c r="AB625" s="32" t="n">
        <v>3575</v>
      </c>
      <c r="AC625" s="32" t="n">
        <v>3575</v>
      </c>
      <c r="AD625" s="26" t="n">
        <f aca="false">IFERROR(AB625/B625,"")</f>
        <v>4.30722891566265</v>
      </c>
      <c r="AE625" s="26" t="n">
        <f aca="false">IFERROR(AC625/B625,"")</f>
        <v>4.30722891566265</v>
      </c>
      <c r="AF625" s="0" t="s">
        <v>236</v>
      </c>
      <c r="AG625" s="0" t="s">
        <v>236</v>
      </c>
      <c r="AH625" s="0" t="s">
        <v>236</v>
      </c>
      <c r="AI625" s="0" t="s">
        <v>2009</v>
      </c>
      <c r="AJ625" s="0" t="s">
        <v>2948</v>
      </c>
      <c r="AK625" s="0" t="s">
        <v>2949</v>
      </c>
      <c r="AL625" s="0" t="s">
        <v>2950</v>
      </c>
      <c r="AM625" s="0" t="s">
        <v>94</v>
      </c>
      <c r="AN625" s="26" t="n">
        <f aca="false">IFERROR(E625*(1+IF(AM625="Apartment",Data_Summary!$C$3,0)),"")</f>
        <v>4.30722891566265</v>
      </c>
      <c r="AO625" s="4" t="n">
        <v>46195</v>
      </c>
    </row>
    <row r="626" customFormat="false" ht="15" hidden="false" customHeight="false" outlineLevel="0" collapsed="false">
      <c r="A626" s="0" t="n">
        <f aca="false">IF(AND(ISNUMBER(B626),B626&gt;0,ISNUMBER(AB626),AB626&gt;0,J626&gt;=Data_Summary!$C$1),1,0)</f>
        <v>1</v>
      </c>
      <c r="B626" s="30" t="n">
        <v>830</v>
      </c>
      <c r="C626" s="5" t="n">
        <f aca="false">IF(ISNUMBER(AB626),AB626,"")</f>
        <v>3400</v>
      </c>
      <c r="D626" s="0" t="n">
        <f aca="false">IF(ISNUMBER(C626),C626-U626*Data_Summary!$C$2,"")</f>
        <v>3250</v>
      </c>
      <c r="E626" s="31" t="n">
        <f aca="false">IFERROR(C626/B626,"")</f>
        <v>4.09638554216868</v>
      </c>
      <c r="F626" s="26" t="n">
        <f aca="false">IFERROR(D626/B626,"")</f>
        <v>3.91566265060241</v>
      </c>
      <c r="G626" s="0" t="str">
        <f aca="false">Q626</f>
        <v>2</v>
      </c>
      <c r="H626" s="0" t="str">
        <f aca="false">IFERROR(LEFT(G626,1),"")</f>
        <v>2</v>
      </c>
      <c r="I626" s="0" t="n">
        <f aca="false">IF(LEN(G626)&gt;1,1,0)</f>
        <v>0</v>
      </c>
      <c r="J626" s="4" t="n">
        <v>45916</v>
      </c>
      <c r="K626" s="0" t="s">
        <v>13</v>
      </c>
      <c r="L626" s="0" t="s">
        <v>101</v>
      </c>
      <c r="M626" s="0" t="s">
        <v>226</v>
      </c>
      <c r="N626" s="0" t="s">
        <v>103</v>
      </c>
      <c r="O626" s="0" t="s">
        <v>2951</v>
      </c>
      <c r="Q626" s="0" t="s">
        <v>251</v>
      </c>
      <c r="R626" s="0" t="n">
        <v>2</v>
      </c>
      <c r="S626" s="5" t="n">
        <v>830</v>
      </c>
      <c r="T626" s="0" t="s">
        <v>229</v>
      </c>
      <c r="U626" s="0" t="n">
        <v>1</v>
      </c>
      <c r="V626" s="0" t="s">
        <v>230</v>
      </c>
      <c r="W626" s="0" t="s">
        <v>244</v>
      </c>
      <c r="X626" s="0" t="s">
        <v>232</v>
      </c>
      <c r="Y626" s="0" t="s">
        <v>272</v>
      </c>
      <c r="Z626" s="0" t="s">
        <v>2657</v>
      </c>
      <c r="AA626" s="0" t="s">
        <v>235</v>
      </c>
      <c r="AB626" s="32" t="n">
        <v>3400</v>
      </c>
      <c r="AC626" s="32" t="n">
        <v>3400</v>
      </c>
      <c r="AD626" s="26" t="n">
        <f aca="false">IFERROR(AB626/B626,"")</f>
        <v>4.09638554216868</v>
      </c>
      <c r="AE626" s="26" t="n">
        <f aca="false">IFERROR(AC626/B626,"")</f>
        <v>4.09638554216868</v>
      </c>
      <c r="AF626" s="0" t="s">
        <v>236</v>
      </c>
      <c r="AG626" s="0" t="s">
        <v>236</v>
      </c>
      <c r="AH626" s="0" t="s">
        <v>236</v>
      </c>
      <c r="AI626" s="0" t="s">
        <v>2578</v>
      </c>
      <c r="AJ626" s="0" t="s">
        <v>2952</v>
      </c>
      <c r="AK626" s="0" t="s">
        <v>2953</v>
      </c>
      <c r="AL626" s="0" t="s">
        <v>2954</v>
      </c>
      <c r="AM626" s="0" t="s">
        <v>94</v>
      </c>
      <c r="AN626" s="26" t="n">
        <f aca="false">IFERROR(E626*(1+IF(AM626="Apartment",Data_Summary!$C$3,0)),"")</f>
        <v>4.09638554216868</v>
      </c>
      <c r="AO626" s="4" t="n">
        <v>46195</v>
      </c>
    </row>
    <row r="627" customFormat="false" ht="15" hidden="false" customHeight="false" outlineLevel="0" collapsed="false">
      <c r="A627" s="0" t="n">
        <f aca="false">IF(AND(ISNUMBER(B627),B627&gt;0,ISNUMBER(AB627),AB627&gt;0,J627&gt;=Data_Summary!$C$1),1,0)</f>
        <v>1</v>
      </c>
      <c r="B627" s="30" t="n">
        <v>625</v>
      </c>
      <c r="C627" s="5" t="n">
        <f aca="false">IF(ISNUMBER(AB627),AB627,"")</f>
        <v>2600</v>
      </c>
      <c r="D627" s="0" t="n">
        <f aca="false">IF(ISNUMBER(C627),C627-U627*Data_Summary!$C$2,"")</f>
        <v>2450</v>
      </c>
      <c r="E627" s="31" t="n">
        <f aca="false">IFERROR(C627/B627,"")</f>
        <v>4.16</v>
      </c>
      <c r="F627" s="26" t="n">
        <f aca="false">IFERROR(D627/B627,"")</f>
        <v>3.92</v>
      </c>
      <c r="G627" s="0" t="str">
        <f aca="false">Q627</f>
        <v>1</v>
      </c>
      <c r="H627" s="0" t="str">
        <f aca="false">IFERROR(LEFT(G627,1),"")</f>
        <v>1</v>
      </c>
      <c r="I627" s="0" t="n">
        <f aca="false">IF(LEN(G627)&gt;1,1,0)</f>
        <v>0</v>
      </c>
      <c r="J627" s="4" t="n">
        <v>45911</v>
      </c>
      <c r="K627" s="0" t="s">
        <v>13</v>
      </c>
      <c r="L627" s="0" t="s">
        <v>101</v>
      </c>
      <c r="M627" s="0" t="s">
        <v>226</v>
      </c>
      <c r="N627" s="0" t="s">
        <v>103</v>
      </c>
      <c r="O627" s="0" t="s">
        <v>2955</v>
      </c>
      <c r="Q627" s="0" t="s">
        <v>242</v>
      </c>
      <c r="R627" s="0" t="n">
        <v>1</v>
      </c>
      <c r="S627" s="5" t="n">
        <v>625</v>
      </c>
      <c r="T627" s="0" t="s">
        <v>271</v>
      </c>
      <c r="U627" s="0" t="n">
        <v>1</v>
      </c>
      <c r="V627" s="0" t="s">
        <v>230</v>
      </c>
      <c r="W627" s="0" t="s">
        <v>231</v>
      </c>
      <c r="X627" s="0" t="s">
        <v>232</v>
      </c>
      <c r="Y627" s="0" t="s">
        <v>297</v>
      </c>
      <c r="Z627" s="0" t="s">
        <v>2657</v>
      </c>
      <c r="AA627" s="0" t="s">
        <v>235</v>
      </c>
      <c r="AB627" s="32" t="n">
        <v>2600</v>
      </c>
      <c r="AC627" s="32" t="n">
        <v>2600</v>
      </c>
      <c r="AD627" s="26" t="n">
        <f aca="false">IFERROR(AB627/B627,"")</f>
        <v>4.16</v>
      </c>
      <c r="AE627" s="26" t="n">
        <f aca="false">IFERROR(AC627/B627,"")</f>
        <v>4.16</v>
      </c>
      <c r="AF627" s="0" t="s">
        <v>236</v>
      </c>
      <c r="AG627" s="0" t="s">
        <v>236</v>
      </c>
      <c r="AH627" s="0" t="s">
        <v>236</v>
      </c>
      <c r="AI627" s="0" t="s">
        <v>2956</v>
      </c>
      <c r="AJ627" s="0" t="s">
        <v>2957</v>
      </c>
      <c r="AK627" s="0" t="s">
        <v>2958</v>
      </c>
      <c r="AL627" s="0" t="s">
        <v>2959</v>
      </c>
      <c r="AM627" s="0" t="s">
        <v>94</v>
      </c>
      <c r="AN627" s="26" t="n">
        <f aca="false">IFERROR(E627*(1+IF(AM627="Apartment",Data_Summary!$C$3,0)),"")</f>
        <v>4.16</v>
      </c>
      <c r="AO627" s="4" t="n">
        <v>46195</v>
      </c>
    </row>
    <row r="628" customFormat="false" ht="15" hidden="false" customHeight="false" outlineLevel="0" collapsed="false">
      <c r="A628" s="0" t="n">
        <f aca="false">IF(AND(ISNUMBER(B628),B628&gt;0,ISNUMBER(AB628),AB628&gt;0,J628&gt;=Data_Summary!$C$1),1,0)</f>
        <v>1</v>
      </c>
      <c r="B628" s="30" t="n">
        <v>648</v>
      </c>
      <c r="C628" s="5" t="n">
        <f aca="false">IF(ISNUMBER(AB628),AB628,"")</f>
        <v>2550</v>
      </c>
      <c r="D628" s="0" t="n">
        <f aca="false">IF(ISNUMBER(C628),C628-U628*Data_Summary!$C$2,"")</f>
        <v>2550</v>
      </c>
      <c r="E628" s="31" t="n">
        <f aca="false">IFERROR(C628/B628,"")</f>
        <v>3.93518518518519</v>
      </c>
      <c r="F628" s="26" t="n">
        <f aca="false">IFERROR(D628/B628,"")</f>
        <v>3.93518518518519</v>
      </c>
      <c r="G628" s="0" t="str">
        <f aca="false">Q628</f>
        <v>1+1</v>
      </c>
      <c r="H628" s="0" t="str">
        <f aca="false">IFERROR(LEFT(G628,1),"")</f>
        <v>1</v>
      </c>
      <c r="I628" s="0" t="n">
        <f aca="false">IF(LEN(G628)&gt;1,1,0)</f>
        <v>1</v>
      </c>
      <c r="J628" s="4" t="n">
        <v>45911</v>
      </c>
      <c r="K628" s="0" t="s">
        <v>13</v>
      </c>
      <c r="L628" s="0" t="s">
        <v>101</v>
      </c>
      <c r="M628" s="0" t="s">
        <v>226</v>
      </c>
      <c r="N628" s="0" t="s">
        <v>103</v>
      </c>
      <c r="O628" s="0" t="s">
        <v>380</v>
      </c>
      <c r="Q628" s="0" t="s">
        <v>270</v>
      </c>
      <c r="R628" s="0" t="n">
        <v>1</v>
      </c>
      <c r="S628" s="5" t="n">
        <v>648</v>
      </c>
      <c r="T628" s="0" t="s">
        <v>271</v>
      </c>
      <c r="U628" s="0" t="n">
        <v>0</v>
      </c>
      <c r="V628" s="0" t="s">
        <v>230</v>
      </c>
      <c r="W628" s="0" t="s">
        <v>244</v>
      </c>
      <c r="Y628" s="0" t="s">
        <v>278</v>
      </c>
      <c r="Z628" s="0" t="s">
        <v>2657</v>
      </c>
      <c r="AA628" s="0" t="s">
        <v>235</v>
      </c>
      <c r="AB628" s="32" t="n">
        <v>2550</v>
      </c>
      <c r="AC628" s="32" t="n">
        <v>2550</v>
      </c>
      <c r="AD628" s="26" t="n">
        <f aca="false">IFERROR(AB628/B628,"")</f>
        <v>3.93518518518519</v>
      </c>
      <c r="AE628" s="26" t="n">
        <f aca="false">IFERROR(AC628/B628,"")</f>
        <v>3.93518518518519</v>
      </c>
      <c r="AF628" s="0" t="s">
        <v>236</v>
      </c>
      <c r="AG628" s="0" t="s">
        <v>236</v>
      </c>
      <c r="AH628" s="0" t="s">
        <v>236</v>
      </c>
      <c r="AI628" s="0" t="s">
        <v>2956</v>
      </c>
      <c r="AJ628" s="0" t="s">
        <v>2960</v>
      </c>
      <c r="AK628" s="0" t="s">
        <v>2961</v>
      </c>
      <c r="AL628" s="0" t="s">
        <v>2962</v>
      </c>
      <c r="AM628" s="0" t="s">
        <v>94</v>
      </c>
      <c r="AN628" s="26" t="n">
        <f aca="false">IFERROR(E628*(1+IF(AM628="Apartment",Data_Summary!$C$3,0)),"")</f>
        <v>3.93518518518519</v>
      </c>
      <c r="AO628" s="4" t="n">
        <v>46195</v>
      </c>
    </row>
    <row r="629" customFormat="false" ht="15" hidden="false" customHeight="false" outlineLevel="0" collapsed="false">
      <c r="A629" s="0" t="n">
        <f aca="false">IF(AND(ISNUMBER(B629),B629&gt;0,ISNUMBER(AB629),AB629&gt;0,J629&gt;=Data_Summary!$C$1),1,0)</f>
        <v>1</v>
      </c>
      <c r="B629" s="30" t="n">
        <v>649</v>
      </c>
      <c r="C629" s="5" t="n">
        <f aca="false">IF(ISNUMBER(AB629),AB629,"")</f>
        <v>2650</v>
      </c>
      <c r="D629" s="0" t="n">
        <f aca="false">IF(ISNUMBER(C629),C629-U629*Data_Summary!$C$2,"")</f>
        <v>2650</v>
      </c>
      <c r="E629" s="31" t="n">
        <f aca="false">IFERROR(C629/B629,"")</f>
        <v>4.08320493066256</v>
      </c>
      <c r="F629" s="26" t="n">
        <f aca="false">IFERROR(D629/B629,"")</f>
        <v>4.08320493066256</v>
      </c>
      <c r="G629" s="0" t="str">
        <f aca="false">Q629</f>
        <v>1+1</v>
      </c>
      <c r="H629" s="0" t="str">
        <f aca="false">IFERROR(LEFT(G629,1),"")</f>
        <v>1</v>
      </c>
      <c r="I629" s="0" t="n">
        <f aca="false">IF(LEN(G629)&gt;1,1,0)</f>
        <v>1</v>
      </c>
      <c r="J629" s="4" t="n">
        <v>45910</v>
      </c>
      <c r="K629" s="0" t="s">
        <v>13</v>
      </c>
      <c r="L629" s="0" t="s">
        <v>101</v>
      </c>
      <c r="M629" s="0" t="s">
        <v>226</v>
      </c>
      <c r="N629" s="0" t="s">
        <v>103</v>
      </c>
      <c r="O629" s="0" t="s">
        <v>2963</v>
      </c>
      <c r="Q629" s="0" t="s">
        <v>270</v>
      </c>
      <c r="R629" s="0" t="n">
        <v>1</v>
      </c>
      <c r="S629" s="5" t="n">
        <v>649</v>
      </c>
      <c r="T629" s="0" t="s">
        <v>271</v>
      </c>
      <c r="U629" s="0" t="n">
        <v>0</v>
      </c>
      <c r="V629" s="0" t="s">
        <v>230</v>
      </c>
      <c r="W629" s="0" t="s">
        <v>231</v>
      </c>
      <c r="Y629" s="0" t="s">
        <v>272</v>
      </c>
      <c r="Z629" s="0" t="s">
        <v>2657</v>
      </c>
      <c r="AA629" s="0" t="s">
        <v>235</v>
      </c>
      <c r="AB629" s="32" t="n">
        <v>2650</v>
      </c>
      <c r="AC629" s="32" t="n">
        <v>2600</v>
      </c>
      <c r="AD629" s="26" t="n">
        <f aca="false">IFERROR(AB629/B629,"")</f>
        <v>4.08320493066256</v>
      </c>
      <c r="AE629" s="26" t="n">
        <f aca="false">IFERROR(AC629/B629,"")</f>
        <v>4.00616332819723</v>
      </c>
      <c r="AF629" s="0" t="s">
        <v>236</v>
      </c>
      <c r="AG629" s="0" t="s">
        <v>236</v>
      </c>
      <c r="AH629" s="0" t="s">
        <v>236</v>
      </c>
      <c r="AI629" s="0" t="s">
        <v>2964</v>
      </c>
      <c r="AJ629" s="0" t="s">
        <v>2965</v>
      </c>
      <c r="AK629" s="0" t="s">
        <v>2966</v>
      </c>
      <c r="AL629" s="0" t="s">
        <v>2967</v>
      </c>
      <c r="AM629" s="0" t="s">
        <v>94</v>
      </c>
      <c r="AN629" s="26" t="n">
        <f aca="false">IFERROR(E629*(1+IF(AM629="Apartment",Data_Summary!$C$3,0)),"")</f>
        <v>4.08320493066256</v>
      </c>
      <c r="AO629" s="4" t="n">
        <v>46195</v>
      </c>
    </row>
    <row r="630" customFormat="false" ht="15" hidden="false" customHeight="false" outlineLevel="0" collapsed="false">
      <c r="A630" s="0" t="n">
        <f aca="false">IF(AND(ISNUMBER(B630),B630&gt;0,ISNUMBER(AB630),AB630&gt;0,J630&gt;=Data_Summary!$C$1),1,0)</f>
        <v>1</v>
      </c>
      <c r="B630" s="33" t="n">
        <v>648</v>
      </c>
      <c r="C630" s="5" t="n">
        <f aca="false">IF(ISNUMBER(AB630),AB630,"")</f>
        <v>2550</v>
      </c>
      <c r="D630" s="0" t="n">
        <f aca="false">IF(ISNUMBER(C630),C630-U630*Data_Summary!$C$2,"")</f>
        <v>2550</v>
      </c>
      <c r="E630" s="34" t="n">
        <f aca="false">IFERROR(C630/B630,"")</f>
        <v>3.93518518518519</v>
      </c>
      <c r="F630" s="26" t="n">
        <f aca="false">IFERROR(D630/B630,"")</f>
        <v>3.93518518518519</v>
      </c>
      <c r="G630" s="0" t="str">
        <f aca="false">Q630</f>
        <v>1+1</v>
      </c>
      <c r="H630" s="0" t="str">
        <f aca="false">IFERROR(LEFT(G630,1),"")</f>
        <v>1</v>
      </c>
      <c r="I630" s="0" t="n">
        <f aca="false">IF(LEN(G630)&gt;1,1,0)</f>
        <v>1</v>
      </c>
      <c r="J630" s="4" t="n">
        <v>45902</v>
      </c>
      <c r="K630" s="0" t="s">
        <v>13</v>
      </c>
      <c r="L630" s="0" t="s">
        <v>101</v>
      </c>
      <c r="M630" s="0" t="s">
        <v>226</v>
      </c>
      <c r="N630" s="0" t="s">
        <v>103</v>
      </c>
      <c r="O630" s="0" t="s">
        <v>2968</v>
      </c>
      <c r="Q630" s="0" t="s">
        <v>270</v>
      </c>
      <c r="R630" s="0" t="n">
        <v>1</v>
      </c>
      <c r="S630" s="5" t="n">
        <v>648</v>
      </c>
      <c r="T630" s="0" t="s">
        <v>271</v>
      </c>
      <c r="U630" s="0" t="n">
        <v>0</v>
      </c>
      <c r="V630" s="0" t="s">
        <v>230</v>
      </c>
      <c r="W630" s="0" t="s">
        <v>244</v>
      </c>
      <c r="Y630" s="0" t="s">
        <v>272</v>
      </c>
      <c r="Z630" s="0" t="s">
        <v>2657</v>
      </c>
      <c r="AA630" s="0" t="s">
        <v>235</v>
      </c>
      <c r="AB630" s="32" t="n">
        <v>2550</v>
      </c>
      <c r="AC630" s="32" t="n">
        <v>2550</v>
      </c>
      <c r="AD630" s="26" t="n">
        <f aca="false">IFERROR(AB630/B630,"")</f>
        <v>3.93518518518519</v>
      </c>
      <c r="AE630" s="26" t="n">
        <f aca="false">IFERROR(AC630/B630,"")</f>
        <v>3.93518518518519</v>
      </c>
      <c r="AF630" s="0" t="s">
        <v>236</v>
      </c>
      <c r="AG630" s="0" t="s">
        <v>236</v>
      </c>
      <c r="AH630" s="0" t="s">
        <v>236</v>
      </c>
      <c r="AI630" s="0" t="s">
        <v>2582</v>
      </c>
      <c r="AJ630" s="0" t="s">
        <v>2969</v>
      </c>
      <c r="AK630" s="0" t="s">
        <v>2970</v>
      </c>
      <c r="AL630" s="0" t="s">
        <v>2971</v>
      </c>
      <c r="AM630" s="0" t="s">
        <v>94</v>
      </c>
      <c r="AN630" s="26" t="n">
        <f aca="false">IFERROR(E630*(1+IF(AM630="Apartment",Data_Summary!$C$3,0)),"")</f>
        <v>3.93518518518519</v>
      </c>
      <c r="AO630" s="4" t="n">
        <v>46195</v>
      </c>
    </row>
    <row r="631" customFormat="false" ht="15" hidden="false" customHeight="false" outlineLevel="0" collapsed="false">
      <c r="A631" s="0" t="n">
        <f aca="false">IF(AND(ISNUMBER(B631),B631&gt;0,ISNUMBER(AB631),AB631&gt;0,J631&gt;=Data_Summary!$C$1),1,0)</f>
        <v>1</v>
      </c>
      <c r="B631" s="30" t="n">
        <v>649</v>
      </c>
      <c r="C631" s="5" t="n">
        <f aca="false">IF(ISNUMBER(AB631),AB631,"")</f>
        <v>2525</v>
      </c>
      <c r="D631" s="0" t="n">
        <f aca="false">IF(ISNUMBER(C631),C631-U631*Data_Summary!$C$2,"")</f>
        <v>2525</v>
      </c>
      <c r="E631" s="31" t="n">
        <f aca="false">IFERROR(C631/B631,"")</f>
        <v>3.89060092449923</v>
      </c>
      <c r="F631" s="26" t="n">
        <f aca="false">IFERROR(D631/B631,"")</f>
        <v>3.89060092449923</v>
      </c>
      <c r="G631" s="0" t="str">
        <f aca="false">Q631</f>
        <v>1+1</v>
      </c>
      <c r="H631" s="0" t="str">
        <f aca="false">IFERROR(LEFT(G631,1),"")</f>
        <v>1</v>
      </c>
      <c r="I631" s="0" t="n">
        <f aca="false">IF(LEN(G631)&gt;1,1,0)</f>
        <v>1</v>
      </c>
      <c r="J631" s="4" t="n">
        <v>45902</v>
      </c>
      <c r="K631" s="0" t="s">
        <v>13</v>
      </c>
      <c r="L631" s="0" t="s">
        <v>101</v>
      </c>
      <c r="M631" s="0" t="s">
        <v>226</v>
      </c>
      <c r="N631" s="0" t="s">
        <v>103</v>
      </c>
      <c r="O631" s="0" t="s">
        <v>2972</v>
      </c>
      <c r="Q631" s="0" t="s">
        <v>270</v>
      </c>
      <c r="R631" s="0" t="n">
        <v>1</v>
      </c>
      <c r="S631" s="5" t="n">
        <v>649</v>
      </c>
      <c r="T631" s="0" t="s">
        <v>271</v>
      </c>
      <c r="U631" s="0" t="n">
        <v>0</v>
      </c>
      <c r="V631" s="0" t="s">
        <v>230</v>
      </c>
      <c r="W631" s="0" t="s">
        <v>231</v>
      </c>
      <c r="Y631" s="0" t="s">
        <v>272</v>
      </c>
      <c r="Z631" s="0" t="s">
        <v>2657</v>
      </c>
      <c r="AA631" s="0" t="s">
        <v>235</v>
      </c>
      <c r="AB631" s="32" t="n">
        <v>2525</v>
      </c>
      <c r="AC631" s="32" t="n">
        <v>2600</v>
      </c>
      <c r="AD631" s="26" t="n">
        <f aca="false">IFERROR(AB631/B631,"")</f>
        <v>3.89060092449923</v>
      </c>
      <c r="AE631" s="26" t="n">
        <f aca="false">IFERROR(AC631/B631,"")</f>
        <v>4.00616332819723</v>
      </c>
      <c r="AF631" s="0" t="s">
        <v>236</v>
      </c>
      <c r="AG631" s="0" t="s">
        <v>236</v>
      </c>
      <c r="AH631" s="0" t="s">
        <v>236</v>
      </c>
      <c r="AI631" s="0" t="s">
        <v>2582</v>
      </c>
      <c r="AJ631" s="0" t="s">
        <v>2973</v>
      </c>
      <c r="AK631" s="0" t="s">
        <v>2974</v>
      </c>
      <c r="AL631" s="0" t="s">
        <v>2975</v>
      </c>
      <c r="AM631" s="0" t="s">
        <v>94</v>
      </c>
      <c r="AN631" s="26" t="n">
        <f aca="false">IFERROR(E631*(1+IF(AM631="Apartment",Data_Summary!$C$3,0)),"")</f>
        <v>3.89060092449923</v>
      </c>
      <c r="AO631" s="4" t="n">
        <v>46195</v>
      </c>
    </row>
    <row r="632" customFormat="false" ht="15" hidden="false" customHeight="false" outlineLevel="0" collapsed="false">
      <c r="A632" s="0" t="n">
        <f aca="false">IF(AND(ISNUMBER(B632),B632&gt;0,ISNUMBER(AB632),AB632&gt;0,J632&gt;=Data_Summary!$C$1),1,0)</f>
        <v>1</v>
      </c>
      <c r="B632" s="30" t="n">
        <v>678</v>
      </c>
      <c r="C632" s="5" t="n">
        <f aca="false">IF(ISNUMBER(AB632),AB632,"")</f>
        <v>2700</v>
      </c>
      <c r="D632" s="0" t="n">
        <f aca="false">IF(ISNUMBER(C632),C632-U632*Data_Summary!$C$2,"")</f>
        <v>2700</v>
      </c>
      <c r="E632" s="31" t="n">
        <f aca="false">IFERROR(C632/B632,"")</f>
        <v>3.98230088495575</v>
      </c>
      <c r="F632" s="26" t="n">
        <f aca="false">IFERROR(D632/B632,"")</f>
        <v>3.98230088495575</v>
      </c>
      <c r="G632" s="0" t="str">
        <f aca="false">Q632</f>
        <v>1+1</v>
      </c>
      <c r="H632" s="0" t="str">
        <f aca="false">IFERROR(LEFT(G632,1),"")</f>
        <v>1</v>
      </c>
      <c r="I632" s="0" t="n">
        <f aca="false">IF(LEN(G632)&gt;1,1,0)</f>
        <v>1</v>
      </c>
      <c r="J632" s="4" t="n">
        <v>45900</v>
      </c>
      <c r="K632" s="0" t="s">
        <v>13</v>
      </c>
      <c r="L632" s="0" t="s">
        <v>101</v>
      </c>
      <c r="M632" s="0" t="s">
        <v>226</v>
      </c>
      <c r="N632" s="0" t="s">
        <v>103</v>
      </c>
      <c r="O632" s="0" t="s">
        <v>264</v>
      </c>
      <c r="Q632" s="0" t="s">
        <v>270</v>
      </c>
      <c r="R632" s="0" t="n">
        <v>2</v>
      </c>
      <c r="S632" s="5" t="n">
        <v>678</v>
      </c>
      <c r="T632" s="0" t="s">
        <v>271</v>
      </c>
      <c r="U632" s="0" t="n">
        <v>0</v>
      </c>
      <c r="V632" s="0" t="s">
        <v>230</v>
      </c>
      <c r="W632" s="0" t="s">
        <v>244</v>
      </c>
      <c r="Y632" s="0" t="s">
        <v>253</v>
      </c>
      <c r="Z632" s="0" t="s">
        <v>2657</v>
      </c>
      <c r="AA632" s="0" t="s">
        <v>235</v>
      </c>
      <c r="AB632" s="32" t="n">
        <v>2700</v>
      </c>
      <c r="AC632" s="32" t="n">
        <v>2750</v>
      </c>
      <c r="AD632" s="26" t="n">
        <f aca="false">IFERROR(AB632/B632,"")</f>
        <v>3.98230088495575</v>
      </c>
      <c r="AE632" s="26" t="n">
        <f aca="false">IFERROR(AC632/B632,"")</f>
        <v>4.05604719764012</v>
      </c>
      <c r="AF632" s="0" t="s">
        <v>236</v>
      </c>
      <c r="AG632" s="0" t="s">
        <v>236</v>
      </c>
      <c r="AH632" s="0" t="s">
        <v>236</v>
      </c>
      <c r="AI632" s="0" t="s">
        <v>2976</v>
      </c>
      <c r="AJ632" s="0" t="s">
        <v>2977</v>
      </c>
      <c r="AK632" s="0" t="s">
        <v>2978</v>
      </c>
      <c r="AL632" s="0" t="s">
        <v>2979</v>
      </c>
      <c r="AM632" s="0" t="s">
        <v>94</v>
      </c>
      <c r="AN632" s="26" t="n">
        <f aca="false">IFERROR(E632*(1+IF(AM632="Apartment",Data_Summary!$C$3,0)),"")</f>
        <v>3.98230088495575</v>
      </c>
      <c r="AO632" s="4" t="n">
        <v>46195</v>
      </c>
    </row>
    <row r="633" customFormat="false" ht="15" hidden="false" customHeight="false" outlineLevel="0" collapsed="false">
      <c r="A633" s="0" t="n">
        <f aca="false">IF(AND(ISNUMBER(B633),B633&gt;0,ISNUMBER(AB633),AB633&gt;0,J633&gt;=Data_Summary!$C$1),1,0)</f>
        <v>1</v>
      </c>
      <c r="B633" s="33" t="n">
        <v>575</v>
      </c>
      <c r="C633" s="5" t="n">
        <f aca="false">IF(ISNUMBER(AB633),AB633,"")</f>
        <v>2450</v>
      </c>
      <c r="D633" s="0" t="n">
        <f aca="false">IF(ISNUMBER(C633),C633-U633*Data_Summary!$C$2,"")</f>
        <v>2450</v>
      </c>
      <c r="E633" s="34" t="n">
        <f aca="false">IFERROR(C633/B633,"")</f>
        <v>4.26086956521739</v>
      </c>
      <c r="F633" s="26" t="n">
        <f aca="false">IFERROR(D633/B633,"")</f>
        <v>4.26086956521739</v>
      </c>
      <c r="G633" s="0" t="str">
        <f aca="false">Q633</f>
        <v>1</v>
      </c>
      <c r="H633" s="0" t="str">
        <f aca="false">IFERROR(LEFT(G633,1),"")</f>
        <v>1</v>
      </c>
      <c r="I633" s="0" t="n">
        <f aca="false">IF(LEN(G633)&gt;1,1,0)</f>
        <v>0</v>
      </c>
      <c r="J633" s="4" t="n">
        <v>45895</v>
      </c>
      <c r="K633" s="0" t="s">
        <v>13</v>
      </c>
      <c r="L633" s="0" t="s">
        <v>101</v>
      </c>
      <c r="M633" s="0" t="s">
        <v>226</v>
      </c>
      <c r="N633" s="0" t="s">
        <v>103</v>
      </c>
      <c r="O633" s="0" t="s">
        <v>2980</v>
      </c>
      <c r="Q633" s="0" t="s">
        <v>242</v>
      </c>
      <c r="R633" s="0" t="n">
        <v>1</v>
      </c>
      <c r="S633" s="5" t="n">
        <v>575</v>
      </c>
      <c r="T633" s="0" t="s">
        <v>243</v>
      </c>
      <c r="U633" s="0" t="n">
        <v>0</v>
      </c>
      <c r="V633" s="0" t="s">
        <v>230</v>
      </c>
      <c r="Y633" s="0" t="s">
        <v>278</v>
      </c>
      <c r="Z633" s="0" t="s">
        <v>2657</v>
      </c>
      <c r="AA633" s="0" t="s">
        <v>235</v>
      </c>
      <c r="AB633" s="32" t="n">
        <v>2450</v>
      </c>
      <c r="AC633" s="32" t="n">
        <v>2450</v>
      </c>
      <c r="AD633" s="26" t="n">
        <f aca="false">IFERROR(AB633/B633,"")</f>
        <v>4.26086956521739</v>
      </c>
      <c r="AE633" s="26" t="n">
        <f aca="false">IFERROR(AC633/B633,"")</f>
        <v>4.26086956521739</v>
      </c>
      <c r="AF633" s="0" t="s">
        <v>230</v>
      </c>
      <c r="AG633" s="0" t="s">
        <v>236</v>
      </c>
      <c r="AH633" s="0" t="s">
        <v>236</v>
      </c>
      <c r="AI633" s="0" t="s">
        <v>2034</v>
      </c>
      <c r="AJ633" s="0" t="s">
        <v>2981</v>
      </c>
      <c r="AK633" s="0" t="s">
        <v>2982</v>
      </c>
      <c r="AL633" s="0" t="s">
        <v>2983</v>
      </c>
      <c r="AM633" s="0" t="s">
        <v>94</v>
      </c>
      <c r="AN633" s="26" t="n">
        <f aca="false">IFERROR(E633*(1+IF(AM633="Apartment",Data_Summary!$C$3,0)),"")</f>
        <v>4.26086956521739</v>
      </c>
      <c r="AO633" s="4" t="n">
        <v>46195</v>
      </c>
    </row>
    <row r="634" customFormat="false" ht="15" hidden="false" customHeight="false" outlineLevel="0" collapsed="false">
      <c r="A634" s="0" t="n">
        <f aca="false">IF(AND(ISNUMBER(B634),B634&gt;0,ISNUMBER(AB634),AB634&gt;0,J634&gt;=Data_Summary!$C$1),1,0)</f>
        <v>1</v>
      </c>
      <c r="B634" s="30" t="n">
        <v>678</v>
      </c>
      <c r="C634" s="5" t="n">
        <f aca="false">IF(ISNUMBER(AB634),AB634,"")</f>
        <v>2650</v>
      </c>
      <c r="D634" s="0" t="n">
        <f aca="false">IF(ISNUMBER(C634),C634-U634*Data_Summary!$C$2,"")</f>
        <v>2650</v>
      </c>
      <c r="E634" s="31" t="n">
        <f aca="false">IFERROR(C634/B634,"")</f>
        <v>3.90855457227139</v>
      </c>
      <c r="F634" s="26" t="n">
        <f aca="false">IFERROR(D634/B634,"")</f>
        <v>3.90855457227139</v>
      </c>
      <c r="G634" s="0" t="str">
        <f aca="false">Q634</f>
        <v>1+1</v>
      </c>
      <c r="H634" s="0" t="str">
        <f aca="false">IFERROR(LEFT(G634,1),"")</f>
        <v>1</v>
      </c>
      <c r="I634" s="0" t="n">
        <f aca="false">IF(LEN(G634)&gt;1,1,0)</f>
        <v>1</v>
      </c>
      <c r="J634" s="4" t="n">
        <v>45894</v>
      </c>
      <c r="K634" s="0" t="s">
        <v>13</v>
      </c>
      <c r="L634" s="0" t="s">
        <v>101</v>
      </c>
      <c r="M634" s="0" t="s">
        <v>226</v>
      </c>
      <c r="N634" s="0" t="s">
        <v>103</v>
      </c>
      <c r="O634" s="0" t="s">
        <v>1095</v>
      </c>
      <c r="Q634" s="0" t="s">
        <v>270</v>
      </c>
      <c r="R634" s="0" t="n">
        <v>2</v>
      </c>
      <c r="S634" s="5" t="n">
        <v>678</v>
      </c>
      <c r="T634" s="0" t="s">
        <v>271</v>
      </c>
      <c r="U634" s="0" t="n">
        <v>0</v>
      </c>
      <c r="V634" s="0" t="s">
        <v>230</v>
      </c>
      <c r="W634" s="0" t="s">
        <v>231</v>
      </c>
      <c r="Y634" s="0" t="s">
        <v>253</v>
      </c>
      <c r="Z634" s="0" t="s">
        <v>2657</v>
      </c>
      <c r="AA634" s="0" t="s">
        <v>235</v>
      </c>
      <c r="AB634" s="32" t="n">
        <v>2650</v>
      </c>
      <c r="AC634" s="32" t="n">
        <v>2650</v>
      </c>
      <c r="AD634" s="26" t="n">
        <f aca="false">IFERROR(AB634/B634,"")</f>
        <v>3.90855457227139</v>
      </c>
      <c r="AE634" s="26" t="n">
        <f aca="false">IFERROR(AC634/B634,"")</f>
        <v>3.90855457227139</v>
      </c>
      <c r="AF634" s="0" t="s">
        <v>236</v>
      </c>
      <c r="AG634" s="0" t="s">
        <v>236</v>
      </c>
      <c r="AH634" s="0" t="s">
        <v>230</v>
      </c>
      <c r="AI634" s="0" t="s">
        <v>897</v>
      </c>
      <c r="AJ634" s="0" t="s">
        <v>2984</v>
      </c>
      <c r="AK634" s="0" t="s">
        <v>2985</v>
      </c>
      <c r="AL634" s="0" t="s">
        <v>2986</v>
      </c>
      <c r="AM634" s="0" t="s">
        <v>94</v>
      </c>
      <c r="AN634" s="26" t="n">
        <f aca="false">IFERROR(E634*(1+IF(AM634="Apartment",Data_Summary!$C$3,0)),"")</f>
        <v>3.90855457227139</v>
      </c>
      <c r="AO634" s="4" t="n">
        <v>46195</v>
      </c>
    </row>
    <row r="635" customFormat="false" ht="15" hidden="false" customHeight="false" outlineLevel="0" collapsed="false">
      <c r="A635" s="0" t="n">
        <f aca="false">IF(AND(ISNUMBER(B635),B635&gt;0,ISNUMBER(AB635),AB635&gt;0,J635&gt;=Data_Summary!$C$1),1,0)</f>
        <v>1</v>
      </c>
      <c r="B635" s="30" t="n">
        <v>564</v>
      </c>
      <c r="C635" s="5" t="n">
        <f aca="false">IF(ISNUMBER(AB635),AB635,"")</f>
        <v>2300</v>
      </c>
      <c r="D635" s="0" t="n">
        <f aca="false">IF(ISNUMBER(C635),C635-U635*Data_Summary!$C$2,"")</f>
        <v>2300</v>
      </c>
      <c r="E635" s="31" t="n">
        <f aca="false">IFERROR(C635/B635,"")</f>
        <v>4.07801418439716</v>
      </c>
      <c r="F635" s="26" t="n">
        <f aca="false">IFERROR(D635/B635,"")</f>
        <v>4.07801418439716</v>
      </c>
      <c r="G635" s="0" t="str">
        <f aca="false">Q635</f>
        <v>1</v>
      </c>
      <c r="H635" s="0" t="str">
        <f aca="false">IFERROR(LEFT(G635,1),"")</f>
        <v>1</v>
      </c>
      <c r="I635" s="0" t="n">
        <f aca="false">IF(LEN(G635)&gt;1,1,0)</f>
        <v>0</v>
      </c>
      <c r="J635" s="4" t="n">
        <v>45889</v>
      </c>
      <c r="K635" s="0" t="s">
        <v>13</v>
      </c>
      <c r="L635" s="0" t="s">
        <v>101</v>
      </c>
      <c r="M635" s="0" t="s">
        <v>226</v>
      </c>
      <c r="N635" s="0" t="s">
        <v>103</v>
      </c>
      <c r="O635" s="0" t="s">
        <v>2987</v>
      </c>
      <c r="Q635" s="0" t="s">
        <v>242</v>
      </c>
      <c r="R635" s="0" t="n">
        <v>1</v>
      </c>
      <c r="S635" s="5" t="n">
        <v>564</v>
      </c>
      <c r="T635" s="0" t="s">
        <v>243</v>
      </c>
      <c r="U635" s="0" t="n">
        <v>0</v>
      </c>
      <c r="V635" s="0" t="s">
        <v>230</v>
      </c>
      <c r="W635" s="0" t="s">
        <v>244</v>
      </c>
      <c r="Y635" s="0" t="s">
        <v>253</v>
      </c>
      <c r="Z635" s="0" t="s">
        <v>2657</v>
      </c>
      <c r="AA635" s="0" t="s">
        <v>235</v>
      </c>
      <c r="AB635" s="32" t="n">
        <v>2300</v>
      </c>
      <c r="AC635" s="32" t="n">
        <v>2250</v>
      </c>
      <c r="AD635" s="26" t="n">
        <f aca="false">IFERROR(AB635/B635,"")</f>
        <v>4.07801418439716</v>
      </c>
      <c r="AE635" s="26" t="n">
        <f aca="false">IFERROR(AC635/B635,"")</f>
        <v>3.98936170212766</v>
      </c>
      <c r="AF635" s="0" t="s">
        <v>236</v>
      </c>
      <c r="AG635" s="0" t="s">
        <v>236</v>
      </c>
      <c r="AH635" s="0" t="s">
        <v>236</v>
      </c>
      <c r="AI635" s="0" t="s">
        <v>2988</v>
      </c>
      <c r="AJ635" s="0" t="s">
        <v>2989</v>
      </c>
      <c r="AK635" s="0" t="s">
        <v>2990</v>
      </c>
      <c r="AL635" s="0" t="s">
        <v>2991</v>
      </c>
      <c r="AM635" s="0" t="s">
        <v>94</v>
      </c>
      <c r="AN635" s="26" t="n">
        <f aca="false">IFERROR(E635*(1+IF(AM635="Apartment",Data_Summary!$C$3,0)),"")</f>
        <v>4.07801418439716</v>
      </c>
      <c r="AO635" s="4" t="n">
        <v>46195</v>
      </c>
    </row>
    <row r="636" customFormat="false" ht="15" hidden="false" customHeight="false" outlineLevel="0" collapsed="false">
      <c r="A636" s="0" t="n">
        <f aca="false">IF(AND(ISNUMBER(B636),B636&gt;0,ISNUMBER(AB636),AB636&gt;0,J636&gt;=Data_Summary!$C$1),1,0)</f>
        <v>1</v>
      </c>
      <c r="B636" s="30" t="n">
        <v>602</v>
      </c>
      <c r="C636" s="5" t="n">
        <f aca="false">IF(ISNUMBER(AB636),AB636,"")</f>
        <v>2400</v>
      </c>
      <c r="D636" s="0" t="n">
        <f aca="false">IF(ISNUMBER(C636),C636-U636*Data_Summary!$C$2,"")</f>
        <v>2400</v>
      </c>
      <c r="E636" s="31" t="n">
        <f aca="false">IFERROR(C636/B636,"")</f>
        <v>3.98671096345515</v>
      </c>
      <c r="F636" s="26" t="n">
        <f aca="false">IFERROR(D636/B636,"")</f>
        <v>3.98671096345515</v>
      </c>
      <c r="G636" s="0" t="str">
        <f aca="false">Q636</f>
        <v>1</v>
      </c>
      <c r="H636" s="0" t="str">
        <f aca="false">IFERROR(LEFT(G636,1),"")</f>
        <v>1</v>
      </c>
      <c r="I636" s="0" t="n">
        <f aca="false">IF(LEN(G636)&gt;1,1,0)</f>
        <v>0</v>
      </c>
      <c r="J636" s="4" t="n">
        <v>45882</v>
      </c>
      <c r="K636" s="0" t="s">
        <v>13</v>
      </c>
      <c r="L636" s="0" t="s">
        <v>101</v>
      </c>
      <c r="M636" s="0" t="s">
        <v>226</v>
      </c>
      <c r="N636" s="0" t="s">
        <v>103</v>
      </c>
      <c r="O636" s="0" t="s">
        <v>1134</v>
      </c>
      <c r="Q636" s="0" t="s">
        <v>242</v>
      </c>
      <c r="R636" s="0" t="n">
        <v>1</v>
      </c>
      <c r="S636" s="5" t="n">
        <v>602</v>
      </c>
      <c r="T636" s="0" t="s">
        <v>271</v>
      </c>
      <c r="U636" s="0" t="n">
        <v>0</v>
      </c>
      <c r="V636" s="0" t="s">
        <v>230</v>
      </c>
      <c r="W636" s="0" t="s">
        <v>244</v>
      </c>
      <c r="Y636" s="0" t="s">
        <v>278</v>
      </c>
      <c r="Z636" s="0" t="s">
        <v>2657</v>
      </c>
      <c r="AA636" s="0" t="s">
        <v>235</v>
      </c>
      <c r="AB636" s="32" t="n">
        <v>2400</v>
      </c>
      <c r="AC636" s="32" t="n">
        <v>2400</v>
      </c>
      <c r="AD636" s="26" t="n">
        <f aca="false">IFERROR(AB636/B636,"")</f>
        <v>3.98671096345515</v>
      </c>
      <c r="AE636" s="26" t="n">
        <f aca="false">IFERROR(AC636/B636,"")</f>
        <v>3.98671096345515</v>
      </c>
      <c r="AF636" s="0" t="s">
        <v>236</v>
      </c>
      <c r="AG636" s="0" t="s">
        <v>236</v>
      </c>
      <c r="AH636" s="0" t="s">
        <v>236</v>
      </c>
      <c r="AI636" s="0" t="s">
        <v>922</v>
      </c>
      <c r="AJ636" s="0" t="s">
        <v>2992</v>
      </c>
      <c r="AK636" s="0" t="s">
        <v>2993</v>
      </c>
      <c r="AL636" s="0" t="s">
        <v>2994</v>
      </c>
      <c r="AM636" s="0" t="s">
        <v>94</v>
      </c>
      <c r="AN636" s="26" t="n">
        <f aca="false">IFERROR(E636*(1+IF(AM636="Apartment",Data_Summary!$C$3,0)),"")</f>
        <v>3.98671096345515</v>
      </c>
      <c r="AO636" s="4" t="n">
        <v>46195</v>
      </c>
    </row>
    <row r="637" customFormat="false" ht="15" hidden="false" customHeight="false" outlineLevel="0" collapsed="false">
      <c r="A637" s="0" t="n">
        <f aca="false">IF(AND(ISNUMBER(B637),B637&gt;0,ISNUMBER(AB637),AB637&gt;0,J637&gt;=Data_Summary!$C$1),1,0)</f>
        <v>1</v>
      </c>
      <c r="B637" s="30" t="n">
        <v>575</v>
      </c>
      <c r="C637" s="5" t="n">
        <f aca="false">IF(ISNUMBER(AB637),AB637,"")</f>
        <v>2300</v>
      </c>
      <c r="D637" s="0" t="n">
        <f aca="false">IF(ISNUMBER(C637),C637-U637*Data_Summary!$C$2,"")</f>
        <v>2300</v>
      </c>
      <c r="E637" s="31" t="n">
        <f aca="false">IFERROR(C637/B637,"")</f>
        <v>4</v>
      </c>
      <c r="F637" s="26" t="n">
        <f aca="false">IFERROR(D637/B637,"")</f>
        <v>4</v>
      </c>
      <c r="G637" s="0" t="str">
        <f aca="false">Q637</f>
        <v>1</v>
      </c>
      <c r="H637" s="0" t="str">
        <f aca="false">IFERROR(LEFT(G637,1),"")</f>
        <v>1</v>
      </c>
      <c r="I637" s="0" t="n">
        <f aca="false">IF(LEN(G637)&gt;1,1,0)</f>
        <v>0</v>
      </c>
      <c r="J637" s="4" t="n">
        <v>45881</v>
      </c>
      <c r="K637" s="0" t="s">
        <v>13</v>
      </c>
      <c r="L637" s="0" t="s">
        <v>101</v>
      </c>
      <c r="M637" s="0" t="s">
        <v>226</v>
      </c>
      <c r="N637" s="0" t="s">
        <v>103</v>
      </c>
      <c r="O637" s="0" t="s">
        <v>2487</v>
      </c>
      <c r="Q637" s="0" t="s">
        <v>242</v>
      </c>
      <c r="R637" s="0" t="n">
        <v>1</v>
      </c>
      <c r="S637" s="5" t="n">
        <v>575</v>
      </c>
      <c r="T637" s="0" t="s">
        <v>243</v>
      </c>
      <c r="U637" s="0" t="n">
        <v>0</v>
      </c>
      <c r="V637" s="0" t="s">
        <v>230</v>
      </c>
      <c r="W637" s="0" t="s">
        <v>244</v>
      </c>
      <c r="Y637" s="0" t="s">
        <v>297</v>
      </c>
      <c r="Z637" s="0" t="s">
        <v>2657</v>
      </c>
      <c r="AA637" s="0" t="s">
        <v>235</v>
      </c>
      <c r="AB637" s="32" t="n">
        <v>2300</v>
      </c>
      <c r="AC637" s="32" t="n">
        <v>2350</v>
      </c>
      <c r="AD637" s="26" t="n">
        <f aca="false">IFERROR(AB637/B637,"")</f>
        <v>4</v>
      </c>
      <c r="AE637" s="26" t="n">
        <f aca="false">IFERROR(AC637/B637,"")</f>
        <v>4.08695652173913</v>
      </c>
      <c r="AF637" s="0" t="s">
        <v>236</v>
      </c>
      <c r="AG637" s="0" t="s">
        <v>236</v>
      </c>
      <c r="AH637" s="0" t="s">
        <v>236</v>
      </c>
      <c r="AI637" s="0" t="s">
        <v>927</v>
      </c>
      <c r="AJ637" s="0" t="s">
        <v>2995</v>
      </c>
      <c r="AK637" s="0" t="s">
        <v>2996</v>
      </c>
      <c r="AL637" s="0" t="s">
        <v>2997</v>
      </c>
      <c r="AM637" s="0" t="s">
        <v>94</v>
      </c>
      <c r="AN637" s="26" t="n">
        <f aca="false">IFERROR(E637*(1+IF(AM637="Apartment",Data_Summary!$C$3,0)),"")</f>
        <v>4</v>
      </c>
      <c r="AO637" s="4" t="n">
        <v>46195</v>
      </c>
    </row>
    <row r="638" customFormat="false" ht="15" hidden="false" customHeight="false" outlineLevel="0" collapsed="false">
      <c r="A638" s="0" t="n">
        <f aca="false">IF(AND(ISNUMBER(B638),B638&gt;0,ISNUMBER(AB638),AB638&gt;0,J638&gt;=Data_Summary!$C$1),1,0)</f>
        <v>1</v>
      </c>
      <c r="B638" s="30" t="n">
        <v>564</v>
      </c>
      <c r="C638" s="5" t="n">
        <f aca="false">IF(ISNUMBER(AB638),AB638,"")</f>
        <v>2350</v>
      </c>
      <c r="D638" s="0" t="n">
        <f aca="false">IF(ISNUMBER(C638),C638-U638*Data_Summary!$C$2,"")</f>
        <v>2350</v>
      </c>
      <c r="E638" s="31" t="n">
        <f aca="false">IFERROR(C638/B638,"")</f>
        <v>4.16666666666667</v>
      </c>
      <c r="F638" s="26" t="n">
        <f aca="false">IFERROR(D638/B638,"")</f>
        <v>4.16666666666667</v>
      </c>
      <c r="G638" s="0" t="str">
        <f aca="false">Q638</f>
        <v>1</v>
      </c>
      <c r="H638" s="0" t="str">
        <f aca="false">IFERROR(LEFT(G638,1),"")</f>
        <v>1</v>
      </c>
      <c r="I638" s="0" t="n">
        <f aca="false">IF(LEN(G638)&gt;1,1,0)</f>
        <v>0</v>
      </c>
      <c r="J638" s="4" t="n">
        <v>45880</v>
      </c>
      <c r="K638" s="0" t="s">
        <v>13</v>
      </c>
      <c r="L638" s="0" t="s">
        <v>101</v>
      </c>
      <c r="M638" s="0" t="s">
        <v>226</v>
      </c>
      <c r="N638" s="0" t="s">
        <v>103</v>
      </c>
      <c r="O638" s="0" t="s">
        <v>2023</v>
      </c>
      <c r="Q638" s="0" t="s">
        <v>242</v>
      </c>
      <c r="R638" s="0" t="n">
        <v>1</v>
      </c>
      <c r="S638" s="5" t="n">
        <v>564</v>
      </c>
      <c r="T638" s="0" t="s">
        <v>243</v>
      </c>
      <c r="U638" s="0" t="n">
        <v>0</v>
      </c>
      <c r="V638" s="0" t="s">
        <v>230</v>
      </c>
      <c r="W638" s="0" t="s">
        <v>244</v>
      </c>
      <c r="Y638" s="0" t="s">
        <v>278</v>
      </c>
      <c r="Z638" s="0" t="s">
        <v>2657</v>
      </c>
      <c r="AA638" s="0" t="s">
        <v>235</v>
      </c>
      <c r="AB638" s="32" t="n">
        <v>2350</v>
      </c>
      <c r="AC638" s="32" t="n">
        <v>2350</v>
      </c>
      <c r="AD638" s="26" t="n">
        <f aca="false">IFERROR(AB638/B638,"")</f>
        <v>4.16666666666667</v>
      </c>
      <c r="AE638" s="26" t="n">
        <f aca="false">IFERROR(AC638/B638,"")</f>
        <v>4.16666666666667</v>
      </c>
      <c r="AF638" s="0" t="s">
        <v>236</v>
      </c>
      <c r="AG638" s="0" t="s">
        <v>236</v>
      </c>
      <c r="AH638" s="0" t="s">
        <v>236</v>
      </c>
      <c r="AI638" s="0" t="s">
        <v>932</v>
      </c>
      <c r="AJ638" s="0" t="s">
        <v>2998</v>
      </c>
      <c r="AK638" s="0" t="s">
        <v>2999</v>
      </c>
      <c r="AL638" s="0" t="s">
        <v>3000</v>
      </c>
      <c r="AM638" s="0" t="s">
        <v>94</v>
      </c>
      <c r="AN638" s="26" t="n">
        <f aca="false">IFERROR(E638*(1+IF(AM638="Apartment",Data_Summary!$C$3,0)),"")</f>
        <v>4.16666666666667</v>
      </c>
      <c r="AO638" s="4" t="n">
        <v>46195</v>
      </c>
    </row>
    <row r="639" customFormat="false" ht="15" hidden="false" customHeight="false" outlineLevel="0" collapsed="false">
      <c r="A639" s="0" t="n">
        <f aca="false">IF(AND(ISNUMBER(B639),B639&gt;0,ISNUMBER(AB639),AB639&gt;0,J639&gt;=Data_Summary!$C$1),1,0)</f>
        <v>1</v>
      </c>
      <c r="B639" s="30" t="n">
        <v>651</v>
      </c>
      <c r="C639" s="5" t="n">
        <f aca="false">IF(ISNUMBER(AB639),AB639,"")</f>
        <v>2600</v>
      </c>
      <c r="D639" s="0" t="n">
        <f aca="false">IF(ISNUMBER(C639),C639-U639*Data_Summary!$C$2,"")</f>
        <v>2600</v>
      </c>
      <c r="E639" s="31" t="n">
        <f aca="false">IFERROR(C639/B639,"")</f>
        <v>3.99385560675883</v>
      </c>
      <c r="F639" s="26" t="n">
        <f aca="false">IFERROR(D639/B639,"")</f>
        <v>3.99385560675883</v>
      </c>
      <c r="G639" s="0" t="str">
        <f aca="false">Q639</f>
        <v>1+1</v>
      </c>
      <c r="H639" s="0" t="str">
        <f aca="false">IFERROR(LEFT(G639,1),"")</f>
        <v>1</v>
      </c>
      <c r="I639" s="0" t="n">
        <f aca="false">IF(LEN(G639)&gt;1,1,0)</f>
        <v>1</v>
      </c>
      <c r="J639" s="4" t="n">
        <v>45880</v>
      </c>
      <c r="K639" s="0" t="s">
        <v>13</v>
      </c>
      <c r="L639" s="0" t="s">
        <v>101</v>
      </c>
      <c r="M639" s="0" t="s">
        <v>226</v>
      </c>
      <c r="N639" s="0" t="s">
        <v>103</v>
      </c>
      <c r="O639" s="0" t="s">
        <v>3001</v>
      </c>
      <c r="Q639" s="0" t="s">
        <v>270</v>
      </c>
      <c r="R639" s="0" t="n">
        <v>1</v>
      </c>
      <c r="S639" s="5" t="n">
        <v>651</v>
      </c>
      <c r="T639" s="0" t="s">
        <v>271</v>
      </c>
      <c r="U639" s="0" t="n">
        <v>0</v>
      </c>
      <c r="V639" s="0" t="s">
        <v>230</v>
      </c>
      <c r="W639" s="0" t="s">
        <v>244</v>
      </c>
      <c r="Y639" s="0" t="s">
        <v>278</v>
      </c>
      <c r="Z639" s="0" t="s">
        <v>2657</v>
      </c>
      <c r="AA639" s="0" t="s">
        <v>235</v>
      </c>
      <c r="AB639" s="32" t="n">
        <v>2600</v>
      </c>
      <c r="AC639" s="32" t="n">
        <v>2600</v>
      </c>
      <c r="AD639" s="26" t="n">
        <f aca="false">IFERROR(AB639/B639,"")</f>
        <v>3.99385560675883</v>
      </c>
      <c r="AE639" s="26" t="n">
        <f aca="false">IFERROR(AC639/B639,"")</f>
        <v>3.99385560675883</v>
      </c>
      <c r="AF639" s="0" t="s">
        <v>236</v>
      </c>
      <c r="AG639" s="0" t="s">
        <v>236</v>
      </c>
      <c r="AH639" s="0" t="s">
        <v>236</v>
      </c>
      <c r="AI639" s="0" t="s">
        <v>932</v>
      </c>
      <c r="AJ639" s="0" t="s">
        <v>3002</v>
      </c>
      <c r="AK639" s="0" t="s">
        <v>3003</v>
      </c>
      <c r="AL639" s="0" t="s">
        <v>3004</v>
      </c>
      <c r="AM639" s="0" t="s">
        <v>94</v>
      </c>
      <c r="AN639" s="26" t="n">
        <f aca="false">IFERROR(E639*(1+IF(AM639="Apartment",Data_Summary!$C$3,0)),"")</f>
        <v>3.99385560675883</v>
      </c>
      <c r="AO639" s="4" t="n">
        <v>46195</v>
      </c>
    </row>
    <row r="640" customFormat="false" ht="15" hidden="false" customHeight="false" outlineLevel="0" collapsed="false">
      <c r="A640" s="0" t="n">
        <f aca="false">IF(AND(ISNUMBER(B640),B640&gt;0,ISNUMBER(AB640),AB640&gt;0,J640&gt;=Data_Summary!$C$1),1,0)</f>
        <v>1</v>
      </c>
      <c r="B640" s="30" t="n">
        <v>830</v>
      </c>
      <c r="C640" s="5" t="n">
        <f aca="false">IF(ISNUMBER(AB640),AB640,"")</f>
        <v>3450</v>
      </c>
      <c r="D640" s="0" t="n">
        <f aca="false">IF(ISNUMBER(C640),C640-U640*Data_Summary!$C$2,"")</f>
        <v>3300</v>
      </c>
      <c r="E640" s="31" t="n">
        <f aca="false">IFERROR(C640/B640,"")</f>
        <v>4.1566265060241</v>
      </c>
      <c r="F640" s="26" t="n">
        <f aca="false">IFERROR(D640/B640,"")</f>
        <v>3.97590361445783</v>
      </c>
      <c r="G640" s="0" t="str">
        <f aca="false">Q640</f>
        <v>2</v>
      </c>
      <c r="H640" s="0" t="str">
        <f aca="false">IFERROR(LEFT(G640,1),"")</f>
        <v>2</v>
      </c>
      <c r="I640" s="0" t="n">
        <f aca="false">IF(LEN(G640)&gt;1,1,0)</f>
        <v>0</v>
      </c>
      <c r="J640" s="4" t="n">
        <v>45879</v>
      </c>
      <c r="K640" s="0" t="s">
        <v>13</v>
      </c>
      <c r="L640" s="0" t="s">
        <v>101</v>
      </c>
      <c r="M640" s="0" t="s">
        <v>226</v>
      </c>
      <c r="N640" s="0" t="s">
        <v>103</v>
      </c>
      <c r="O640" s="0" t="s">
        <v>2509</v>
      </c>
      <c r="Q640" s="0" t="s">
        <v>251</v>
      </c>
      <c r="R640" s="0" t="n">
        <v>2</v>
      </c>
      <c r="S640" s="5" t="n">
        <v>830</v>
      </c>
      <c r="T640" s="0" t="s">
        <v>229</v>
      </c>
      <c r="U640" s="0" t="n">
        <v>1</v>
      </c>
      <c r="V640" s="0" t="s">
        <v>230</v>
      </c>
      <c r="W640" s="0" t="s">
        <v>244</v>
      </c>
      <c r="X640" s="0" t="s">
        <v>232</v>
      </c>
      <c r="Y640" s="0" t="s">
        <v>308</v>
      </c>
      <c r="Z640" s="0" t="s">
        <v>2657</v>
      </c>
      <c r="AA640" s="0" t="s">
        <v>235</v>
      </c>
      <c r="AB640" s="32" t="n">
        <v>3450</v>
      </c>
      <c r="AC640" s="32" t="n">
        <v>3500</v>
      </c>
      <c r="AD640" s="26" t="n">
        <f aca="false">IFERROR(AB640/B640,"")</f>
        <v>4.1566265060241</v>
      </c>
      <c r="AE640" s="26" t="n">
        <f aca="false">IFERROR(AC640/B640,"")</f>
        <v>4.21686746987952</v>
      </c>
      <c r="AF640" s="0" t="s">
        <v>236</v>
      </c>
      <c r="AG640" s="0" t="s">
        <v>236</v>
      </c>
      <c r="AH640" s="0" t="s">
        <v>236</v>
      </c>
      <c r="AI640" s="0" t="s">
        <v>3005</v>
      </c>
      <c r="AJ640" s="0" t="s">
        <v>3006</v>
      </c>
      <c r="AK640" s="0" t="s">
        <v>3007</v>
      </c>
      <c r="AL640" s="0" t="s">
        <v>3008</v>
      </c>
      <c r="AM640" s="0" t="s">
        <v>94</v>
      </c>
      <c r="AN640" s="26" t="n">
        <f aca="false">IFERROR(E640*(1+IF(AM640="Apartment",Data_Summary!$C$3,0)),"")</f>
        <v>4.1566265060241</v>
      </c>
      <c r="AO640" s="4" t="n">
        <v>46195</v>
      </c>
    </row>
    <row r="641" customFormat="false" ht="15" hidden="false" customHeight="false" outlineLevel="0" collapsed="false">
      <c r="A641" s="0" t="n">
        <f aca="false">IF(AND(ISNUMBER(B641),B641&gt;0,ISNUMBER(AB641),AB641&gt;0,J641&gt;=Data_Summary!$C$1),1,0)</f>
        <v>1</v>
      </c>
      <c r="B641" s="30" t="n">
        <v>575</v>
      </c>
      <c r="C641" s="5" t="n">
        <f aca="false">IF(ISNUMBER(AB641),AB641,"")</f>
        <v>2300</v>
      </c>
      <c r="D641" s="0" t="n">
        <f aca="false">IF(ISNUMBER(C641),C641-U641*Data_Summary!$C$2,"")</f>
        <v>2300</v>
      </c>
      <c r="E641" s="31" t="n">
        <f aca="false">IFERROR(C641/B641,"")</f>
        <v>4</v>
      </c>
      <c r="F641" s="26" t="n">
        <f aca="false">IFERROR(D641/B641,"")</f>
        <v>4</v>
      </c>
      <c r="G641" s="0" t="str">
        <f aca="false">Q641</f>
        <v>1</v>
      </c>
      <c r="H641" s="0" t="str">
        <f aca="false">IFERROR(LEFT(G641,1),"")</f>
        <v>1</v>
      </c>
      <c r="I641" s="0" t="n">
        <f aca="false">IF(LEN(G641)&gt;1,1,0)</f>
        <v>0</v>
      </c>
      <c r="J641" s="4" t="n">
        <v>45878</v>
      </c>
      <c r="K641" s="0" t="s">
        <v>13</v>
      </c>
      <c r="L641" s="0" t="s">
        <v>101</v>
      </c>
      <c r="M641" s="0" t="s">
        <v>226</v>
      </c>
      <c r="N641" s="0" t="s">
        <v>103</v>
      </c>
      <c r="O641" s="0" t="s">
        <v>2633</v>
      </c>
      <c r="Q641" s="0" t="s">
        <v>242</v>
      </c>
      <c r="R641" s="0" t="n">
        <v>1</v>
      </c>
      <c r="S641" s="5" t="n">
        <v>575</v>
      </c>
      <c r="T641" s="0" t="s">
        <v>243</v>
      </c>
      <c r="U641" s="0" t="n">
        <v>0</v>
      </c>
      <c r="V641" s="0" t="s">
        <v>230</v>
      </c>
      <c r="W641" s="0" t="s">
        <v>244</v>
      </c>
      <c r="Y641" s="0" t="s">
        <v>278</v>
      </c>
      <c r="Z641" s="0" t="s">
        <v>2657</v>
      </c>
      <c r="AA641" s="0" t="s">
        <v>235</v>
      </c>
      <c r="AB641" s="32" t="n">
        <v>2300</v>
      </c>
      <c r="AC641" s="32" t="n">
        <v>2300</v>
      </c>
      <c r="AD641" s="26" t="n">
        <f aca="false">IFERROR(AB641/B641,"")</f>
        <v>4</v>
      </c>
      <c r="AE641" s="26" t="n">
        <f aca="false">IFERROR(AC641/B641,"")</f>
        <v>4</v>
      </c>
      <c r="AF641" s="0" t="s">
        <v>236</v>
      </c>
      <c r="AG641" s="0" t="s">
        <v>236</v>
      </c>
      <c r="AH641" s="0" t="s">
        <v>236</v>
      </c>
      <c r="AI641" s="0" t="s">
        <v>941</v>
      </c>
      <c r="AJ641" s="0" t="s">
        <v>3009</v>
      </c>
      <c r="AK641" s="0" t="s">
        <v>3010</v>
      </c>
      <c r="AL641" s="0" t="s">
        <v>3011</v>
      </c>
      <c r="AM641" s="0" t="s">
        <v>94</v>
      </c>
      <c r="AN641" s="26" t="n">
        <f aca="false">IFERROR(E641*(1+IF(AM641="Apartment",Data_Summary!$C$3,0)),"")</f>
        <v>4</v>
      </c>
      <c r="AO641" s="4" t="n">
        <v>46195</v>
      </c>
    </row>
    <row r="642" customFormat="false" ht="15" hidden="false" customHeight="false" outlineLevel="0" collapsed="false">
      <c r="A642" s="0" t="n">
        <f aca="false">IF(AND(ISNUMBER(B642),B642&gt;0,ISNUMBER(AB642),AB642&gt;0,J642&gt;=Data_Summary!$C$1),1,0)</f>
        <v>1</v>
      </c>
      <c r="B642" s="30" t="n">
        <v>575</v>
      </c>
      <c r="C642" s="5" t="n">
        <f aca="false">IF(ISNUMBER(AB642),AB642,"")</f>
        <v>2250</v>
      </c>
      <c r="D642" s="0" t="n">
        <f aca="false">IF(ISNUMBER(C642),C642-U642*Data_Summary!$C$2,"")</f>
        <v>2250</v>
      </c>
      <c r="E642" s="31" t="n">
        <f aca="false">IFERROR(C642/B642,"")</f>
        <v>3.91304347826087</v>
      </c>
      <c r="F642" s="26" t="n">
        <f aca="false">IFERROR(D642/B642,"")</f>
        <v>3.91304347826087</v>
      </c>
      <c r="G642" s="0" t="str">
        <f aca="false">Q642</f>
        <v>1</v>
      </c>
      <c r="H642" s="0" t="str">
        <f aca="false">IFERROR(LEFT(G642,1),"")</f>
        <v>1</v>
      </c>
      <c r="I642" s="0" t="n">
        <f aca="false">IF(LEN(G642)&gt;1,1,0)</f>
        <v>0</v>
      </c>
      <c r="J642" s="4" t="n">
        <v>45873</v>
      </c>
      <c r="K642" s="0" t="s">
        <v>13</v>
      </c>
      <c r="L642" s="0" t="s">
        <v>101</v>
      </c>
      <c r="M642" s="0" t="s">
        <v>226</v>
      </c>
      <c r="N642" s="0" t="s">
        <v>103</v>
      </c>
      <c r="O642" s="0" t="s">
        <v>2251</v>
      </c>
      <c r="Q642" s="0" t="s">
        <v>242</v>
      </c>
      <c r="R642" s="0" t="n">
        <v>1</v>
      </c>
      <c r="S642" s="5" t="n">
        <v>575</v>
      </c>
      <c r="T642" s="0" t="s">
        <v>243</v>
      </c>
      <c r="U642" s="0" t="n">
        <v>0</v>
      </c>
      <c r="V642" s="0" t="s">
        <v>230</v>
      </c>
      <c r="W642" s="0" t="s">
        <v>244</v>
      </c>
      <c r="Y642" s="0" t="s">
        <v>272</v>
      </c>
      <c r="Z642" s="0" t="s">
        <v>2657</v>
      </c>
      <c r="AA642" s="0" t="s">
        <v>235</v>
      </c>
      <c r="AB642" s="32" t="n">
        <v>2250</v>
      </c>
      <c r="AC642" s="32" t="n">
        <v>2350</v>
      </c>
      <c r="AD642" s="26" t="n">
        <f aca="false">IFERROR(AB642/B642,"")</f>
        <v>3.91304347826087</v>
      </c>
      <c r="AE642" s="26" t="n">
        <f aca="false">IFERROR(AC642/B642,"")</f>
        <v>4.08695652173913</v>
      </c>
      <c r="AF642" s="0" t="s">
        <v>236</v>
      </c>
      <c r="AG642" s="0" t="s">
        <v>236</v>
      </c>
      <c r="AH642" s="0" t="s">
        <v>236</v>
      </c>
      <c r="AI642" s="0" t="s">
        <v>964</v>
      </c>
      <c r="AJ642" s="0" t="s">
        <v>3012</v>
      </c>
      <c r="AK642" s="0" t="s">
        <v>3013</v>
      </c>
      <c r="AL642" s="0" t="s">
        <v>3014</v>
      </c>
      <c r="AM642" s="0" t="s">
        <v>94</v>
      </c>
      <c r="AN642" s="26" t="n">
        <f aca="false">IFERROR(E642*(1+IF(AM642="Apartment",Data_Summary!$C$3,0)),"")</f>
        <v>3.91304347826087</v>
      </c>
      <c r="AO642" s="4" t="n">
        <v>46195</v>
      </c>
    </row>
    <row r="643" customFormat="false" ht="15" hidden="false" customHeight="false" outlineLevel="0" collapsed="false">
      <c r="A643" s="0" t="n">
        <f aca="false">IF(AND(ISNUMBER(B643),B643&gt;0,ISNUMBER(AB643),AB643&gt;0,J643&gt;=Data_Summary!$C$1),1,0)</f>
        <v>1</v>
      </c>
      <c r="B643" s="30" t="n">
        <v>1305</v>
      </c>
      <c r="C643" s="5" t="n">
        <f aca="false">IF(ISNUMBER(AB643),AB643,"")</f>
        <v>5500</v>
      </c>
      <c r="D643" s="0" t="n">
        <f aca="false">IF(ISNUMBER(C643),C643-U643*Data_Summary!$C$2,"")</f>
        <v>5350</v>
      </c>
      <c r="E643" s="31" t="n">
        <f aca="false">IFERROR(C643/B643,"")</f>
        <v>4.21455938697318</v>
      </c>
      <c r="F643" s="26" t="n">
        <f aca="false">IFERROR(D643/B643,"")</f>
        <v>4.09961685823755</v>
      </c>
      <c r="G643" s="0" t="str">
        <f aca="false">Q643</f>
        <v>3</v>
      </c>
      <c r="H643" s="0" t="str">
        <f aca="false">IFERROR(LEFT(G643,1),"")</f>
        <v>3</v>
      </c>
      <c r="I643" s="0" t="n">
        <f aca="false">IF(LEN(G643)&gt;1,1,0)</f>
        <v>0</v>
      </c>
      <c r="J643" s="4" t="n">
        <v>45871</v>
      </c>
      <c r="K643" s="0" t="s">
        <v>13</v>
      </c>
      <c r="L643" s="0" t="s">
        <v>101</v>
      </c>
      <c r="M643" s="0" t="s">
        <v>226</v>
      </c>
      <c r="N643" s="0" t="s">
        <v>103</v>
      </c>
      <c r="O643" s="0" t="s">
        <v>1887</v>
      </c>
      <c r="Q643" s="0" t="s">
        <v>228</v>
      </c>
      <c r="R643" s="0" t="n">
        <v>3</v>
      </c>
      <c r="S643" s="5" t="n">
        <v>1305</v>
      </c>
      <c r="T643" s="0" t="s">
        <v>467</v>
      </c>
      <c r="U643" s="0" t="n">
        <v>1</v>
      </c>
      <c r="V643" s="0" t="s">
        <v>230</v>
      </c>
      <c r="W643" s="0" t="s">
        <v>231</v>
      </c>
      <c r="X643" s="0" t="s">
        <v>232</v>
      </c>
      <c r="Y643" s="0" t="s">
        <v>297</v>
      </c>
      <c r="Z643" s="0" t="s">
        <v>2657</v>
      </c>
      <c r="AA643" s="0" t="s">
        <v>235</v>
      </c>
      <c r="AB643" s="32" t="n">
        <v>5500</v>
      </c>
      <c r="AC643" s="32" t="n">
        <v>5500</v>
      </c>
      <c r="AD643" s="26" t="n">
        <f aca="false">IFERROR(AB643/B643,"")</f>
        <v>4.21455938697318</v>
      </c>
      <c r="AE643" s="26" t="n">
        <f aca="false">IFERROR(AC643/B643,"")</f>
        <v>4.21455938697318</v>
      </c>
      <c r="AF643" s="0" t="s">
        <v>236</v>
      </c>
      <c r="AG643" s="0" t="s">
        <v>236</v>
      </c>
      <c r="AH643" s="0" t="s">
        <v>236</v>
      </c>
      <c r="AI643" s="0" t="s">
        <v>973</v>
      </c>
      <c r="AJ643" s="0" t="s">
        <v>3015</v>
      </c>
      <c r="AK643" s="0" t="s">
        <v>3016</v>
      </c>
      <c r="AL643" s="0" t="s">
        <v>3017</v>
      </c>
      <c r="AM643" s="0" t="s">
        <v>94</v>
      </c>
      <c r="AN643" s="26" t="n">
        <f aca="false">IFERROR(E643*(1+IF(AM643="Apartment",Data_Summary!$C$3,0)),"")</f>
        <v>4.21455938697318</v>
      </c>
      <c r="AO643" s="4" t="n">
        <v>46195</v>
      </c>
    </row>
    <row r="644" customFormat="false" ht="15" hidden="false" customHeight="false" outlineLevel="0" collapsed="false">
      <c r="A644" s="0" t="n">
        <f aca="false">IF(AND(ISNUMBER(B644),B644&gt;0,ISNUMBER(AB644),AB644&gt;0,J644&gt;=Data_Summary!$C$1),1,0)</f>
        <v>1</v>
      </c>
      <c r="B644" s="33" t="n">
        <v>602</v>
      </c>
      <c r="C644" s="5" t="n">
        <f aca="false">IF(ISNUMBER(AB644),AB644,"")</f>
        <v>2300</v>
      </c>
      <c r="D644" s="0" t="n">
        <f aca="false">IF(ISNUMBER(C644),C644-U644*Data_Summary!$C$2,"")</f>
        <v>2300</v>
      </c>
      <c r="E644" s="34" t="n">
        <f aca="false">IFERROR(C644/B644,"")</f>
        <v>3.82059800664452</v>
      </c>
      <c r="F644" s="26" t="n">
        <f aca="false">IFERROR(D644/B644,"")</f>
        <v>3.82059800664452</v>
      </c>
      <c r="G644" s="0" t="str">
        <f aca="false">Q644</f>
        <v>1</v>
      </c>
      <c r="H644" s="0" t="str">
        <f aca="false">IFERROR(LEFT(G644,1),"")</f>
        <v>1</v>
      </c>
      <c r="I644" s="0" t="n">
        <f aca="false">IF(LEN(G644)&gt;1,1,0)</f>
        <v>0</v>
      </c>
      <c r="J644" s="4" t="n">
        <v>45869</v>
      </c>
      <c r="K644" s="0" t="s">
        <v>13</v>
      </c>
      <c r="L644" s="0" t="s">
        <v>101</v>
      </c>
      <c r="M644" s="0" t="s">
        <v>226</v>
      </c>
      <c r="N644" s="0" t="s">
        <v>103</v>
      </c>
      <c r="O644" s="0" t="s">
        <v>3018</v>
      </c>
      <c r="Q644" s="0" t="s">
        <v>242</v>
      </c>
      <c r="R644" s="0" t="n">
        <v>1</v>
      </c>
      <c r="S644" s="5" t="n">
        <v>602</v>
      </c>
      <c r="T644" s="0" t="s">
        <v>303</v>
      </c>
      <c r="U644" s="0" t="n">
        <v>0</v>
      </c>
      <c r="V644" s="0" t="s">
        <v>230</v>
      </c>
      <c r="W644" s="0" t="s">
        <v>244</v>
      </c>
      <c r="Y644" s="0" t="s">
        <v>278</v>
      </c>
      <c r="Z644" s="0" t="s">
        <v>2657</v>
      </c>
      <c r="AA644" s="0" t="s">
        <v>235</v>
      </c>
      <c r="AB644" s="32" t="n">
        <v>2300</v>
      </c>
      <c r="AC644" s="32" t="n">
        <v>2400</v>
      </c>
      <c r="AD644" s="26" t="n">
        <f aca="false">IFERROR(AB644/B644,"")</f>
        <v>3.82059800664452</v>
      </c>
      <c r="AE644" s="26" t="n">
        <f aca="false">IFERROR(AC644/B644,"")</f>
        <v>3.98671096345515</v>
      </c>
      <c r="AF644" s="0" t="s">
        <v>236</v>
      </c>
      <c r="AG644" s="0" t="s">
        <v>236</v>
      </c>
      <c r="AH644" s="0" t="s">
        <v>236</v>
      </c>
      <c r="AI644" s="0" t="s">
        <v>3019</v>
      </c>
      <c r="AJ644" s="0" t="s">
        <v>3020</v>
      </c>
      <c r="AK644" s="0" t="s">
        <v>3021</v>
      </c>
      <c r="AL644" s="0" t="s">
        <v>3022</v>
      </c>
      <c r="AM644" s="0" t="s">
        <v>94</v>
      </c>
      <c r="AN644" s="26" t="n">
        <f aca="false">IFERROR(E644*(1+IF(AM644="Apartment",Data_Summary!$C$3,0)),"")</f>
        <v>3.82059800664452</v>
      </c>
      <c r="AO644" s="4" t="n">
        <v>46195</v>
      </c>
    </row>
    <row r="645" customFormat="false" ht="15" hidden="false" customHeight="false" outlineLevel="0" collapsed="false">
      <c r="A645" s="0" t="n">
        <f aca="false">IF(AND(ISNUMBER(B645),B645&gt;0,ISNUMBER(AB645),AB645&gt;0,J645&gt;=Data_Summary!$C$1),1,0)</f>
        <v>1</v>
      </c>
      <c r="B645" s="30" t="n">
        <v>791</v>
      </c>
      <c r="C645" s="5" t="n">
        <f aca="false">IF(ISNUMBER(AB645),AB645,"")</f>
        <v>3200</v>
      </c>
      <c r="D645" s="0" t="n">
        <f aca="false">IF(ISNUMBER(C645),C645-U645*Data_Summary!$C$2,"")</f>
        <v>3050</v>
      </c>
      <c r="E645" s="31" t="n">
        <f aca="false">IFERROR(C645/B645,"")</f>
        <v>4.04551201011378</v>
      </c>
      <c r="F645" s="26" t="n">
        <f aca="false">IFERROR(D645/B645,"")</f>
        <v>3.8558786346397</v>
      </c>
      <c r="G645" s="0" t="str">
        <f aca="false">Q645</f>
        <v>2</v>
      </c>
      <c r="H645" s="0" t="str">
        <f aca="false">IFERROR(LEFT(G645,1),"")</f>
        <v>2</v>
      </c>
      <c r="I645" s="0" t="n">
        <f aca="false">IF(LEN(G645)&gt;1,1,0)</f>
        <v>0</v>
      </c>
      <c r="J645" s="4" t="n">
        <v>45867</v>
      </c>
      <c r="K645" s="0" t="s">
        <v>13</v>
      </c>
      <c r="L645" s="0" t="s">
        <v>101</v>
      </c>
      <c r="M645" s="0" t="s">
        <v>226</v>
      </c>
      <c r="N645" s="0" t="s">
        <v>103</v>
      </c>
      <c r="O645" s="0" t="s">
        <v>3023</v>
      </c>
      <c r="Q645" s="0" t="s">
        <v>251</v>
      </c>
      <c r="R645" s="0" t="n">
        <v>2</v>
      </c>
      <c r="S645" s="5" t="n">
        <v>791</v>
      </c>
      <c r="T645" s="0" t="s">
        <v>252</v>
      </c>
      <c r="U645" s="0" t="n">
        <v>1</v>
      </c>
      <c r="V645" s="0" t="s">
        <v>230</v>
      </c>
      <c r="W645" s="0" t="s">
        <v>231</v>
      </c>
      <c r="Y645" s="0" t="s">
        <v>278</v>
      </c>
      <c r="Z645" s="0" t="s">
        <v>2657</v>
      </c>
      <c r="AA645" s="0" t="s">
        <v>235</v>
      </c>
      <c r="AB645" s="32" t="n">
        <v>3200</v>
      </c>
      <c r="AC645" s="32" t="n">
        <v>3200</v>
      </c>
      <c r="AD645" s="26" t="n">
        <f aca="false">IFERROR(AB645/B645,"")</f>
        <v>4.04551201011378</v>
      </c>
      <c r="AE645" s="26" t="n">
        <f aca="false">IFERROR(AC645/B645,"")</f>
        <v>4.04551201011378</v>
      </c>
      <c r="AF645" s="0" t="s">
        <v>236</v>
      </c>
      <c r="AG645" s="0" t="s">
        <v>236</v>
      </c>
      <c r="AH645" s="0" t="s">
        <v>236</v>
      </c>
      <c r="AI645" s="0" t="s">
        <v>991</v>
      </c>
      <c r="AJ645" s="0" t="s">
        <v>3024</v>
      </c>
      <c r="AK645" s="0" t="s">
        <v>3025</v>
      </c>
      <c r="AL645" s="0" t="s">
        <v>3026</v>
      </c>
      <c r="AM645" s="0" t="s">
        <v>94</v>
      </c>
      <c r="AN645" s="26" t="n">
        <f aca="false">IFERROR(E645*(1+IF(AM645="Apartment",Data_Summary!$C$3,0)),"")</f>
        <v>4.04551201011378</v>
      </c>
      <c r="AO645" s="4" t="n">
        <v>46195</v>
      </c>
    </row>
    <row r="646" customFormat="false" ht="15" hidden="false" customHeight="false" outlineLevel="0" collapsed="false">
      <c r="A646" s="0" t="n">
        <f aca="false">IF(AND(ISNUMBER(B646),B646&gt;0,ISNUMBER(AB646),AB646&gt;0,J646&gt;=Data_Summary!$C$1),1,0)</f>
        <v>1</v>
      </c>
      <c r="B646" s="30" t="n">
        <v>582</v>
      </c>
      <c r="C646" s="5" t="n">
        <f aca="false">IF(ISNUMBER(AB646),AB646,"")</f>
        <v>2375</v>
      </c>
      <c r="D646" s="0" t="n">
        <f aca="false">IF(ISNUMBER(C646),C646-U646*Data_Summary!$C$2,"")</f>
        <v>2375</v>
      </c>
      <c r="E646" s="31" t="n">
        <f aca="false">IFERROR(C646/B646,"")</f>
        <v>4.0807560137457</v>
      </c>
      <c r="F646" s="26" t="n">
        <f aca="false">IFERROR(D646/B646,"")</f>
        <v>4.0807560137457</v>
      </c>
      <c r="G646" s="0" t="str">
        <f aca="false">Q646</f>
        <v>1</v>
      </c>
      <c r="H646" s="0" t="str">
        <f aca="false">IFERROR(LEFT(G646,1),"")</f>
        <v>1</v>
      </c>
      <c r="I646" s="0" t="n">
        <f aca="false">IF(LEN(G646)&gt;1,1,0)</f>
        <v>0</v>
      </c>
      <c r="J646" s="4" t="n">
        <v>45867</v>
      </c>
      <c r="K646" s="0" t="s">
        <v>13</v>
      </c>
      <c r="L646" s="0" t="s">
        <v>101</v>
      </c>
      <c r="M646" s="0" t="s">
        <v>226</v>
      </c>
      <c r="N646" s="0" t="s">
        <v>103</v>
      </c>
      <c r="O646" s="0" t="s">
        <v>1142</v>
      </c>
      <c r="Q646" s="0" t="s">
        <v>242</v>
      </c>
      <c r="R646" s="0" t="n">
        <v>1</v>
      </c>
      <c r="S646" s="5" t="n">
        <v>582</v>
      </c>
      <c r="T646" s="0" t="s">
        <v>243</v>
      </c>
      <c r="U646" s="0" t="n">
        <v>0</v>
      </c>
      <c r="V646" s="0" t="s">
        <v>230</v>
      </c>
      <c r="W646" s="0" t="s">
        <v>244</v>
      </c>
      <c r="Y646" s="0" t="s">
        <v>253</v>
      </c>
      <c r="Z646" s="0" t="s">
        <v>2657</v>
      </c>
      <c r="AA646" s="0" t="s">
        <v>235</v>
      </c>
      <c r="AB646" s="32" t="n">
        <v>2375</v>
      </c>
      <c r="AC646" s="32" t="n">
        <v>2400</v>
      </c>
      <c r="AD646" s="26" t="n">
        <f aca="false">IFERROR(AB646/B646,"")</f>
        <v>4.0807560137457</v>
      </c>
      <c r="AE646" s="26" t="n">
        <f aca="false">IFERROR(AC646/B646,"")</f>
        <v>4.12371134020619</v>
      </c>
      <c r="AF646" s="0" t="s">
        <v>236</v>
      </c>
      <c r="AG646" s="0" t="s">
        <v>236</v>
      </c>
      <c r="AH646" s="0" t="s">
        <v>236</v>
      </c>
      <c r="AI646" s="0" t="s">
        <v>991</v>
      </c>
      <c r="AJ646" s="0" t="s">
        <v>3027</v>
      </c>
      <c r="AK646" s="0" t="s">
        <v>3028</v>
      </c>
      <c r="AL646" s="0" t="s">
        <v>3029</v>
      </c>
      <c r="AM646" s="0" t="s">
        <v>94</v>
      </c>
      <c r="AN646" s="26" t="n">
        <f aca="false">IFERROR(E646*(1+IF(AM646="Apartment",Data_Summary!$C$3,0)),"")</f>
        <v>4.0807560137457</v>
      </c>
      <c r="AO646" s="4" t="n">
        <v>46195</v>
      </c>
    </row>
    <row r="647" customFormat="false" ht="15" hidden="false" customHeight="false" outlineLevel="0" collapsed="false">
      <c r="A647" s="0" t="n">
        <f aca="false">IF(AND(ISNUMBER(B647),B647&gt;0,ISNUMBER(AB647),AB647&gt;0,J647&gt;=Data_Summary!$C$1),1,0)</f>
        <v>1</v>
      </c>
      <c r="B647" s="30" t="n">
        <v>582</v>
      </c>
      <c r="C647" s="5" t="n">
        <f aca="false">IF(ISNUMBER(AB647),AB647,"")</f>
        <v>2300</v>
      </c>
      <c r="D647" s="0" t="n">
        <f aca="false">IF(ISNUMBER(C647),C647-U647*Data_Summary!$C$2,"")</f>
        <v>2300</v>
      </c>
      <c r="E647" s="31" t="n">
        <f aca="false">IFERROR(C647/B647,"")</f>
        <v>3.95189003436426</v>
      </c>
      <c r="F647" s="26" t="n">
        <f aca="false">IFERROR(D647/B647,"")</f>
        <v>3.95189003436426</v>
      </c>
      <c r="G647" s="0" t="str">
        <f aca="false">Q647</f>
        <v>1</v>
      </c>
      <c r="H647" s="0" t="str">
        <f aca="false">IFERROR(LEFT(G647,1),"")</f>
        <v>1</v>
      </c>
      <c r="I647" s="0" t="n">
        <f aca="false">IF(LEN(G647)&gt;1,1,0)</f>
        <v>0</v>
      </c>
      <c r="J647" s="4" t="n">
        <v>45866</v>
      </c>
      <c r="K647" s="0" t="s">
        <v>13</v>
      </c>
      <c r="L647" s="0" t="s">
        <v>101</v>
      </c>
      <c r="M647" s="0" t="s">
        <v>226</v>
      </c>
      <c r="N647" s="0" t="s">
        <v>103</v>
      </c>
      <c r="O647" s="0" t="s">
        <v>1477</v>
      </c>
      <c r="Q647" s="0" t="s">
        <v>242</v>
      </c>
      <c r="R647" s="0" t="n">
        <v>1</v>
      </c>
      <c r="S647" s="5" t="n">
        <v>582</v>
      </c>
      <c r="T647" s="0" t="s">
        <v>243</v>
      </c>
      <c r="U647" s="0" t="n">
        <v>0</v>
      </c>
      <c r="V647" s="0" t="s">
        <v>230</v>
      </c>
      <c r="W647" s="0" t="s">
        <v>244</v>
      </c>
      <c r="Y647" s="0" t="s">
        <v>253</v>
      </c>
      <c r="Z647" s="0" t="s">
        <v>2657</v>
      </c>
      <c r="AA647" s="0" t="s">
        <v>235</v>
      </c>
      <c r="AB647" s="32" t="n">
        <v>2300</v>
      </c>
      <c r="AC647" s="32" t="n">
        <v>2250</v>
      </c>
      <c r="AD647" s="26" t="n">
        <f aca="false">IFERROR(AB647/B647,"")</f>
        <v>3.95189003436426</v>
      </c>
      <c r="AE647" s="26" t="n">
        <f aca="false">IFERROR(AC647/B647,"")</f>
        <v>3.8659793814433</v>
      </c>
      <c r="AF647" s="0" t="s">
        <v>236</v>
      </c>
      <c r="AG647" s="0" t="s">
        <v>236</v>
      </c>
      <c r="AH647" s="0" t="s">
        <v>236</v>
      </c>
      <c r="AI647" s="0" t="s">
        <v>1000</v>
      </c>
      <c r="AJ647" s="0" t="s">
        <v>3030</v>
      </c>
      <c r="AK647" s="0" t="s">
        <v>3031</v>
      </c>
      <c r="AL647" s="0" t="s">
        <v>3032</v>
      </c>
      <c r="AM647" s="0" t="s">
        <v>94</v>
      </c>
      <c r="AN647" s="26" t="n">
        <f aca="false">IFERROR(E647*(1+IF(AM647="Apartment",Data_Summary!$C$3,0)),"")</f>
        <v>3.95189003436426</v>
      </c>
      <c r="AO647" s="4" t="n">
        <v>46195</v>
      </c>
    </row>
    <row r="648" customFormat="false" ht="15" hidden="false" customHeight="false" outlineLevel="0" collapsed="false">
      <c r="A648" s="0" t="n">
        <f aca="false">IF(AND(ISNUMBER(B648),B648&gt;0,ISNUMBER(AB648),AB648&gt;0,J648&gt;=Data_Summary!$C$1),1,0)</f>
        <v>1</v>
      </c>
      <c r="B648" s="30" t="n">
        <v>678</v>
      </c>
      <c r="C648" s="5" t="n">
        <f aca="false">IF(ISNUMBER(AB648),AB648,"")</f>
        <v>2700</v>
      </c>
      <c r="D648" s="0" t="n">
        <f aca="false">IF(ISNUMBER(C648),C648-U648*Data_Summary!$C$2,"")</f>
        <v>2700</v>
      </c>
      <c r="E648" s="31" t="n">
        <f aca="false">IFERROR(C648/B648,"")</f>
        <v>3.98230088495575</v>
      </c>
      <c r="F648" s="26" t="n">
        <f aca="false">IFERROR(D648/B648,"")</f>
        <v>3.98230088495575</v>
      </c>
      <c r="G648" s="0" t="str">
        <f aca="false">Q648</f>
        <v>1+1</v>
      </c>
      <c r="H648" s="0" t="str">
        <f aca="false">IFERROR(LEFT(G648,1),"")</f>
        <v>1</v>
      </c>
      <c r="I648" s="0" t="n">
        <f aca="false">IF(LEN(G648)&gt;1,1,0)</f>
        <v>1</v>
      </c>
      <c r="J648" s="4" t="n">
        <v>45866</v>
      </c>
      <c r="K648" s="0" t="s">
        <v>13</v>
      </c>
      <c r="L648" s="0" t="s">
        <v>101</v>
      </c>
      <c r="M648" s="0" t="s">
        <v>226</v>
      </c>
      <c r="N648" s="0" t="s">
        <v>103</v>
      </c>
      <c r="O648" s="0" t="s">
        <v>3033</v>
      </c>
      <c r="Q648" s="0" t="s">
        <v>270</v>
      </c>
      <c r="R648" s="0" t="n">
        <v>2</v>
      </c>
      <c r="S648" s="5" t="n">
        <v>678</v>
      </c>
      <c r="T648" s="0" t="s">
        <v>271</v>
      </c>
      <c r="U648" s="0" t="n">
        <v>0</v>
      </c>
      <c r="V648" s="0" t="s">
        <v>230</v>
      </c>
      <c r="W648" s="0" t="s">
        <v>244</v>
      </c>
      <c r="Y648" s="0" t="s">
        <v>253</v>
      </c>
      <c r="Z648" s="0" t="s">
        <v>2657</v>
      </c>
      <c r="AA648" s="0" t="s">
        <v>235</v>
      </c>
      <c r="AB648" s="32" t="n">
        <v>2700</v>
      </c>
      <c r="AC648" s="32" t="n">
        <v>2795</v>
      </c>
      <c r="AD648" s="26" t="n">
        <f aca="false">IFERROR(AB648/B648,"")</f>
        <v>3.98230088495575</v>
      </c>
      <c r="AE648" s="26" t="n">
        <f aca="false">IFERROR(AC648/B648,"")</f>
        <v>4.12241887905605</v>
      </c>
      <c r="AF648" s="0" t="s">
        <v>236</v>
      </c>
      <c r="AG648" s="0" t="s">
        <v>236</v>
      </c>
      <c r="AH648" s="0" t="s">
        <v>236</v>
      </c>
      <c r="AI648" s="0" t="s">
        <v>1000</v>
      </c>
      <c r="AJ648" s="0" t="s">
        <v>3034</v>
      </c>
      <c r="AK648" s="0" t="s">
        <v>3035</v>
      </c>
      <c r="AL648" s="0" t="s">
        <v>3036</v>
      </c>
      <c r="AM648" s="0" t="s">
        <v>94</v>
      </c>
      <c r="AN648" s="26" t="n">
        <f aca="false">IFERROR(E648*(1+IF(AM648="Apartment",Data_Summary!$C$3,0)),"")</f>
        <v>3.98230088495575</v>
      </c>
      <c r="AO648" s="4" t="n">
        <v>46195</v>
      </c>
    </row>
    <row r="649" customFormat="false" ht="15" hidden="false" customHeight="false" outlineLevel="0" collapsed="false">
      <c r="A649" s="0" t="n">
        <f aca="false">IF(AND(ISNUMBER(B649),B649&gt;0,ISNUMBER(AB649),AB649&gt;0,J649&gt;=Data_Summary!$C$1),1,0)</f>
        <v>1</v>
      </c>
      <c r="B649" s="30" t="n">
        <v>602</v>
      </c>
      <c r="C649" s="5" t="n">
        <f aca="false">IF(ISNUMBER(AB649),AB649,"")</f>
        <v>2350</v>
      </c>
      <c r="D649" s="0" t="n">
        <f aca="false">IF(ISNUMBER(C649),C649-U649*Data_Summary!$C$2,"")</f>
        <v>2350</v>
      </c>
      <c r="E649" s="31" t="n">
        <f aca="false">IFERROR(C649/B649,"")</f>
        <v>3.90365448504983</v>
      </c>
      <c r="F649" s="26" t="n">
        <f aca="false">IFERROR(D649/B649,"")</f>
        <v>3.90365448504983</v>
      </c>
      <c r="G649" s="0" t="str">
        <f aca="false">Q649</f>
        <v>1</v>
      </c>
      <c r="H649" s="0" t="str">
        <f aca="false">IFERROR(LEFT(G649,1),"")</f>
        <v>1</v>
      </c>
      <c r="I649" s="0" t="n">
        <f aca="false">IF(LEN(G649)&gt;1,1,0)</f>
        <v>0</v>
      </c>
      <c r="J649" s="4" t="n">
        <v>45864</v>
      </c>
      <c r="K649" s="0" t="s">
        <v>13</v>
      </c>
      <c r="L649" s="0" t="s">
        <v>101</v>
      </c>
      <c r="M649" s="0" t="s">
        <v>226</v>
      </c>
      <c r="N649" s="0" t="s">
        <v>103</v>
      </c>
      <c r="O649" s="0" t="s">
        <v>1139</v>
      </c>
      <c r="Q649" s="0" t="s">
        <v>242</v>
      </c>
      <c r="R649" s="0" t="n">
        <v>1</v>
      </c>
      <c r="S649" s="5" t="n">
        <v>602</v>
      </c>
      <c r="T649" s="0" t="s">
        <v>271</v>
      </c>
      <c r="U649" s="0" t="n">
        <v>0</v>
      </c>
      <c r="V649" s="0" t="s">
        <v>230</v>
      </c>
      <c r="W649" s="0" t="s">
        <v>244</v>
      </c>
      <c r="Y649" s="0" t="s">
        <v>278</v>
      </c>
      <c r="Z649" s="0" t="s">
        <v>2657</v>
      </c>
      <c r="AA649" s="0" t="s">
        <v>235</v>
      </c>
      <c r="AB649" s="32" t="n">
        <v>2350</v>
      </c>
      <c r="AC649" s="32" t="n">
        <v>2400</v>
      </c>
      <c r="AD649" s="26" t="n">
        <f aca="false">IFERROR(AB649/B649,"")</f>
        <v>3.90365448504983</v>
      </c>
      <c r="AE649" s="26" t="n">
        <f aca="false">IFERROR(AC649/B649,"")</f>
        <v>3.98671096345515</v>
      </c>
      <c r="AF649" s="0" t="s">
        <v>236</v>
      </c>
      <c r="AG649" s="0" t="s">
        <v>236</v>
      </c>
      <c r="AH649" s="0" t="s">
        <v>236</v>
      </c>
      <c r="AI649" s="0" t="s">
        <v>2090</v>
      </c>
      <c r="AJ649" s="0" t="s">
        <v>3037</v>
      </c>
      <c r="AK649" s="0" t="s">
        <v>3038</v>
      </c>
      <c r="AL649" s="0" t="s">
        <v>3039</v>
      </c>
      <c r="AM649" s="0" t="s">
        <v>94</v>
      </c>
      <c r="AN649" s="26" t="n">
        <f aca="false">IFERROR(E649*(1+IF(AM649="Apartment",Data_Summary!$C$3,0)),"")</f>
        <v>3.90365448504983</v>
      </c>
      <c r="AO649" s="4" t="n">
        <v>46195</v>
      </c>
    </row>
    <row r="650" customFormat="false" ht="15" hidden="false" customHeight="false" outlineLevel="0" collapsed="false">
      <c r="A650" s="0" t="n">
        <f aca="false">IF(AND(ISNUMBER(B650),B650&gt;0,ISNUMBER(AB650),AB650&gt;0,J650&gt;=Data_Summary!$C$1),1,0)</f>
        <v>1</v>
      </c>
      <c r="B650" s="30" t="n">
        <v>586</v>
      </c>
      <c r="C650" s="5" t="n">
        <f aca="false">IF(ISNUMBER(AB650),AB650,"")</f>
        <v>2400</v>
      </c>
      <c r="D650" s="0" t="n">
        <f aca="false">IF(ISNUMBER(C650),C650-U650*Data_Summary!$C$2,"")</f>
        <v>2400</v>
      </c>
      <c r="E650" s="31" t="n">
        <f aca="false">IFERROR(C650/B650,"")</f>
        <v>4.09556313993174</v>
      </c>
      <c r="F650" s="26" t="n">
        <f aca="false">IFERROR(D650/B650,"")</f>
        <v>4.09556313993174</v>
      </c>
      <c r="G650" s="0" t="str">
        <f aca="false">Q650</f>
        <v>1</v>
      </c>
      <c r="H650" s="0" t="str">
        <f aca="false">IFERROR(LEFT(G650,1),"")</f>
        <v>1</v>
      </c>
      <c r="I650" s="0" t="n">
        <f aca="false">IF(LEN(G650)&gt;1,1,0)</f>
        <v>0</v>
      </c>
      <c r="J650" s="4" t="n">
        <v>45861</v>
      </c>
      <c r="K650" s="0" t="s">
        <v>13</v>
      </c>
      <c r="L650" s="0" t="s">
        <v>101</v>
      </c>
      <c r="M650" s="0" t="s">
        <v>226</v>
      </c>
      <c r="N650" s="0" t="s">
        <v>103</v>
      </c>
      <c r="O650" s="0" t="s">
        <v>1593</v>
      </c>
      <c r="Q650" s="0" t="s">
        <v>242</v>
      </c>
      <c r="R650" s="0" t="n">
        <v>1</v>
      </c>
      <c r="S650" s="5" t="n">
        <v>586</v>
      </c>
      <c r="T650" s="0" t="s">
        <v>243</v>
      </c>
      <c r="U650" s="0" t="n">
        <v>0</v>
      </c>
      <c r="V650" s="0" t="s">
        <v>230</v>
      </c>
      <c r="W650" s="0" t="s">
        <v>244</v>
      </c>
      <c r="Y650" s="0" t="s">
        <v>233</v>
      </c>
      <c r="Z650" s="0" t="s">
        <v>2657</v>
      </c>
      <c r="AA650" s="0" t="s">
        <v>235</v>
      </c>
      <c r="AB650" s="32" t="n">
        <v>2400</v>
      </c>
      <c r="AC650" s="32" t="n">
        <v>2400</v>
      </c>
      <c r="AD650" s="26" t="n">
        <f aca="false">IFERROR(AB650/B650,"")</f>
        <v>4.09556313993174</v>
      </c>
      <c r="AE650" s="26" t="n">
        <f aca="false">IFERROR(AC650/B650,"")</f>
        <v>4.09556313993174</v>
      </c>
      <c r="AF650" s="0" t="s">
        <v>236</v>
      </c>
      <c r="AG650" s="0" t="s">
        <v>236</v>
      </c>
      <c r="AH650" s="0" t="s">
        <v>236</v>
      </c>
      <c r="AI650" s="0" t="s">
        <v>2098</v>
      </c>
      <c r="AJ650" s="0" t="s">
        <v>3040</v>
      </c>
      <c r="AK650" s="0" t="s">
        <v>3041</v>
      </c>
      <c r="AL650" s="0" t="s">
        <v>3042</v>
      </c>
      <c r="AM650" s="0" t="s">
        <v>94</v>
      </c>
      <c r="AN650" s="26" t="n">
        <f aca="false">IFERROR(E650*(1+IF(AM650="Apartment",Data_Summary!$C$3,0)),"")</f>
        <v>4.09556313993174</v>
      </c>
      <c r="AO650" s="4" t="n">
        <v>46195</v>
      </c>
    </row>
    <row r="651" customFormat="false" ht="15" hidden="false" customHeight="false" outlineLevel="0" collapsed="false">
      <c r="A651" s="0" t="n">
        <f aca="false">IF(AND(ISNUMBER(B651),B651&gt;0,ISNUMBER(AB651),AB651&gt;0,J651&gt;=Data_Summary!$C$1),1,0)</f>
        <v>1</v>
      </c>
      <c r="B651" s="30" t="n">
        <v>630</v>
      </c>
      <c r="C651" s="5" t="n">
        <f aca="false">IF(ISNUMBER(AB651),AB651,"")</f>
        <v>2380</v>
      </c>
      <c r="D651" s="0" t="n">
        <f aca="false">IF(ISNUMBER(C651),C651-U651*Data_Summary!$C$2,"")</f>
        <v>2380</v>
      </c>
      <c r="E651" s="31" t="n">
        <f aca="false">IFERROR(C651/B651,"")</f>
        <v>3.77777777777778</v>
      </c>
      <c r="F651" s="26" t="n">
        <f aca="false">IFERROR(D651/B651,"")</f>
        <v>3.77777777777778</v>
      </c>
      <c r="G651" s="0" t="str">
        <f aca="false">Q651</f>
        <v>1+1</v>
      </c>
      <c r="H651" s="0" t="str">
        <f aca="false">IFERROR(LEFT(G651,1),"")</f>
        <v>1</v>
      </c>
      <c r="I651" s="0" t="n">
        <f aca="false">IF(LEN(G651)&gt;1,1,0)</f>
        <v>1</v>
      </c>
      <c r="J651" s="4" t="n">
        <v>45860</v>
      </c>
      <c r="K651" s="0" t="s">
        <v>13</v>
      </c>
      <c r="L651" s="0" t="s">
        <v>101</v>
      </c>
      <c r="M651" s="0" t="s">
        <v>226</v>
      </c>
      <c r="N651" s="0" t="s">
        <v>103</v>
      </c>
      <c r="O651" s="0" t="s">
        <v>787</v>
      </c>
      <c r="Q651" s="0" t="s">
        <v>270</v>
      </c>
      <c r="R651" s="0" t="n">
        <v>1</v>
      </c>
      <c r="S651" s="5" t="n">
        <v>630</v>
      </c>
      <c r="T651" s="0" t="s">
        <v>271</v>
      </c>
      <c r="U651" s="0" t="n">
        <v>0</v>
      </c>
      <c r="V651" s="0" t="s">
        <v>230</v>
      </c>
      <c r="W651" s="0" t="s">
        <v>231</v>
      </c>
      <c r="Y651" s="0" t="s">
        <v>253</v>
      </c>
      <c r="Z651" s="0" t="s">
        <v>2657</v>
      </c>
      <c r="AA651" s="0" t="s">
        <v>235</v>
      </c>
      <c r="AB651" s="32" t="n">
        <v>2380</v>
      </c>
      <c r="AC651" s="32" t="n">
        <v>2380</v>
      </c>
      <c r="AD651" s="26" t="n">
        <f aca="false">IFERROR(AB651/B651,"")</f>
        <v>3.77777777777778</v>
      </c>
      <c r="AE651" s="26" t="n">
        <f aca="false">IFERROR(AC651/B651,"")</f>
        <v>3.77777777777778</v>
      </c>
      <c r="AF651" s="0" t="s">
        <v>236</v>
      </c>
      <c r="AG651" s="0" t="s">
        <v>236</v>
      </c>
      <c r="AH651" s="0" t="s">
        <v>236</v>
      </c>
      <c r="AI651" s="0" t="s">
        <v>1026</v>
      </c>
      <c r="AJ651" s="0" t="s">
        <v>3043</v>
      </c>
      <c r="AK651" s="0" t="s">
        <v>3044</v>
      </c>
      <c r="AL651" s="0" t="s">
        <v>3045</v>
      </c>
      <c r="AM651" s="0" t="s">
        <v>94</v>
      </c>
      <c r="AN651" s="26" t="n">
        <f aca="false">IFERROR(E651*(1+IF(AM651="Apartment",Data_Summary!$C$3,0)),"")</f>
        <v>3.77777777777778</v>
      </c>
      <c r="AO651" s="4" t="n">
        <v>46195</v>
      </c>
    </row>
    <row r="652" customFormat="false" ht="15" hidden="false" customHeight="false" outlineLevel="0" collapsed="false">
      <c r="A652" s="0" t="n">
        <f aca="false">IF(AND(ISNUMBER(B652),B652&gt;0,ISNUMBER(AB652),AB652&gt;0,J652&gt;=Data_Summary!$C$1),1,0)</f>
        <v>1</v>
      </c>
      <c r="B652" s="30" t="n">
        <v>830</v>
      </c>
      <c r="C652" s="5" t="n">
        <f aca="false">IF(ISNUMBER(AB652),AB652,"")</f>
        <v>3600</v>
      </c>
      <c r="D652" s="0" t="n">
        <f aca="false">IF(ISNUMBER(C652),C652-U652*Data_Summary!$C$2,"")</f>
        <v>3450</v>
      </c>
      <c r="E652" s="31" t="n">
        <f aca="false">IFERROR(C652/B652,"")</f>
        <v>4.33734939759036</v>
      </c>
      <c r="F652" s="26" t="n">
        <f aca="false">IFERROR(D652/B652,"")</f>
        <v>4.1566265060241</v>
      </c>
      <c r="G652" s="0" t="str">
        <f aca="false">Q652</f>
        <v>2</v>
      </c>
      <c r="H652" s="0" t="str">
        <f aca="false">IFERROR(LEFT(G652,1),"")</f>
        <v>2</v>
      </c>
      <c r="I652" s="0" t="n">
        <f aca="false">IF(LEN(G652)&gt;1,1,0)</f>
        <v>0</v>
      </c>
      <c r="J652" s="4" t="n">
        <v>45859</v>
      </c>
      <c r="K652" s="0" t="s">
        <v>13</v>
      </c>
      <c r="L652" s="0" t="s">
        <v>101</v>
      </c>
      <c r="M652" s="0" t="s">
        <v>226</v>
      </c>
      <c r="N652" s="0" t="s">
        <v>103</v>
      </c>
      <c r="O652" s="0" t="s">
        <v>872</v>
      </c>
      <c r="Q652" s="0" t="s">
        <v>251</v>
      </c>
      <c r="R652" s="0" t="n">
        <v>2</v>
      </c>
      <c r="S652" s="5" t="n">
        <v>830</v>
      </c>
      <c r="T652" s="0" t="s">
        <v>229</v>
      </c>
      <c r="U652" s="0" t="n">
        <v>1</v>
      </c>
      <c r="V652" s="0" t="s">
        <v>230</v>
      </c>
      <c r="W652" s="0" t="s">
        <v>231</v>
      </c>
      <c r="X652" s="0" t="s">
        <v>232</v>
      </c>
      <c r="Y652" s="0" t="s">
        <v>308</v>
      </c>
      <c r="Z652" s="0" t="s">
        <v>2657</v>
      </c>
      <c r="AA652" s="0" t="s">
        <v>235</v>
      </c>
      <c r="AB652" s="32" t="n">
        <v>3600</v>
      </c>
      <c r="AC652" s="32" t="n">
        <v>3700</v>
      </c>
      <c r="AD652" s="26" t="n">
        <f aca="false">IFERROR(AB652/B652,"")</f>
        <v>4.33734939759036</v>
      </c>
      <c r="AE652" s="26" t="n">
        <f aca="false">IFERROR(AC652/B652,"")</f>
        <v>4.45783132530121</v>
      </c>
      <c r="AF652" s="0" t="s">
        <v>236</v>
      </c>
      <c r="AG652" s="0" t="s">
        <v>236</v>
      </c>
      <c r="AH652" s="0" t="s">
        <v>236</v>
      </c>
      <c r="AI652" s="0" t="s">
        <v>2106</v>
      </c>
      <c r="AJ652" s="0" t="s">
        <v>3046</v>
      </c>
      <c r="AK652" s="0" t="s">
        <v>3047</v>
      </c>
      <c r="AL652" s="0" t="s">
        <v>3048</v>
      </c>
      <c r="AM652" s="0" t="s">
        <v>94</v>
      </c>
      <c r="AN652" s="26" t="n">
        <f aca="false">IFERROR(E652*(1+IF(AM652="Apartment",Data_Summary!$C$3,0)),"")</f>
        <v>4.33734939759036</v>
      </c>
      <c r="AO652" s="4" t="n">
        <v>46195</v>
      </c>
    </row>
    <row r="653" customFormat="false" ht="15" hidden="false" customHeight="false" outlineLevel="0" collapsed="false">
      <c r="A653" s="0" t="n">
        <f aca="false">IF(AND(ISNUMBER(B653),B653&gt;0,ISNUMBER(AB653),AB653&gt;0,J653&gt;=Data_Summary!$C$1),1,0)</f>
        <v>1</v>
      </c>
      <c r="B653" s="30" t="n">
        <v>564</v>
      </c>
      <c r="C653" s="5" t="n">
        <f aca="false">IF(ISNUMBER(AB653),AB653,"")</f>
        <v>2350</v>
      </c>
      <c r="D653" s="0" t="n">
        <f aca="false">IF(ISNUMBER(C653),C653-U653*Data_Summary!$C$2,"")</f>
        <v>2350</v>
      </c>
      <c r="E653" s="31" t="n">
        <f aca="false">IFERROR(C653/B653,"")</f>
        <v>4.16666666666667</v>
      </c>
      <c r="F653" s="26" t="n">
        <f aca="false">IFERROR(D653/B653,"")</f>
        <v>4.16666666666667</v>
      </c>
      <c r="G653" s="0" t="str">
        <f aca="false">Q653</f>
        <v>1</v>
      </c>
      <c r="H653" s="0" t="str">
        <f aca="false">IFERROR(LEFT(G653,1),"")</f>
        <v>1</v>
      </c>
      <c r="I653" s="0" t="n">
        <f aca="false">IF(LEN(G653)&gt;1,1,0)</f>
        <v>0</v>
      </c>
      <c r="J653" s="4" t="n">
        <v>45856</v>
      </c>
      <c r="K653" s="0" t="s">
        <v>13</v>
      </c>
      <c r="L653" s="0" t="s">
        <v>101</v>
      </c>
      <c r="M653" s="0" t="s">
        <v>226</v>
      </c>
      <c r="N653" s="0" t="s">
        <v>103</v>
      </c>
      <c r="O653" s="0" t="s">
        <v>1439</v>
      </c>
      <c r="Q653" s="0" t="s">
        <v>242</v>
      </c>
      <c r="R653" s="0" t="n">
        <v>1</v>
      </c>
      <c r="S653" s="5" t="n">
        <v>564</v>
      </c>
      <c r="T653" s="0" t="s">
        <v>243</v>
      </c>
      <c r="U653" s="0" t="n">
        <v>0</v>
      </c>
      <c r="V653" s="0" t="s">
        <v>230</v>
      </c>
      <c r="W653" s="0" t="s">
        <v>244</v>
      </c>
      <c r="Y653" s="0" t="s">
        <v>253</v>
      </c>
      <c r="Z653" s="0" t="s">
        <v>2657</v>
      </c>
      <c r="AA653" s="0" t="s">
        <v>235</v>
      </c>
      <c r="AB653" s="32" t="n">
        <v>2350</v>
      </c>
      <c r="AC653" s="32" t="n">
        <v>2350</v>
      </c>
      <c r="AD653" s="26" t="n">
        <f aca="false">IFERROR(AB653/B653,"")</f>
        <v>4.16666666666667</v>
      </c>
      <c r="AE653" s="26" t="n">
        <f aca="false">IFERROR(AC653/B653,"")</f>
        <v>4.16666666666667</v>
      </c>
      <c r="AF653" s="0" t="s">
        <v>236</v>
      </c>
      <c r="AG653" s="0" t="s">
        <v>236</v>
      </c>
      <c r="AH653" s="0" t="s">
        <v>236</v>
      </c>
      <c r="AI653" s="0" t="s">
        <v>1049</v>
      </c>
      <c r="AJ653" s="0" t="s">
        <v>3049</v>
      </c>
      <c r="AK653" s="0" t="s">
        <v>3050</v>
      </c>
      <c r="AL653" s="0" t="s">
        <v>3051</v>
      </c>
      <c r="AM653" s="0" t="s">
        <v>94</v>
      </c>
      <c r="AN653" s="26" t="n">
        <f aca="false">IFERROR(E653*(1+IF(AM653="Apartment",Data_Summary!$C$3,0)),"")</f>
        <v>4.16666666666667</v>
      </c>
      <c r="AO653" s="4" t="n">
        <v>46195</v>
      </c>
    </row>
    <row r="654" customFormat="false" ht="15" hidden="false" customHeight="false" outlineLevel="0" collapsed="false">
      <c r="A654" s="0" t="n">
        <f aca="false">IF(AND(ISNUMBER(B654),B654&gt;0,ISNUMBER(AB654),AB654&gt;0,J654&gt;=Data_Summary!$C$1),1,0)</f>
        <v>1</v>
      </c>
      <c r="B654" s="30" t="n">
        <v>830</v>
      </c>
      <c r="C654" s="5" t="n">
        <f aca="false">IF(ISNUMBER(AB654),AB654,"")</f>
        <v>3550</v>
      </c>
      <c r="D654" s="0" t="n">
        <f aca="false">IF(ISNUMBER(C654),C654-U654*Data_Summary!$C$2,"")</f>
        <v>3400</v>
      </c>
      <c r="E654" s="31" t="n">
        <f aca="false">IFERROR(C654/B654,"")</f>
        <v>4.27710843373494</v>
      </c>
      <c r="F654" s="26" t="n">
        <f aca="false">IFERROR(D654/B654,"")</f>
        <v>4.09638554216868</v>
      </c>
      <c r="G654" s="0" t="str">
        <f aca="false">Q654</f>
        <v>2</v>
      </c>
      <c r="H654" s="0" t="str">
        <f aca="false">IFERROR(LEFT(G654,1),"")</f>
        <v>2</v>
      </c>
      <c r="I654" s="0" t="n">
        <f aca="false">IF(LEN(G654)&gt;1,1,0)</f>
        <v>0</v>
      </c>
      <c r="J654" s="4" t="n">
        <v>45854</v>
      </c>
      <c r="K654" s="0" t="s">
        <v>13</v>
      </c>
      <c r="L654" s="0" t="s">
        <v>101</v>
      </c>
      <c r="M654" s="0" t="s">
        <v>226</v>
      </c>
      <c r="N654" s="0" t="s">
        <v>103</v>
      </c>
      <c r="O654" s="0" t="s">
        <v>3052</v>
      </c>
      <c r="Q654" s="0" t="s">
        <v>251</v>
      </c>
      <c r="R654" s="0" t="n">
        <v>2</v>
      </c>
      <c r="S654" s="5" t="n">
        <v>830</v>
      </c>
      <c r="T654" s="0" t="s">
        <v>229</v>
      </c>
      <c r="U654" s="0" t="n">
        <v>1</v>
      </c>
      <c r="V654" s="0" t="s">
        <v>230</v>
      </c>
      <c r="W654" s="0" t="s">
        <v>244</v>
      </c>
      <c r="X654" s="0" t="s">
        <v>232</v>
      </c>
      <c r="Y654" s="0" t="s">
        <v>260</v>
      </c>
      <c r="Z654" s="0" t="s">
        <v>2657</v>
      </c>
      <c r="AA654" s="0" t="s">
        <v>235</v>
      </c>
      <c r="AB654" s="32" t="n">
        <v>3550</v>
      </c>
      <c r="AC654" s="32" t="n">
        <v>3500</v>
      </c>
      <c r="AD654" s="26" t="n">
        <f aca="false">IFERROR(AB654/B654,"")</f>
        <v>4.27710843373494</v>
      </c>
      <c r="AE654" s="26" t="n">
        <f aca="false">IFERROR(AC654/B654,"")</f>
        <v>4.21686746987952</v>
      </c>
      <c r="AF654" s="0" t="s">
        <v>236</v>
      </c>
      <c r="AG654" s="0" t="s">
        <v>236</v>
      </c>
      <c r="AH654" s="0" t="s">
        <v>236</v>
      </c>
      <c r="AI654" s="0" t="s">
        <v>1074</v>
      </c>
      <c r="AJ654" s="0" t="s">
        <v>3053</v>
      </c>
      <c r="AK654" s="0" t="s">
        <v>3054</v>
      </c>
      <c r="AL654" s="0" t="s">
        <v>3055</v>
      </c>
      <c r="AM654" s="0" t="s">
        <v>94</v>
      </c>
      <c r="AN654" s="26" t="n">
        <f aca="false">IFERROR(E654*(1+IF(AM654="Apartment",Data_Summary!$C$3,0)),"")</f>
        <v>4.27710843373494</v>
      </c>
      <c r="AO654" s="4" t="n">
        <v>46195</v>
      </c>
    </row>
    <row r="655" customFormat="false" ht="15" hidden="false" customHeight="false" outlineLevel="0" collapsed="false">
      <c r="A655" s="0" t="n">
        <f aca="false">IF(AND(ISNUMBER(B655),B655&gt;0,ISNUMBER(AB655),AB655&gt;0,J655&gt;=Data_Summary!$C$1),1,0)</f>
        <v>1</v>
      </c>
      <c r="B655" s="30" t="n">
        <v>830</v>
      </c>
      <c r="C655" s="5" t="n">
        <f aca="false">IF(ISNUMBER(AB655),AB655,"")</f>
        <v>3600</v>
      </c>
      <c r="D655" s="0" t="n">
        <f aca="false">IF(ISNUMBER(C655),C655-U655*Data_Summary!$C$2,"")</f>
        <v>3450</v>
      </c>
      <c r="E655" s="31" t="n">
        <f aca="false">IFERROR(C655/B655,"")</f>
        <v>4.33734939759036</v>
      </c>
      <c r="F655" s="26" t="n">
        <f aca="false">IFERROR(D655/B655,"")</f>
        <v>4.1566265060241</v>
      </c>
      <c r="G655" s="0" t="str">
        <f aca="false">Q655</f>
        <v>2</v>
      </c>
      <c r="H655" s="0" t="str">
        <f aca="false">IFERROR(LEFT(G655,1),"")</f>
        <v>2</v>
      </c>
      <c r="I655" s="0" t="n">
        <f aca="false">IF(LEN(G655)&gt;1,1,0)</f>
        <v>0</v>
      </c>
      <c r="J655" s="4" t="n">
        <v>45852</v>
      </c>
      <c r="K655" s="0" t="s">
        <v>13</v>
      </c>
      <c r="L655" s="0" t="s">
        <v>101</v>
      </c>
      <c r="M655" s="0" t="s">
        <v>226</v>
      </c>
      <c r="N655" s="0" t="s">
        <v>103</v>
      </c>
      <c r="O655" s="0" t="s">
        <v>3056</v>
      </c>
      <c r="Q655" s="0" t="s">
        <v>251</v>
      </c>
      <c r="R655" s="0" t="n">
        <v>2</v>
      </c>
      <c r="S655" s="5" t="n">
        <v>830</v>
      </c>
      <c r="T655" s="0" t="s">
        <v>229</v>
      </c>
      <c r="U655" s="0" t="n">
        <v>1</v>
      </c>
      <c r="V655" s="0" t="s">
        <v>230</v>
      </c>
      <c r="W655" s="0" t="s">
        <v>244</v>
      </c>
      <c r="X655" s="0" t="s">
        <v>232</v>
      </c>
      <c r="Y655" s="0" t="s">
        <v>260</v>
      </c>
      <c r="Z655" s="0" t="s">
        <v>2657</v>
      </c>
      <c r="AA655" s="0" t="s">
        <v>235</v>
      </c>
      <c r="AB655" s="32" t="n">
        <v>3600</v>
      </c>
      <c r="AC655" s="32" t="n">
        <v>3550</v>
      </c>
      <c r="AD655" s="26" t="n">
        <f aca="false">IFERROR(AB655/B655,"")</f>
        <v>4.33734939759036</v>
      </c>
      <c r="AE655" s="26" t="n">
        <f aca="false">IFERROR(AC655/B655,"")</f>
        <v>4.27710843373494</v>
      </c>
      <c r="AF655" s="0" t="s">
        <v>236</v>
      </c>
      <c r="AG655" s="0" t="s">
        <v>236</v>
      </c>
      <c r="AH655" s="0" t="s">
        <v>236</v>
      </c>
      <c r="AI655" s="0" t="s">
        <v>1096</v>
      </c>
      <c r="AJ655" s="0" t="s">
        <v>3057</v>
      </c>
      <c r="AK655" s="0" t="s">
        <v>3058</v>
      </c>
      <c r="AL655" s="0" t="s">
        <v>3059</v>
      </c>
      <c r="AM655" s="0" t="s">
        <v>94</v>
      </c>
      <c r="AN655" s="26" t="n">
        <f aca="false">IFERROR(E655*(1+IF(AM655="Apartment",Data_Summary!$C$3,0)),"")</f>
        <v>4.33734939759036</v>
      </c>
      <c r="AO655" s="4" t="n">
        <v>46195</v>
      </c>
    </row>
    <row r="656" customFormat="false" ht="15" hidden="false" customHeight="false" outlineLevel="0" collapsed="false">
      <c r="A656" s="0" t="n">
        <f aca="false">IF(AND(ISNUMBER(B656),B656&gt;0,ISNUMBER(AB656),AB656&gt;0,J656&gt;=Data_Summary!$C$1),1,0)</f>
        <v>1</v>
      </c>
      <c r="B656" s="30" t="n">
        <v>830</v>
      </c>
      <c r="C656" s="5" t="n">
        <f aca="false">IF(ISNUMBER(AB656),AB656,"")</f>
        <v>3100</v>
      </c>
      <c r="D656" s="0" t="n">
        <f aca="false">IF(ISNUMBER(C656),C656-U656*Data_Summary!$C$2,"")</f>
        <v>3100</v>
      </c>
      <c r="E656" s="31" t="n">
        <f aca="false">IFERROR(C656/B656,"")</f>
        <v>3.73493975903614</v>
      </c>
      <c r="F656" s="26" t="n">
        <f aca="false">IFERROR(D656/B656,"")</f>
        <v>3.73493975903614</v>
      </c>
      <c r="G656" s="0" t="str">
        <f aca="false">Q656</f>
        <v>2</v>
      </c>
      <c r="H656" s="0" t="str">
        <f aca="false">IFERROR(LEFT(G656,1),"")</f>
        <v>2</v>
      </c>
      <c r="I656" s="0" t="n">
        <f aca="false">IF(LEN(G656)&gt;1,1,0)</f>
        <v>0</v>
      </c>
      <c r="J656" s="4" t="n">
        <v>45851</v>
      </c>
      <c r="K656" s="0" t="s">
        <v>13</v>
      </c>
      <c r="L656" s="0" t="s">
        <v>101</v>
      </c>
      <c r="M656" s="0" t="s">
        <v>226</v>
      </c>
      <c r="N656" s="0" t="s">
        <v>103</v>
      </c>
      <c r="O656" s="0" t="s">
        <v>842</v>
      </c>
      <c r="Q656" s="0" t="s">
        <v>251</v>
      </c>
      <c r="R656" s="0" t="n">
        <v>2</v>
      </c>
      <c r="S656" s="5" t="n">
        <v>830</v>
      </c>
      <c r="T656" s="0" t="s">
        <v>229</v>
      </c>
      <c r="U656" s="0" t="n">
        <v>0</v>
      </c>
      <c r="V656" s="0" t="s">
        <v>230</v>
      </c>
      <c r="W656" s="0" t="s">
        <v>244</v>
      </c>
      <c r="X656" s="0" t="s">
        <v>232</v>
      </c>
      <c r="Y656" s="0" t="s">
        <v>308</v>
      </c>
      <c r="Z656" s="0" t="s">
        <v>2657</v>
      </c>
      <c r="AA656" s="0" t="s">
        <v>235</v>
      </c>
      <c r="AB656" s="32" t="n">
        <v>3100</v>
      </c>
      <c r="AC656" s="32" t="n">
        <v>3000</v>
      </c>
      <c r="AD656" s="26" t="n">
        <f aca="false">IFERROR(AB656/B656,"")</f>
        <v>3.73493975903614</v>
      </c>
      <c r="AE656" s="26" t="n">
        <f aca="false">IFERROR(AC656/B656,"")</f>
        <v>3.6144578313253</v>
      </c>
      <c r="AF656" s="0" t="s">
        <v>236</v>
      </c>
      <c r="AG656" s="0" t="s">
        <v>236</v>
      </c>
      <c r="AH656" s="0" t="s">
        <v>236</v>
      </c>
      <c r="AI656" s="0" t="s">
        <v>3060</v>
      </c>
      <c r="AJ656" s="0" t="s">
        <v>3061</v>
      </c>
      <c r="AK656" s="0" t="s">
        <v>3062</v>
      </c>
      <c r="AL656" s="0" t="s">
        <v>3063</v>
      </c>
      <c r="AM656" s="0" t="s">
        <v>94</v>
      </c>
      <c r="AN656" s="26" t="n">
        <f aca="false">IFERROR(E656*(1+IF(AM656="Apartment",Data_Summary!$C$3,0)),"")</f>
        <v>3.73493975903614</v>
      </c>
      <c r="AO656" s="4" t="n">
        <v>46195</v>
      </c>
    </row>
    <row r="657" customFormat="false" ht="15" hidden="false" customHeight="false" outlineLevel="0" collapsed="false">
      <c r="A657" s="0" t="n">
        <f aca="false">IF(AND(ISNUMBER(B657),B657&gt;0,ISNUMBER(AB657),AB657&gt;0,J657&gt;=Data_Summary!$C$1),1,0)</f>
        <v>1</v>
      </c>
      <c r="B657" s="30" t="n">
        <v>582</v>
      </c>
      <c r="C657" s="5" t="n">
        <f aca="false">IF(ISNUMBER(AB657),AB657,"")</f>
        <v>2375</v>
      </c>
      <c r="D657" s="0" t="n">
        <f aca="false">IF(ISNUMBER(C657),C657-U657*Data_Summary!$C$2,"")</f>
        <v>2375</v>
      </c>
      <c r="E657" s="31" t="n">
        <f aca="false">IFERROR(C657/B657,"")</f>
        <v>4.0807560137457</v>
      </c>
      <c r="F657" s="26" t="n">
        <f aca="false">IFERROR(D657/B657,"")</f>
        <v>4.0807560137457</v>
      </c>
      <c r="G657" s="0" t="str">
        <f aca="false">Q657</f>
        <v>1</v>
      </c>
      <c r="H657" s="0" t="str">
        <f aca="false">IFERROR(LEFT(G657,1),"")</f>
        <v>1</v>
      </c>
      <c r="I657" s="0" t="n">
        <f aca="false">IF(LEN(G657)&gt;1,1,0)</f>
        <v>0</v>
      </c>
      <c r="J657" s="4" t="n">
        <v>45850</v>
      </c>
      <c r="K657" s="0" t="s">
        <v>13</v>
      </c>
      <c r="L657" s="0" t="s">
        <v>101</v>
      </c>
      <c r="M657" s="0" t="s">
        <v>226</v>
      </c>
      <c r="N657" s="0" t="s">
        <v>103</v>
      </c>
      <c r="O657" s="0" t="s">
        <v>3064</v>
      </c>
      <c r="Q657" s="0" t="s">
        <v>242</v>
      </c>
      <c r="R657" s="0" t="n">
        <v>1</v>
      </c>
      <c r="S657" s="5" t="n">
        <v>582</v>
      </c>
      <c r="T657" s="0" t="s">
        <v>243</v>
      </c>
      <c r="U657" s="0" t="n">
        <v>0</v>
      </c>
      <c r="V657" s="0" t="s">
        <v>230</v>
      </c>
      <c r="W657" s="0" t="s">
        <v>244</v>
      </c>
      <c r="Y657" s="0" t="s">
        <v>233</v>
      </c>
      <c r="Z657" s="0" t="s">
        <v>2657</v>
      </c>
      <c r="AA657" s="0" t="s">
        <v>235</v>
      </c>
      <c r="AB657" s="32" t="n">
        <v>2375</v>
      </c>
      <c r="AC657" s="32" t="n">
        <v>2350</v>
      </c>
      <c r="AD657" s="26" t="n">
        <f aca="false">IFERROR(AB657/B657,"")</f>
        <v>4.0807560137457</v>
      </c>
      <c r="AE657" s="26" t="n">
        <f aca="false">IFERROR(AC657/B657,"")</f>
        <v>4.03780068728522</v>
      </c>
      <c r="AF657" s="0" t="s">
        <v>236</v>
      </c>
      <c r="AG657" s="0" t="s">
        <v>236</v>
      </c>
      <c r="AH657" s="0" t="s">
        <v>236</v>
      </c>
      <c r="AI657" s="0" t="s">
        <v>1103</v>
      </c>
      <c r="AJ657" s="0" t="s">
        <v>3065</v>
      </c>
      <c r="AK657" s="0" t="s">
        <v>3066</v>
      </c>
      <c r="AL657" s="0" t="s">
        <v>3067</v>
      </c>
      <c r="AM657" s="0" t="s">
        <v>94</v>
      </c>
      <c r="AN657" s="26" t="n">
        <f aca="false">IFERROR(E657*(1+IF(AM657="Apartment",Data_Summary!$C$3,0)),"")</f>
        <v>4.0807560137457</v>
      </c>
      <c r="AO657" s="4" t="n">
        <v>46195</v>
      </c>
    </row>
    <row r="658" customFormat="false" ht="15" hidden="false" customHeight="false" outlineLevel="0" collapsed="false">
      <c r="A658" s="0" t="n">
        <f aca="false">IF(AND(ISNUMBER(B658),B658&gt;0,ISNUMBER(AB658),AB658&gt;0,J658&gt;=Data_Summary!$C$1),1,0)</f>
        <v>1</v>
      </c>
      <c r="B658" s="30" t="n">
        <v>630</v>
      </c>
      <c r="C658" s="5" t="n">
        <f aca="false">IF(ISNUMBER(AB658),AB658,"")</f>
        <v>2475</v>
      </c>
      <c r="D658" s="0" t="n">
        <f aca="false">IF(ISNUMBER(C658),C658-U658*Data_Summary!$C$2,"")</f>
        <v>2475</v>
      </c>
      <c r="E658" s="31" t="n">
        <f aca="false">IFERROR(C658/B658,"")</f>
        <v>3.92857142857143</v>
      </c>
      <c r="F658" s="26" t="n">
        <f aca="false">IFERROR(D658/B658,"")</f>
        <v>3.92857142857143</v>
      </c>
      <c r="G658" s="0" t="str">
        <f aca="false">Q658</f>
        <v>1+1</v>
      </c>
      <c r="H658" s="0" t="str">
        <f aca="false">IFERROR(LEFT(G658,1),"")</f>
        <v>1</v>
      </c>
      <c r="I658" s="0" t="n">
        <f aca="false">IF(LEN(G658)&gt;1,1,0)</f>
        <v>1</v>
      </c>
      <c r="J658" s="4" t="n">
        <v>45849</v>
      </c>
      <c r="K658" s="0" t="s">
        <v>13</v>
      </c>
      <c r="L658" s="0" t="s">
        <v>101</v>
      </c>
      <c r="M658" s="0" t="s">
        <v>226</v>
      </c>
      <c r="N658" s="0" t="s">
        <v>103</v>
      </c>
      <c r="O658" s="0" t="s">
        <v>1535</v>
      </c>
      <c r="Q658" s="0" t="s">
        <v>270</v>
      </c>
      <c r="R658" s="0" t="n">
        <v>1</v>
      </c>
      <c r="S658" s="5" t="n">
        <v>630</v>
      </c>
      <c r="T658" s="0" t="s">
        <v>271</v>
      </c>
      <c r="U658" s="0" t="n">
        <v>0</v>
      </c>
      <c r="V658" s="0" t="s">
        <v>230</v>
      </c>
      <c r="W658" s="0" t="s">
        <v>244</v>
      </c>
      <c r="Y658" s="0" t="s">
        <v>253</v>
      </c>
      <c r="Z658" s="0" t="s">
        <v>2657</v>
      </c>
      <c r="AA658" s="0" t="s">
        <v>235</v>
      </c>
      <c r="AB658" s="32" t="n">
        <v>2475</v>
      </c>
      <c r="AC658" s="32" t="n">
        <v>2475</v>
      </c>
      <c r="AD658" s="26" t="n">
        <f aca="false">IFERROR(AB658/B658,"")</f>
        <v>3.92857142857143</v>
      </c>
      <c r="AE658" s="26" t="n">
        <f aca="false">IFERROR(AC658/B658,"")</f>
        <v>3.92857142857143</v>
      </c>
      <c r="AF658" s="0" t="s">
        <v>236</v>
      </c>
      <c r="AG658" s="0" t="s">
        <v>236</v>
      </c>
      <c r="AH658" s="0" t="s">
        <v>236</v>
      </c>
      <c r="AI658" s="0" t="s">
        <v>1111</v>
      </c>
      <c r="AJ658" s="0" t="s">
        <v>3068</v>
      </c>
      <c r="AK658" s="0" t="s">
        <v>3069</v>
      </c>
      <c r="AL658" s="0" t="s">
        <v>3070</v>
      </c>
      <c r="AM658" s="0" t="s">
        <v>94</v>
      </c>
      <c r="AN658" s="26" t="n">
        <f aca="false">IFERROR(E658*(1+IF(AM658="Apartment",Data_Summary!$C$3,0)),"")</f>
        <v>3.92857142857143</v>
      </c>
      <c r="AO658" s="4" t="n">
        <v>46195</v>
      </c>
    </row>
    <row r="659" customFormat="false" ht="15" hidden="false" customHeight="false" outlineLevel="0" collapsed="false">
      <c r="A659" s="0" t="n">
        <f aca="false">IF(AND(ISNUMBER(B659),B659&gt;0,ISNUMBER(AB659),AB659&gt;0,J659&gt;=Data_Summary!$C$1),1,0)</f>
        <v>1</v>
      </c>
      <c r="B659" s="30" t="n">
        <v>575</v>
      </c>
      <c r="C659" s="5" t="n">
        <f aca="false">IF(ISNUMBER(AB659),AB659,"")</f>
        <v>2450</v>
      </c>
      <c r="D659" s="0" t="n">
        <f aca="false">IF(ISNUMBER(C659),C659-U659*Data_Summary!$C$2,"")</f>
        <v>2450</v>
      </c>
      <c r="E659" s="31" t="n">
        <f aca="false">IFERROR(C659/B659,"")</f>
        <v>4.26086956521739</v>
      </c>
      <c r="F659" s="26" t="n">
        <f aca="false">IFERROR(D659/B659,"")</f>
        <v>4.26086956521739</v>
      </c>
      <c r="G659" s="0" t="str">
        <f aca="false">Q659</f>
        <v>1</v>
      </c>
      <c r="H659" s="0" t="str">
        <f aca="false">IFERROR(LEFT(G659,1),"")</f>
        <v>1</v>
      </c>
      <c r="I659" s="0" t="n">
        <f aca="false">IF(LEN(G659)&gt;1,1,0)</f>
        <v>0</v>
      </c>
      <c r="J659" s="4" t="n">
        <v>45846</v>
      </c>
      <c r="K659" s="0" t="s">
        <v>13</v>
      </c>
      <c r="L659" s="0" t="s">
        <v>101</v>
      </c>
      <c r="M659" s="0" t="s">
        <v>226</v>
      </c>
      <c r="N659" s="0" t="s">
        <v>103</v>
      </c>
      <c r="O659" s="0" t="s">
        <v>3071</v>
      </c>
      <c r="Q659" s="0" t="s">
        <v>242</v>
      </c>
      <c r="R659" s="0" t="n">
        <v>1</v>
      </c>
      <c r="S659" s="5" t="n">
        <v>575</v>
      </c>
      <c r="T659" s="0" t="s">
        <v>243</v>
      </c>
      <c r="U659" s="0" t="n">
        <v>0</v>
      </c>
      <c r="V659" s="0" t="s">
        <v>230</v>
      </c>
      <c r="W659" s="0" t="s">
        <v>244</v>
      </c>
      <c r="Y659" s="0" t="s">
        <v>260</v>
      </c>
      <c r="Z659" s="0" t="s">
        <v>2657</v>
      </c>
      <c r="AA659" s="0" t="s">
        <v>235</v>
      </c>
      <c r="AB659" s="32" t="n">
        <v>2450</v>
      </c>
      <c r="AC659" s="32" t="n">
        <v>2450</v>
      </c>
      <c r="AD659" s="26" t="n">
        <f aca="false">IFERROR(AB659/B659,"")</f>
        <v>4.26086956521739</v>
      </c>
      <c r="AE659" s="26" t="n">
        <f aca="false">IFERROR(AC659/B659,"")</f>
        <v>4.26086956521739</v>
      </c>
      <c r="AF659" s="0" t="s">
        <v>236</v>
      </c>
      <c r="AG659" s="0" t="s">
        <v>236</v>
      </c>
      <c r="AH659" s="0" t="s">
        <v>236</v>
      </c>
      <c r="AI659" s="0" t="s">
        <v>1135</v>
      </c>
      <c r="AJ659" s="0" t="s">
        <v>3072</v>
      </c>
      <c r="AK659" s="0" t="s">
        <v>3073</v>
      </c>
      <c r="AL659" s="0" t="s">
        <v>3074</v>
      </c>
      <c r="AM659" s="0" t="s">
        <v>94</v>
      </c>
      <c r="AN659" s="26" t="n">
        <f aca="false">IFERROR(E659*(1+IF(AM659="Apartment",Data_Summary!$C$3,0)),"")</f>
        <v>4.26086956521739</v>
      </c>
      <c r="AO659" s="4" t="n">
        <v>46195</v>
      </c>
    </row>
    <row r="660" customFormat="false" ht="15" hidden="false" customHeight="false" outlineLevel="0" collapsed="false">
      <c r="A660" s="0" t="n">
        <f aca="false">IF(AND(ISNUMBER(B660),B660&gt;0,ISNUMBER(AB660),AB660&gt;0,J660&gt;=Data_Summary!$C$1),1,0)</f>
        <v>1</v>
      </c>
      <c r="B660" s="30" t="n">
        <v>651</v>
      </c>
      <c r="C660" s="5" t="n">
        <f aca="false">IF(ISNUMBER(AB660),AB660,"")</f>
        <v>2550</v>
      </c>
      <c r="D660" s="0" t="n">
        <f aca="false">IF(ISNUMBER(C660),C660-U660*Data_Summary!$C$2,"")</f>
        <v>2550</v>
      </c>
      <c r="E660" s="31" t="n">
        <f aca="false">IFERROR(C660/B660,"")</f>
        <v>3.91705069124424</v>
      </c>
      <c r="F660" s="26" t="n">
        <f aca="false">IFERROR(D660/B660,"")</f>
        <v>3.91705069124424</v>
      </c>
      <c r="G660" s="0" t="str">
        <f aca="false">Q660</f>
        <v>1+1</v>
      </c>
      <c r="H660" s="0" t="str">
        <f aca="false">IFERROR(LEFT(G660,1),"")</f>
        <v>1</v>
      </c>
      <c r="I660" s="0" t="n">
        <f aca="false">IF(LEN(G660)&gt;1,1,0)</f>
        <v>1</v>
      </c>
      <c r="J660" s="4" t="n">
        <v>45845</v>
      </c>
      <c r="K660" s="0" t="s">
        <v>13</v>
      </c>
      <c r="L660" s="0" t="s">
        <v>101</v>
      </c>
      <c r="M660" s="0" t="s">
        <v>226</v>
      </c>
      <c r="N660" s="0" t="s">
        <v>103</v>
      </c>
      <c r="O660" s="0" t="s">
        <v>3075</v>
      </c>
      <c r="Q660" s="0" t="s">
        <v>270</v>
      </c>
      <c r="R660" s="0" t="n">
        <v>1</v>
      </c>
      <c r="S660" s="5" t="n">
        <v>651</v>
      </c>
      <c r="T660" s="0" t="s">
        <v>271</v>
      </c>
      <c r="U660" s="0" t="n">
        <v>0</v>
      </c>
      <c r="V660" s="0" t="s">
        <v>230</v>
      </c>
      <c r="W660" s="0" t="s">
        <v>244</v>
      </c>
      <c r="Y660" s="0" t="s">
        <v>278</v>
      </c>
      <c r="Z660" s="0" t="s">
        <v>2657</v>
      </c>
      <c r="AA660" s="0" t="s">
        <v>235</v>
      </c>
      <c r="AB660" s="32" t="n">
        <v>2550</v>
      </c>
      <c r="AC660" s="32" t="n">
        <v>2600</v>
      </c>
      <c r="AD660" s="26" t="n">
        <f aca="false">IFERROR(AB660/B660,"")</f>
        <v>3.91705069124424</v>
      </c>
      <c r="AE660" s="26" t="n">
        <f aca="false">IFERROR(AC660/B660,"")</f>
        <v>3.99385560675883</v>
      </c>
      <c r="AF660" s="0" t="s">
        <v>236</v>
      </c>
      <c r="AG660" s="0" t="s">
        <v>236</v>
      </c>
      <c r="AH660" s="0" t="s">
        <v>236</v>
      </c>
      <c r="AI660" s="0" t="s">
        <v>1143</v>
      </c>
      <c r="AJ660" s="0" t="s">
        <v>3076</v>
      </c>
      <c r="AK660" s="0" t="s">
        <v>3077</v>
      </c>
      <c r="AL660" s="0" t="s">
        <v>3078</v>
      </c>
      <c r="AM660" s="0" t="s">
        <v>94</v>
      </c>
      <c r="AN660" s="26" t="n">
        <f aca="false">IFERROR(E660*(1+IF(AM660="Apartment",Data_Summary!$C$3,0)),"")</f>
        <v>3.91705069124424</v>
      </c>
      <c r="AO660" s="4" t="n">
        <v>46195</v>
      </c>
    </row>
    <row r="661" customFormat="false" ht="15" hidden="false" customHeight="false" outlineLevel="0" collapsed="false">
      <c r="A661" s="0" t="n">
        <f aca="false">IF(AND(ISNUMBER(B661),B661&gt;0,ISNUMBER(AB661),AB661&gt;0,J661&gt;=Data_Summary!$C$1),1,0)</f>
        <v>1</v>
      </c>
      <c r="B661" s="33" t="n">
        <v>586</v>
      </c>
      <c r="C661" s="5" t="n">
        <f aca="false">IF(ISNUMBER(AB661),AB661,"")</f>
        <v>2400</v>
      </c>
      <c r="D661" s="0" t="n">
        <f aca="false">IF(ISNUMBER(C661),C661-U661*Data_Summary!$C$2,"")</f>
        <v>2400</v>
      </c>
      <c r="E661" s="34" t="n">
        <f aca="false">IFERROR(C661/B661,"")</f>
        <v>4.09556313993174</v>
      </c>
      <c r="F661" s="26" t="n">
        <f aca="false">IFERROR(D661/B661,"")</f>
        <v>4.09556313993174</v>
      </c>
      <c r="G661" s="0" t="str">
        <f aca="false">Q661</f>
        <v>1</v>
      </c>
      <c r="H661" s="0" t="str">
        <f aca="false">IFERROR(LEFT(G661,1),"")</f>
        <v>1</v>
      </c>
      <c r="I661" s="0" t="n">
        <f aca="false">IF(LEN(G661)&gt;1,1,0)</f>
        <v>0</v>
      </c>
      <c r="J661" s="4" t="n">
        <v>45841</v>
      </c>
      <c r="K661" s="0" t="s">
        <v>13</v>
      </c>
      <c r="L661" s="0" t="s">
        <v>101</v>
      </c>
      <c r="M661" s="0" t="s">
        <v>226</v>
      </c>
      <c r="N661" s="0" t="s">
        <v>103</v>
      </c>
      <c r="O661" s="0" t="s">
        <v>3079</v>
      </c>
      <c r="Q661" s="0" t="s">
        <v>242</v>
      </c>
      <c r="R661" s="0" t="n">
        <v>1</v>
      </c>
      <c r="S661" s="5" t="n">
        <v>586</v>
      </c>
      <c r="T661" s="0" t="s">
        <v>303</v>
      </c>
      <c r="U661" s="0" t="n">
        <v>0</v>
      </c>
      <c r="V661" s="0" t="s">
        <v>230</v>
      </c>
      <c r="W661" s="0" t="s">
        <v>231</v>
      </c>
      <c r="Y661" s="0" t="s">
        <v>233</v>
      </c>
      <c r="Z661" s="0" t="s">
        <v>2657</v>
      </c>
      <c r="AA661" s="0" t="s">
        <v>235</v>
      </c>
      <c r="AB661" s="32" t="n">
        <v>2400</v>
      </c>
      <c r="AC661" s="32" t="n">
        <v>2400</v>
      </c>
      <c r="AD661" s="26" t="n">
        <f aca="false">IFERROR(AB661/B661,"")</f>
        <v>4.09556313993174</v>
      </c>
      <c r="AE661" s="26" t="n">
        <f aca="false">IFERROR(AC661/B661,"")</f>
        <v>4.09556313993174</v>
      </c>
      <c r="AF661" s="0" t="s">
        <v>236</v>
      </c>
      <c r="AG661" s="0" t="s">
        <v>236</v>
      </c>
      <c r="AH661" s="0" t="s">
        <v>236</v>
      </c>
      <c r="AI661" s="0" t="s">
        <v>1171</v>
      </c>
      <c r="AJ661" s="0" t="s">
        <v>3080</v>
      </c>
      <c r="AK661" s="0" t="s">
        <v>3081</v>
      </c>
      <c r="AL661" s="0" t="s">
        <v>3082</v>
      </c>
      <c r="AM661" s="0" t="s">
        <v>94</v>
      </c>
      <c r="AN661" s="26" t="n">
        <f aca="false">IFERROR(E661*(1+IF(AM661="Apartment",Data_Summary!$C$3,0)),"")</f>
        <v>4.09556313993174</v>
      </c>
      <c r="AO661" s="4" t="n">
        <v>46195</v>
      </c>
    </row>
    <row r="662" customFormat="false" ht="15" hidden="false" customHeight="false" outlineLevel="0" collapsed="false">
      <c r="A662" s="0" t="n">
        <f aca="false">IF(AND(ISNUMBER(B662),B662&gt;0,ISNUMBER(AB662),AB662&gt;0,J662&gt;=Data_Summary!$C$1),1,0)</f>
        <v>1</v>
      </c>
      <c r="B662" s="33" t="n">
        <v>830</v>
      </c>
      <c r="C662" s="5" t="n">
        <f aca="false">IF(ISNUMBER(AB662),AB662,"")</f>
        <v>3600</v>
      </c>
      <c r="D662" s="0" t="n">
        <f aca="false">IF(ISNUMBER(C662),C662-U662*Data_Summary!$C$2,"")</f>
        <v>3450</v>
      </c>
      <c r="E662" s="34" t="n">
        <f aca="false">IFERROR(C662/B662,"")</f>
        <v>4.33734939759036</v>
      </c>
      <c r="F662" s="26" t="n">
        <f aca="false">IFERROR(D662/B662,"")</f>
        <v>4.1566265060241</v>
      </c>
      <c r="G662" s="0" t="str">
        <f aca="false">Q662</f>
        <v>2</v>
      </c>
      <c r="H662" s="0" t="str">
        <f aca="false">IFERROR(LEFT(G662,1),"")</f>
        <v>2</v>
      </c>
      <c r="I662" s="0" t="n">
        <f aca="false">IF(LEN(G662)&gt;1,1,0)</f>
        <v>0</v>
      </c>
      <c r="J662" s="4" t="n">
        <v>45841</v>
      </c>
      <c r="K662" s="0" t="s">
        <v>13</v>
      </c>
      <c r="L662" s="0" t="s">
        <v>101</v>
      </c>
      <c r="M662" s="0" t="s">
        <v>226</v>
      </c>
      <c r="N662" s="0" t="s">
        <v>103</v>
      </c>
      <c r="O662" s="0" t="s">
        <v>716</v>
      </c>
      <c r="Q662" s="0" t="s">
        <v>251</v>
      </c>
      <c r="R662" s="0" t="n">
        <v>2</v>
      </c>
      <c r="S662" s="5" t="n">
        <v>830</v>
      </c>
      <c r="T662" s="0" t="s">
        <v>229</v>
      </c>
      <c r="U662" s="0" t="n">
        <v>1</v>
      </c>
      <c r="V662" s="0" t="s">
        <v>230</v>
      </c>
      <c r="W662" s="0" t="s">
        <v>244</v>
      </c>
      <c r="X662" s="0" t="s">
        <v>232</v>
      </c>
      <c r="Y662" s="0" t="s">
        <v>233</v>
      </c>
      <c r="Z662" s="0" t="s">
        <v>2657</v>
      </c>
      <c r="AA662" s="0" t="s">
        <v>235</v>
      </c>
      <c r="AB662" s="32" t="n">
        <v>3600</v>
      </c>
      <c r="AC662" s="32" t="n">
        <v>3800</v>
      </c>
      <c r="AD662" s="26" t="n">
        <f aca="false">IFERROR(AB662/B662,"")</f>
        <v>4.33734939759036</v>
      </c>
      <c r="AE662" s="26" t="n">
        <f aca="false">IFERROR(AC662/B662,"")</f>
        <v>4.57831325301205</v>
      </c>
      <c r="AF662" s="0" t="s">
        <v>230</v>
      </c>
      <c r="AG662" s="0" t="s">
        <v>236</v>
      </c>
      <c r="AH662" s="0" t="s">
        <v>230</v>
      </c>
      <c r="AI662" s="0" t="s">
        <v>1171</v>
      </c>
      <c r="AJ662" s="0" t="s">
        <v>3083</v>
      </c>
      <c r="AK662" s="0" t="s">
        <v>3084</v>
      </c>
      <c r="AL662" s="0" t="s">
        <v>3085</v>
      </c>
      <c r="AM662" s="0" t="s">
        <v>94</v>
      </c>
      <c r="AN662" s="26" t="n">
        <f aca="false">IFERROR(E662*(1+IF(AM662="Apartment",Data_Summary!$C$3,0)),"")</f>
        <v>4.33734939759036</v>
      </c>
      <c r="AO662" s="4" t="n">
        <v>46195</v>
      </c>
    </row>
    <row r="663" customFormat="false" ht="15" hidden="false" customHeight="false" outlineLevel="0" collapsed="false">
      <c r="A663" s="0" t="n">
        <f aca="false">IF(AND(ISNUMBER(B663),B663&gt;0,ISNUMBER(AB663),AB663&gt;0,J663&gt;=Data_Summary!$C$1),1,0)</f>
        <v>1</v>
      </c>
      <c r="B663" s="30" t="n">
        <v>582</v>
      </c>
      <c r="C663" s="5" t="n">
        <f aca="false">IF(ISNUMBER(AB663),AB663,"")</f>
        <v>2350</v>
      </c>
      <c r="D663" s="0" t="n">
        <f aca="false">IF(ISNUMBER(C663),C663-U663*Data_Summary!$C$2,"")</f>
        <v>2350</v>
      </c>
      <c r="E663" s="31" t="n">
        <f aca="false">IFERROR(C663/B663,"")</f>
        <v>4.03780068728522</v>
      </c>
      <c r="F663" s="26" t="n">
        <f aca="false">IFERROR(D663/B663,"")</f>
        <v>4.03780068728522</v>
      </c>
      <c r="G663" s="0" t="str">
        <f aca="false">Q663</f>
        <v>1</v>
      </c>
      <c r="H663" s="0" t="str">
        <f aca="false">IFERROR(LEFT(G663,1),"")</f>
        <v>1</v>
      </c>
      <c r="I663" s="0" t="n">
        <f aca="false">IF(LEN(G663)&gt;1,1,0)</f>
        <v>0</v>
      </c>
      <c r="J663" s="4" t="n">
        <v>45838</v>
      </c>
      <c r="K663" s="0" t="s">
        <v>13</v>
      </c>
      <c r="L663" s="0" t="s">
        <v>101</v>
      </c>
      <c r="M663" s="0" t="s">
        <v>226</v>
      </c>
      <c r="N663" s="0" t="s">
        <v>103</v>
      </c>
      <c r="O663" s="0" t="s">
        <v>677</v>
      </c>
      <c r="Q663" s="0" t="s">
        <v>242</v>
      </c>
      <c r="R663" s="0" t="n">
        <v>1</v>
      </c>
      <c r="S663" s="5" t="n">
        <v>582</v>
      </c>
      <c r="T663" s="0" t="s">
        <v>243</v>
      </c>
      <c r="U663" s="0" t="n">
        <v>0</v>
      </c>
      <c r="V663" s="0" t="s">
        <v>230</v>
      </c>
      <c r="W663" s="0" t="s">
        <v>244</v>
      </c>
      <c r="Y663" s="0" t="s">
        <v>253</v>
      </c>
      <c r="Z663" s="0" t="s">
        <v>2657</v>
      </c>
      <c r="AA663" s="0" t="s">
        <v>235</v>
      </c>
      <c r="AB663" s="32" t="n">
        <v>2350</v>
      </c>
      <c r="AC663" s="32" t="n">
        <v>2350</v>
      </c>
      <c r="AD663" s="26" t="n">
        <f aca="false">IFERROR(AB663/B663,"")</f>
        <v>4.03780068728522</v>
      </c>
      <c r="AE663" s="26" t="n">
        <f aca="false">IFERROR(AC663/B663,"")</f>
        <v>4.03780068728522</v>
      </c>
      <c r="AF663" s="0" t="s">
        <v>236</v>
      </c>
      <c r="AG663" s="0" t="s">
        <v>236</v>
      </c>
      <c r="AH663" s="0" t="s">
        <v>236</v>
      </c>
      <c r="AI663" s="0" t="s">
        <v>1210</v>
      </c>
      <c r="AJ663" s="0" t="s">
        <v>3086</v>
      </c>
      <c r="AK663" s="0" t="s">
        <v>3087</v>
      </c>
      <c r="AL663" s="0" t="s">
        <v>3088</v>
      </c>
      <c r="AM663" s="0" t="s">
        <v>94</v>
      </c>
      <c r="AN663" s="26" t="n">
        <f aca="false">IFERROR(E663*(1+IF(AM663="Apartment",Data_Summary!$C$3,0)),"")</f>
        <v>4.03780068728522</v>
      </c>
      <c r="AO663" s="4" t="n">
        <v>46195</v>
      </c>
    </row>
    <row r="664" customFormat="false" ht="15" hidden="false" customHeight="false" outlineLevel="0" collapsed="false">
      <c r="A664" s="0" t="n">
        <f aca="false">IF(AND(ISNUMBER(B664),B664&gt;0,ISNUMBER(AB664),AB664&gt;0,J664&gt;=Data_Summary!$C$1),1,0)</f>
        <v>1</v>
      </c>
      <c r="B664" s="33" t="n">
        <v>582</v>
      </c>
      <c r="C664" s="5" t="n">
        <f aca="false">IF(ISNUMBER(AB664),AB664,"")</f>
        <v>2400</v>
      </c>
      <c r="D664" s="0" t="n">
        <f aca="false">IF(ISNUMBER(C664),C664-U664*Data_Summary!$C$2,"")</f>
        <v>2400</v>
      </c>
      <c r="E664" s="34" t="n">
        <f aca="false">IFERROR(C664/B664,"")</f>
        <v>4.12371134020619</v>
      </c>
      <c r="F664" s="26" t="n">
        <f aca="false">IFERROR(D664/B664,"")</f>
        <v>4.12371134020619</v>
      </c>
      <c r="G664" s="0" t="str">
        <f aca="false">Q664</f>
        <v>1</v>
      </c>
      <c r="H664" s="0" t="str">
        <f aca="false">IFERROR(LEFT(G664,1),"")</f>
        <v>1</v>
      </c>
      <c r="I664" s="0" t="n">
        <f aca="false">IF(LEN(G664)&gt;1,1,0)</f>
        <v>0</v>
      </c>
      <c r="J664" s="4" t="n">
        <v>45838</v>
      </c>
      <c r="K664" s="0" t="s">
        <v>13</v>
      </c>
      <c r="L664" s="0" t="s">
        <v>101</v>
      </c>
      <c r="M664" s="0" t="s">
        <v>226</v>
      </c>
      <c r="N664" s="0" t="s">
        <v>103</v>
      </c>
      <c r="O664" s="0" t="s">
        <v>2219</v>
      </c>
      <c r="Q664" s="0" t="s">
        <v>242</v>
      </c>
      <c r="R664" s="0" t="n">
        <v>1</v>
      </c>
      <c r="S664" s="5" t="n">
        <v>582</v>
      </c>
      <c r="T664" s="0" t="s">
        <v>243</v>
      </c>
      <c r="U664" s="0" t="n">
        <v>0</v>
      </c>
      <c r="V664" s="0" t="s">
        <v>230</v>
      </c>
      <c r="W664" s="0" t="s">
        <v>244</v>
      </c>
      <c r="Y664" s="0" t="s">
        <v>272</v>
      </c>
      <c r="Z664" s="0" t="s">
        <v>2657</v>
      </c>
      <c r="AA664" s="0" t="s">
        <v>235</v>
      </c>
      <c r="AB664" s="32" t="n">
        <v>2400</v>
      </c>
      <c r="AC664" s="32" t="n">
        <v>2400</v>
      </c>
      <c r="AD664" s="26" t="n">
        <f aca="false">IFERROR(AB664/B664,"")</f>
        <v>4.12371134020619</v>
      </c>
      <c r="AE664" s="26" t="n">
        <f aca="false">IFERROR(AC664/B664,"")</f>
        <v>4.12371134020619</v>
      </c>
      <c r="AF664" s="0" t="s">
        <v>230</v>
      </c>
      <c r="AG664" s="0" t="s">
        <v>236</v>
      </c>
      <c r="AH664" s="0" t="s">
        <v>236</v>
      </c>
      <c r="AI664" s="0" t="s">
        <v>1210</v>
      </c>
      <c r="AJ664" s="0" t="s">
        <v>3089</v>
      </c>
      <c r="AK664" s="0" t="s">
        <v>3090</v>
      </c>
      <c r="AL664" s="0" t="s">
        <v>3091</v>
      </c>
      <c r="AM664" s="0" t="s">
        <v>94</v>
      </c>
      <c r="AN664" s="26" t="n">
        <f aca="false">IFERROR(E664*(1+IF(AM664="Apartment",Data_Summary!$C$3,0)),"")</f>
        <v>4.12371134020619</v>
      </c>
      <c r="AO664" s="4" t="n">
        <v>46195</v>
      </c>
    </row>
    <row r="665" customFormat="false" ht="15" hidden="false" customHeight="false" outlineLevel="0" collapsed="false">
      <c r="A665" s="0" t="n">
        <f aca="false">IF(AND(ISNUMBER(B665),B665&gt;0,ISNUMBER(AB665),AB665&gt;0,J665&gt;=Data_Summary!$C$1),1,0)</f>
        <v>1</v>
      </c>
      <c r="B665" s="30" t="n">
        <v>1305</v>
      </c>
      <c r="C665" s="5" t="n">
        <f aca="false">IF(ISNUMBER(AB665),AB665,"")</f>
        <v>5900</v>
      </c>
      <c r="D665" s="0" t="n">
        <f aca="false">IF(ISNUMBER(C665),C665-U665*Data_Summary!$C$2,"")</f>
        <v>5750</v>
      </c>
      <c r="E665" s="31" t="n">
        <f aca="false">IFERROR(C665/B665,"")</f>
        <v>4.52107279693487</v>
      </c>
      <c r="F665" s="26" t="n">
        <f aca="false">IFERROR(D665/B665,"")</f>
        <v>4.40613026819923</v>
      </c>
      <c r="G665" s="0" t="str">
        <f aca="false">Q665</f>
        <v>3</v>
      </c>
      <c r="H665" s="0" t="str">
        <f aca="false">IFERROR(LEFT(G665,1),"")</f>
        <v>3</v>
      </c>
      <c r="I665" s="0" t="n">
        <f aca="false">IF(LEN(G665)&gt;1,1,0)</f>
        <v>0</v>
      </c>
      <c r="J665" s="4" t="n">
        <v>45834</v>
      </c>
      <c r="K665" s="0" t="s">
        <v>13</v>
      </c>
      <c r="L665" s="0" t="s">
        <v>101</v>
      </c>
      <c r="M665" s="0" t="s">
        <v>226</v>
      </c>
      <c r="N665" s="0" t="s">
        <v>103</v>
      </c>
      <c r="O665" s="0" t="s">
        <v>759</v>
      </c>
      <c r="Q665" s="0" t="s">
        <v>228</v>
      </c>
      <c r="R665" s="0" t="n">
        <v>3</v>
      </c>
      <c r="S665" s="5" t="n">
        <v>1305</v>
      </c>
      <c r="T665" s="0" t="s">
        <v>467</v>
      </c>
      <c r="U665" s="0" t="n">
        <v>1</v>
      </c>
      <c r="V665" s="0" t="s">
        <v>230</v>
      </c>
      <c r="W665" s="0" t="s">
        <v>231</v>
      </c>
      <c r="X665" s="0" t="s">
        <v>232</v>
      </c>
      <c r="Y665" s="0" t="s">
        <v>297</v>
      </c>
      <c r="Z665" s="0" t="s">
        <v>2657</v>
      </c>
      <c r="AA665" s="0" t="s">
        <v>235</v>
      </c>
      <c r="AB665" s="32" t="n">
        <v>5900</v>
      </c>
      <c r="AC665" s="32" t="n">
        <v>5992</v>
      </c>
      <c r="AD665" s="26" t="n">
        <f aca="false">IFERROR(AB665/B665,"")</f>
        <v>4.52107279693487</v>
      </c>
      <c r="AE665" s="26" t="n">
        <f aca="false">IFERROR(AC665/B665,"")</f>
        <v>4.59157088122605</v>
      </c>
      <c r="AF665" s="0" t="s">
        <v>236</v>
      </c>
      <c r="AG665" s="0" t="s">
        <v>236</v>
      </c>
      <c r="AH665" s="0" t="s">
        <v>236</v>
      </c>
      <c r="AI665" s="0" t="s">
        <v>1241</v>
      </c>
      <c r="AJ665" s="0" t="s">
        <v>3092</v>
      </c>
      <c r="AK665" s="0" t="s">
        <v>3093</v>
      </c>
      <c r="AL665" s="0" t="s">
        <v>3094</v>
      </c>
      <c r="AM665" s="0" t="s">
        <v>94</v>
      </c>
      <c r="AN665" s="26" t="n">
        <f aca="false">IFERROR(E665*(1+IF(AM665="Apartment",Data_Summary!$C$3,0)),"")</f>
        <v>4.52107279693487</v>
      </c>
      <c r="AO665" s="4" t="n">
        <v>46195</v>
      </c>
    </row>
    <row r="666" customFormat="false" ht="15" hidden="false" customHeight="false" outlineLevel="0" collapsed="false">
      <c r="A666" s="0" t="n">
        <f aca="false">IF(AND(ISNUMBER(B666),B666&gt;0,ISNUMBER(AB666),AB666&gt;0,J666&gt;=Data_Summary!$C$1),1,0)</f>
        <v>1</v>
      </c>
      <c r="B666" s="30" t="n">
        <v>649</v>
      </c>
      <c r="C666" s="5" t="n">
        <f aca="false">IF(ISNUMBER(AB666),AB666,"")</f>
        <v>2480</v>
      </c>
      <c r="D666" s="0" t="n">
        <f aca="false">IF(ISNUMBER(C666),C666-U666*Data_Summary!$C$2,"")</f>
        <v>2480</v>
      </c>
      <c r="E666" s="31" t="n">
        <f aca="false">IFERROR(C666/B666,"")</f>
        <v>3.82126348228043</v>
      </c>
      <c r="F666" s="26" t="n">
        <f aca="false">IFERROR(D666/B666,"")</f>
        <v>3.82126348228043</v>
      </c>
      <c r="G666" s="0" t="str">
        <f aca="false">Q666</f>
        <v>1+1</v>
      </c>
      <c r="H666" s="0" t="str">
        <f aca="false">IFERROR(LEFT(G666,1),"")</f>
        <v>1</v>
      </c>
      <c r="I666" s="0" t="n">
        <f aca="false">IF(LEN(G666)&gt;1,1,0)</f>
        <v>1</v>
      </c>
      <c r="J666" s="4" t="n">
        <v>45827</v>
      </c>
      <c r="K666" s="0" t="s">
        <v>13</v>
      </c>
      <c r="L666" s="0" t="s">
        <v>101</v>
      </c>
      <c r="M666" s="0" t="s">
        <v>226</v>
      </c>
      <c r="N666" s="0" t="s">
        <v>103</v>
      </c>
      <c r="O666" s="0" t="s">
        <v>1740</v>
      </c>
      <c r="Q666" s="0" t="s">
        <v>270</v>
      </c>
      <c r="R666" s="0" t="n">
        <v>1</v>
      </c>
      <c r="S666" s="5" t="n">
        <v>649</v>
      </c>
      <c r="T666" s="0" t="s">
        <v>271</v>
      </c>
      <c r="U666" s="0" t="n">
        <v>0</v>
      </c>
      <c r="V666" s="0" t="s">
        <v>230</v>
      </c>
      <c r="W666" s="0" t="s">
        <v>244</v>
      </c>
      <c r="Y666" s="0" t="s">
        <v>233</v>
      </c>
      <c r="Z666" s="0" t="s">
        <v>2657</v>
      </c>
      <c r="AA666" s="0" t="s">
        <v>235</v>
      </c>
      <c r="AB666" s="32" t="n">
        <v>2480</v>
      </c>
      <c r="AC666" s="32" t="n">
        <v>2480</v>
      </c>
      <c r="AD666" s="26" t="n">
        <f aca="false">IFERROR(AB666/B666,"")</f>
        <v>3.82126348228043</v>
      </c>
      <c r="AE666" s="26" t="n">
        <f aca="false">IFERROR(AC666/B666,"")</f>
        <v>3.82126348228043</v>
      </c>
      <c r="AF666" s="0" t="s">
        <v>236</v>
      </c>
      <c r="AG666" s="0" t="s">
        <v>236</v>
      </c>
      <c r="AH666" s="0" t="s">
        <v>236</v>
      </c>
      <c r="AI666" s="0" t="s">
        <v>1334</v>
      </c>
      <c r="AJ666" s="0" t="s">
        <v>3095</v>
      </c>
      <c r="AK666" s="0" t="s">
        <v>3096</v>
      </c>
      <c r="AL666" s="0" t="s">
        <v>3097</v>
      </c>
      <c r="AM666" s="0" t="s">
        <v>94</v>
      </c>
      <c r="AN666" s="26" t="n">
        <f aca="false">IFERROR(E666*(1+IF(AM666="Apartment",Data_Summary!$C$3,0)),"")</f>
        <v>3.82126348228043</v>
      </c>
      <c r="AO666" s="4" t="n">
        <v>46195</v>
      </c>
    </row>
    <row r="667" customFormat="false" ht="15" hidden="false" customHeight="false" outlineLevel="0" collapsed="false">
      <c r="A667" s="0" t="n">
        <f aca="false">IF(AND(ISNUMBER(B667),B667&gt;0,ISNUMBER(AB667),AB667&gt;0,J667&gt;=Data_Summary!$C$1),1,0)</f>
        <v>1</v>
      </c>
      <c r="B667" s="30" t="n">
        <v>586</v>
      </c>
      <c r="C667" s="5" t="n">
        <f aca="false">IF(ISNUMBER(AB667),AB667,"")</f>
        <v>2275</v>
      </c>
      <c r="D667" s="0" t="n">
        <f aca="false">IF(ISNUMBER(C667),C667-U667*Data_Summary!$C$2,"")</f>
        <v>2275</v>
      </c>
      <c r="E667" s="31" t="n">
        <f aca="false">IFERROR(C667/B667,"")</f>
        <v>3.88225255972696</v>
      </c>
      <c r="F667" s="26" t="n">
        <f aca="false">IFERROR(D667/B667,"")</f>
        <v>3.88225255972696</v>
      </c>
      <c r="G667" s="0" t="str">
        <f aca="false">Q667</f>
        <v>1</v>
      </c>
      <c r="H667" s="0" t="str">
        <f aca="false">IFERROR(LEFT(G667,1),"")</f>
        <v>1</v>
      </c>
      <c r="I667" s="0" t="n">
        <f aca="false">IF(LEN(G667)&gt;1,1,0)</f>
        <v>0</v>
      </c>
      <c r="J667" s="4" t="n">
        <v>45824</v>
      </c>
      <c r="K667" s="0" t="s">
        <v>13</v>
      </c>
      <c r="L667" s="0" t="s">
        <v>101</v>
      </c>
      <c r="M667" s="0" t="s">
        <v>226</v>
      </c>
      <c r="N667" s="0" t="s">
        <v>103</v>
      </c>
      <c r="O667" s="0" t="s">
        <v>3098</v>
      </c>
      <c r="Q667" s="0" t="s">
        <v>242</v>
      </c>
      <c r="R667" s="0" t="n">
        <v>1</v>
      </c>
      <c r="S667" s="5" t="n">
        <v>586</v>
      </c>
      <c r="T667" s="0" t="s">
        <v>243</v>
      </c>
      <c r="U667" s="0" t="n">
        <v>0</v>
      </c>
      <c r="V667" s="0" t="s">
        <v>230</v>
      </c>
      <c r="W667" s="0" t="s">
        <v>244</v>
      </c>
      <c r="Y667" s="0" t="s">
        <v>253</v>
      </c>
      <c r="Z667" s="0" t="s">
        <v>2657</v>
      </c>
      <c r="AA667" s="0" t="s">
        <v>235</v>
      </c>
      <c r="AB667" s="32" t="n">
        <v>2275</v>
      </c>
      <c r="AC667" s="32" t="n">
        <v>2350</v>
      </c>
      <c r="AD667" s="26" t="n">
        <f aca="false">IFERROR(AB667/B667,"")</f>
        <v>3.88225255972696</v>
      </c>
      <c r="AE667" s="26" t="n">
        <f aca="false">IFERROR(AC667/B667,"")</f>
        <v>4.01023890784983</v>
      </c>
      <c r="AF667" s="0" t="s">
        <v>236</v>
      </c>
      <c r="AG667" s="0" t="s">
        <v>236</v>
      </c>
      <c r="AH667" s="0" t="s">
        <v>236</v>
      </c>
      <c r="AI667" s="0" t="s">
        <v>1361</v>
      </c>
      <c r="AJ667" s="0" t="s">
        <v>3099</v>
      </c>
      <c r="AK667" s="0" t="s">
        <v>3100</v>
      </c>
      <c r="AL667" s="0" t="s">
        <v>3101</v>
      </c>
      <c r="AM667" s="0" t="s">
        <v>94</v>
      </c>
      <c r="AN667" s="26" t="n">
        <f aca="false">IFERROR(E667*(1+IF(AM667="Apartment",Data_Summary!$C$3,0)),"")</f>
        <v>3.88225255972696</v>
      </c>
      <c r="AO667" s="4" t="n">
        <v>46195</v>
      </c>
    </row>
    <row r="668" customFormat="false" ht="15" hidden="false" customHeight="false" outlineLevel="0" collapsed="false">
      <c r="A668" s="0" t="n">
        <f aca="false">IF(AND(ISNUMBER(B668),B668&gt;0,ISNUMBER(AB668),AB668&gt;0,J668&gt;=Data_Summary!$C$1),1,0)</f>
        <v>1</v>
      </c>
      <c r="B668" s="30" t="n">
        <v>649</v>
      </c>
      <c r="C668" s="5" t="n">
        <f aca="false">IF(ISNUMBER(AB668),AB668,"")</f>
        <v>2600</v>
      </c>
      <c r="D668" s="0" t="n">
        <f aca="false">IF(ISNUMBER(C668),C668-U668*Data_Summary!$C$2,"")</f>
        <v>2600</v>
      </c>
      <c r="E668" s="31" t="n">
        <f aca="false">IFERROR(C668/B668,"")</f>
        <v>4.00616332819723</v>
      </c>
      <c r="F668" s="26" t="n">
        <f aca="false">IFERROR(D668/B668,"")</f>
        <v>4.00616332819723</v>
      </c>
      <c r="G668" s="0" t="str">
        <f aca="false">Q668</f>
        <v>1+1</v>
      </c>
      <c r="H668" s="0" t="str">
        <f aca="false">IFERROR(LEFT(G668,1),"")</f>
        <v>1</v>
      </c>
      <c r="I668" s="0" t="n">
        <f aca="false">IF(LEN(G668)&gt;1,1,0)</f>
        <v>1</v>
      </c>
      <c r="J668" s="4" t="n">
        <v>45824</v>
      </c>
      <c r="K668" s="0" t="s">
        <v>13</v>
      </c>
      <c r="L668" s="0" t="s">
        <v>101</v>
      </c>
      <c r="M668" s="0" t="s">
        <v>226</v>
      </c>
      <c r="N668" s="0" t="s">
        <v>103</v>
      </c>
      <c r="O668" s="0" t="s">
        <v>3102</v>
      </c>
      <c r="Q668" s="0" t="s">
        <v>270</v>
      </c>
      <c r="R668" s="0" t="n">
        <v>1</v>
      </c>
      <c r="S668" s="5" t="n">
        <v>649</v>
      </c>
      <c r="T668" s="0" t="s">
        <v>271</v>
      </c>
      <c r="U668" s="0" t="n">
        <v>0</v>
      </c>
      <c r="V668" s="0" t="s">
        <v>230</v>
      </c>
      <c r="W668" s="0" t="s">
        <v>231</v>
      </c>
      <c r="Y668" s="0" t="s">
        <v>272</v>
      </c>
      <c r="Z668" s="0" t="s">
        <v>2657</v>
      </c>
      <c r="AA668" s="0" t="s">
        <v>235</v>
      </c>
      <c r="AB668" s="32" t="n">
        <v>2600</v>
      </c>
      <c r="AC668" s="32" t="n">
        <v>2600</v>
      </c>
      <c r="AD668" s="26" t="n">
        <f aca="false">IFERROR(AB668/B668,"")</f>
        <v>4.00616332819723</v>
      </c>
      <c r="AE668" s="26" t="n">
        <f aca="false">IFERROR(AC668/B668,"")</f>
        <v>4.00616332819723</v>
      </c>
      <c r="AF668" s="0" t="s">
        <v>236</v>
      </c>
      <c r="AG668" s="0" t="s">
        <v>236</v>
      </c>
      <c r="AH668" s="0" t="s">
        <v>236</v>
      </c>
      <c r="AI668" s="0" t="s">
        <v>1361</v>
      </c>
      <c r="AJ668" s="0" t="s">
        <v>3103</v>
      </c>
      <c r="AK668" s="0" t="s">
        <v>3104</v>
      </c>
      <c r="AL668" s="0" t="s">
        <v>3105</v>
      </c>
      <c r="AM668" s="0" t="s">
        <v>94</v>
      </c>
      <c r="AN668" s="26" t="n">
        <f aca="false">IFERROR(E668*(1+IF(AM668="Apartment",Data_Summary!$C$3,0)),"")</f>
        <v>4.00616332819723</v>
      </c>
      <c r="AO668" s="4" t="n">
        <v>46195</v>
      </c>
    </row>
    <row r="669" customFormat="false" ht="15" hidden="false" customHeight="false" outlineLevel="0" collapsed="false">
      <c r="A669" s="0" t="n">
        <f aca="false">IF(AND(ISNUMBER(B669),B669&gt;0,ISNUMBER(AB669),AB669&gt;0,J669&gt;=Data_Summary!$C$1),1,0)</f>
        <v>1</v>
      </c>
      <c r="B669" s="33" t="n">
        <v>575</v>
      </c>
      <c r="C669" s="5" t="n">
        <f aca="false">IF(ISNUMBER(AB669),AB669,"")</f>
        <v>2400</v>
      </c>
      <c r="D669" s="0" t="n">
        <f aca="false">IF(ISNUMBER(C669),C669-U669*Data_Summary!$C$2,"")</f>
        <v>2400</v>
      </c>
      <c r="E669" s="34" t="n">
        <f aca="false">IFERROR(C669/B669,"")</f>
        <v>4.17391304347826</v>
      </c>
      <c r="F669" s="26" t="n">
        <f aca="false">IFERROR(D669/B669,"")</f>
        <v>4.17391304347826</v>
      </c>
      <c r="G669" s="0" t="str">
        <f aca="false">Q669</f>
        <v>1</v>
      </c>
      <c r="H669" s="0" t="str">
        <f aca="false">IFERROR(LEFT(G669,1),"")</f>
        <v>1</v>
      </c>
      <c r="I669" s="0" t="n">
        <f aca="false">IF(LEN(G669)&gt;1,1,0)</f>
        <v>0</v>
      </c>
      <c r="J669" s="4" t="n">
        <v>45819</v>
      </c>
      <c r="K669" s="0" t="s">
        <v>13</v>
      </c>
      <c r="L669" s="0" t="s">
        <v>101</v>
      </c>
      <c r="M669" s="0" t="s">
        <v>226</v>
      </c>
      <c r="N669" s="0" t="s">
        <v>103</v>
      </c>
      <c r="O669" s="0" t="s">
        <v>1122</v>
      </c>
      <c r="Q669" s="0" t="s">
        <v>242</v>
      </c>
      <c r="R669" s="0" t="n">
        <v>1</v>
      </c>
      <c r="S669" s="5" t="n">
        <v>575</v>
      </c>
      <c r="T669" s="0" t="s">
        <v>271</v>
      </c>
      <c r="U669" s="0" t="n">
        <v>0</v>
      </c>
      <c r="V669" s="0" t="s">
        <v>230</v>
      </c>
      <c r="W669" s="0" t="s">
        <v>244</v>
      </c>
      <c r="Y669" s="0" t="s">
        <v>272</v>
      </c>
      <c r="Z669" s="0" t="s">
        <v>2657</v>
      </c>
      <c r="AA669" s="0" t="s">
        <v>235</v>
      </c>
      <c r="AB669" s="32" t="n">
        <v>2400</v>
      </c>
      <c r="AC669" s="32" t="n">
        <v>2450</v>
      </c>
      <c r="AD669" s="26" t="n">
        <f aca="false">IFERROR(AB669/B669,"")</f>
        <v>4.17391304347826</v>
      </c>
      <c r="AE669" s="26" t="n">
        <f aca="false">IFERROR(AC669/B669,"")</f>
        <v>4.26086956521739</v>
      </c>
      <c r="AF669" s="0" t="s">
        <v>236</v>
      </c>
      <c r="AG669" s="0" t="s">
        <v>236</v>
      </c>
      <c r="AH669" s="0" t="s">
        <v>236</v>
      </c>
      <c r="AI669" s="0" t="s">
        <v>1409</v>
      </c>
      <c r="AJ669" s="0" t="s">
        <v>3106</v>
      </c>
      <c r="AK669" s="0" t="s">
        <v>3107</v>
      </c>
      <c r="AL669" s="0" t="s">
        <v>3108</v>
      </c>
      <c r="AM669" s="0" t="s">
        <v>94</v>
      </c>
      <c r="AN669" s="26" t="n">
        <f aca="false">IFERROR(E669*(1+IF(AM669="Apartment",Data_Summary!$C$3,0)),"")</f>
        <v>4.17391304347826</v>
      </c>
      <c r="AO669" s="4" t="n">
        <v>46195</v>
      </c>
    </row>
    <row r="670" customFormat="false" ht="15" hidden="false" customHeight="false" outlineLevel="0" collapsed="false">
      <c r="A670" s="0" t="n">
        <f aca="false">IF(AND(ISNUMBER(B670),B670&gt;0,ISNUMBER(AB670),AB670&gt;0,J670&gt;=Data_Summary!$C$1),1,0)</f>
        <v>1</v>
      </c>
      <c r="B670" s="30" t="n">
        <v>830</v>
      </c>
      <c r="C670" s="5" t="n">
        <f aca="false">IF(ISNUMBER(AB670),AB670,"")</f>
        <v>3100</v>
      </c>
      <c r="D670" s="0" t="n">
        <f aca="false">IF(ISNUMBER(C670),C670-U670*Data_Summary!$C$2,"")</f>
        <v>3100</v>
      </c>
      <c r="E670" s="31" t="n">
        <f aca="false">IFERROR(C670/B670,"")</f>
        <v>3.73493975903614</v>
      </c>
      <c r="F670" s="26" t="n">
        <f aca="false">IFERROR(D670/B670,"")</f>
        <v>3.73493975903614</v>
      </c>
      <c r="G670" s="0" t="str">
        <f aca="false">Q670</f>
        <v>2</v>
      </c>
      <c r="H670" s="0" t="str">
        <f aca="false">IFERROR(LEFT(G670,1),"")</f>
        <v>2</v>
      </c>
      <c r="I670" s="0" t="n">
        <f aca="false">IF(LEN(G670)&gt;1,1,0)</f>
        <v>0</v>
      </c>
      <c r="J670" s="4" t="n">
        <v>45817</v>
      </c>
      <c r="K670" s="0" t="s">
        <v>13</v>
      </c>
      <c r="L670" s="0" t="s">
        <v>101</v>
      </c>
      <c r="M670" s="0" t="s">
        <v>226</v>
      </c>
      <c r="N670" s="0" t="s">
        <v>103</v>
      </c>
      <c r="O670" s="0" t="s">
        <v>3109</v>
      </c>
      <c r="Q670" s="0" t="s">
        <v>251</v>
      </c>
      <c r="R670" s="0" t="n">
        <v>2</v>
      </c>
      <c r="S670" s="5" t="n">
        <v>830</v>
      </c>
      <c r="T670" s="0" t="s">
        <v>229</v>
      </c>
      <c r="U670" s="0" t="n">
        <v>0</v>
      </c>
      <c r="V670" s="0" t="s">
        <v>230</v>
      </c>
      <c r="W670" s="0" t="s">
        <v>231</v>
      </c>
      <c r="X670" s="0" t="s">
        <v>232</v>
      </c>
      <c r="Y670" s="0" t="s">
        <v>272</v>
      </c>
      <c r="Z670" s="0" t="s">
        <v>2657</v>
      </c>
      <c r="AA670" s="0" t="s">
        <v>235</v>
      </c>
      <c r="AB670" s="32" t="n">
        <v>3100</v>
      </c>
      <c r="AC670" s="32" t="n">
        <v>3100</v>
      </c>
      <c r="AD670" s="26" t="n">
        <f aca="false">IFERROR(AB670/B670,"")</f>
        <v>3.73493975903614</v>
      </c>
      <c r="AE670" s="26" t="n">
        <f aca="false">IFERROR(AC670/B670,"")</f>
        <v>3.73493975903614</v>
      </c>
      <c r="AF670" s="0" t="s">
        <v>236</v>
      </c>
      <c r="AG670" s="0" t="s">
        <v>230</v>
      </c>
      <c r="AH670" s="0" t="s">
        <v>230</v>
      </c>
      <c r="AI670" s="0" t="s">
        <v>1425</v>
      </c>
      <c r="AJ670" s="0" t="s">
        <v>3110</v>
      </c>
      <c r="AK670" s="0" t="s">
        <v>3111</v>
      </c>
      <c r="AL670" s="0" t="s">
        <v>3112</v>
      </c>
      <c r="AM670" s="0" t="s">
        <v>94</v>
      </c>
      <c r="AN670" s="26" t="n">
        <f aca="false">IFERROR(E670*(1+IF(AM670="Apartment",Data_Summary!$C$3,0)),"")</f>
        <v>3.73493975903614</v>
      </c>
      <c r="AO670" s="4" t="n">
        <v>46195</v>
      </c>
    </row>
    <row r="671" customFormat="false" ht="15" hidden="false" customHeight="false" outlineLevel="0" collapsed="false">
      <c r="A671" s="0" t="n">
        <f aca="false">IF(AND(ISNUMBER(B671),B671&gt;0,ISNUMBER(AB671),AB671&gt;0,J671&gt;=Data_Summary!$C$1),1,0)</f>
        <v>1</v>
      </c>
      <c r="B671" s="30" t="n">
        <v>649</v>
      </c>
      <c r="C671" s="5" t="n">
        <f aca="false">IF(ISNUMBER(AB671),AB671,"")</f>
        <v>2500</v>
      </c>
      <c r="D671" s="0" t="n">
        <f aca="false">IF(ISNUMBER(C671),C671-U671*Data_Summary!$C$2,"")</f>
        <v>2500</v>
      </c>
      <c r="E671" s="31" t="n">
        <f aca="false">IFERROR(C671/B671,"")</f>
        <v>3.85208012326656</v>
      </c>
      <c r="F671" s="26" t="n">
        <f aca="false">IFERROR(D671/B671,"")</f>
        <v>3.85208012326656</v>
      </c>
      <c r="G671" s="0" t="str">
        <f aca="false">Q671</f>
        <v>1+1</v>
      </c>
      <c r="H671" s="0" t="str">
        <f aca="false">IFERROR(LEFT(G671,1),"")</f>
        <v>1</v>
      </c>
      <c r="I671" s="0" t="n">
        <f aca="false">IF(LEN(G671)&gt;1,1,0)</f>
        <v>1</v>
      </c>
      <c r="J671" s="4" t="n">
        <v>45814</v>
      </c>
      <c r="K671" s="0" t="s">
        <v>13</v>
      </c>
      <c r="L671" s="0" t="s">
        <v>101</v>
      </c>
      <c r="M671" s="0" t="s">
        <v>226</v>
      </c>
      <c r="N671" s="0" t="s">
        <v>103</v>
      </c>
      <c r="O671" s="0" t="s">
        <v>3113</v>
      </c>
      <c r="Q671" s="0" t="s">
        <v>270</v>
      </c>
      <c r="R671" s="0" t="n">
        <v>1</v>
      </c>
      <c r="S671" s="5" t="n">
        <v>649</v>
      </c>
      <c r="T671" s="0" t="s">
        <v>271</v>
      </c>
      <c r="U671" s="0" t="n">
        <v>0</v>
      </c>
      <c r="V671" s="0" t="s">
        <v>230</v>
      </c>
      <c r="W671" s="0" t="s">
        <v>231</v>
      </c>
      <c r="Y671" s="0" t="s">
        <v>308</v>
      </c>
      <c r="Z671" s="0" t="s">
        <v>2657</v>
      </c>
      <c r="AA671" s="0" t="s">
        <v>235</v>
      </c>
      <c r="AB671" s="32" t="n">
        <v>2500</v>
      </c>
      <c r="AC671" s="32" t="n">
        <v>2600</v>
      </c>
      <c r="AD671" s="26" t="n">
        <f aca="false">IFERROR(AB671/B671,"")</f>
        <v>3.85208012326656</v>
      </c>
      <c r="AE671" s="26" t="n">
        <f aca="false">IFERROR(AC671/B671,"")</f>
        <v>4.00616332819723</v>
      </c>
      <c r="AF671" s="0" t="s">
        <v>236</v>
      </c>
      <c r="AG671" s="0" t="s">
        <v>236</v>
      </c>
      <c r="AH671" s="0" t="s">
        <v>236</v>
      </c>
      <c r="AI671" s="0" t="s">
        <v>1448</v>
      </c>
      <c r="AJ671" s="0" t="s">
        <v>3114</v>
      </c>
      <c r="AK671" s="0" t="s">
        <v>3115</v>
      </c>
      <c r="AL671" s="0" t="s">
        <v>3116</v>
      </c>
      <c r="AM671" s="0" t="s">
        <v>94</v>
      </c>
      <c r="AN671" s="26" t="n">
        <f aca="false">IFERROR(E671*(1+IF(AM671="Apartment",Data_Summary!$C$3,0)),"")</f>
        <v>3.85208012326656</v>
      </c>
      <c r="AO671" s="4" t="n">
        <v>46195</v>
      </c>
    </row>
    <row r="672" customFormat="false" ht="15" hidden="false" customHeight="false" outlineLevel="0" collapsed="false">
      <c r="A672" s="0" t="n">
        <f aca="false">IF(AND(ISNUMBER(B672),B672&gt;0,ISNUMBER(AB672),AB672&gt;0,J672&gt;=Data_Summary!$C$1),1,0)</f>
        <v>1</v>
      </c>
      <c r="B672" s="30" t="n">
        <v>651</v>
      </c>
      <c r="C672" s="5" t="n">
        <f aca="false">IF(ISNUMBER(AB672),AB672,"")</f>
        <v>2420</v>
      </c>
      <c r="D672" s="0" t="n">
        <f aca="false">IF(ISNUMBER(C672),C672-U672*Data_Summary!$C$2,"")</f>
        <v>2420</v>
      </c>
      <c r="E672" s="31" t="n">
        <f aca="false">IFERROR(C672/B672,"")</f>
        <v>3.7173579109063</v>
      </c>
      <c r="F672" s="26" t="n">
        <f aca="false">IFERROR(D672/B672,"")</f>
        <v>3.7173579109063</v>
      </c>
      <c r="G672" s="0" t="str">
        <f aca="false">Q672</f>
        <v>1+1</v>
      </c>
      <c r="H672" s="0" t="str">
        <f aca="false">IFERROR(LEFT(G672,1),"")</f>
        <v>1</v>
      </c>
      <c r="I672" s="0" t="n">
        <f aca="false">IF(LEN(G672)&gt;1,1,0)</f>
        <v>1</v>
      </c>
      <c r="J672" s="4" t="n">
        <v>45812</v>
      </c>
      <c r="K672" s="0" t="s">
        <v>13</v>
      </c>
      <c r="L672" s="0" t="s">
        <v>101</v>
      </c>
      <c r="M672" s="0" t="s">
        <v>226</v>
      </c>
      <c r="N672" s="0" t="s">
        <v>103</v>
      </c>
      <c r="O672" s="0" t="s">
        <v>2433</v>
      </c>
      <c r="Q672" s="0" t="s">
        <v>270</v>
      </c>
      <c r="R672" s="0" t="n">
        <v>1</v>
      </c>
      <c r="S672" s="5" t="n">
        <v>651</v>
      </c>
      <c r="T672" s="0" t="s">
        <v>271</v>
      </c>
      <c r="U672" s="0" t="n">
        <v>0</v>
      </c>
      <c r="V672" s="0" t="s">
        <v>230</v>
      </c>
      <c r="W672" s="0" t="s">
        <v>244</v>
      </c>
      <c r="Y672" s="0" t="s">
        <v>278</v>
      </c>
      <c r="Z672" s="0" t="s">
        <v>2657</v>
      </c>
      <c r="AA672" s="0" t="s">
        <v>235</v>
      </c>
      <c r="AB672" s="32" t="n">
        <v>2420</v>
      </c>
      <c r="AC672" s="32" t="n">
        <v>2420</v>
      </c>
      <c r="AD672" s="26" t="n">
        <f aca="false">IFERROR(AB672/B672,"")</f>
        <v>3.7173579109063</v>
      </c>
      <c r="AE672" s="26" t="n">
        <f aca="false">IFERROR(AC672/B672,"")</f>
        <v>3.7173579109063</v>
      </c>
      <c r="AF672" s="0" t="s">
        <v>236</v>
      </c>
      <c r="AG672" s="0" t="s">
        <v>236</v>
      </c>
      <c r="AH672" s="0" t="s">
        <v>236</v>
      </c>
      <c r="AI672" s="0" t="s">
        <v>1466</v>
      </c>
      <c r="AJ672" s="0" t="s">
        <v>3117</v>
      </c>
      <c r="AK672" s="0" t="s">
        <v>3118</v>
      </c>
      <c r="AL672" s="0" t="s">
        <v>3119</v>
      </c>
      <c r="AM672" s="0" t="s">
        <v>94</v>
      </c>
      <c r="AN672" s="26" t="n">
        <f aca="false">IFERROR(E672*(1+IF(AM672="Apartment",Data_Summary!$C$3,0)),"")</f>
        <v>3.7173579109063</v>
      </c>
      <c r="AO672" s="4" t="n">
        <v>46195</v>
      </c>
    </row>
    <row r="673" customFormat="false" ht="15" hidden="false" customHeight="false" outlineLevel="0" collapsed="false">
      <c r="A673" s="0" t="n">
        <f aca="false">IF(AND(ISNUMBER(B673),B673&gt;0,ISNUMBER(AB673),AB673&gt;0,J673&gt;=Data_Summary!$C$1),1,0)</f>
        <v>1</v>
      </c>
      <c r="B673" s="30" t="n">
        <v>586</v>
      </c>
      <c r="C673" s="5" t="n">
        <f aca="false">IF(ISNUMBER(AB673),AB673,"")</f>
        <v>2300</v>
      </c>
      <c r="D673" s="0" t="n">
        <f aca="false">IF(ISNUMBER(C673),C673-U673*Data_Summary!$C$2,"")</f>
        <v>2300</v>
      </c>
      <c r="E673" s="31" t="n">
        <f aca="false">IFERROR(C673/B673,"")</f>
        <v>3.92491467576792</v>
      </c>
      <c r="F673" s="26" t="n">
        <f aca="false">IFERROR(D673/B673,"")</f>
        <v>3.92491467576792</v>
      </c>
      <c r="G673" s="0" t="str">
        <f aca="false">Q673</f>
        <v>1</v>
      </c>
      <c r="H673" s="0" t="str">
        <f aca="false">IFERROR(LEFT(G673,1),"")</f>
        <v>1</v>
      </c>
      <c r="I673" s="0" t="n">
        <f aca="false">IF(LEN(G673)&gt;1,1,0)</f>
        <v>0</v>
      </c>
      <c r="J673" s="4" t="n">
        <v>45806</v>
      </c>
      <c r="K673" s="0" t="s">
        <v>13</v>
      </c>
      <c r="L673" s="0" t="s">
        <v>101</v>
      </c>
      <c r="M673" s="0" t="s">
        <v>226</v>
      </c>
      <c r="N673" s="0" t="s">
        <v>103</v>
      </c>
      <c r="O673" s="0" t="s">
        <v>3120</v>
      </c>
      <c r="Q673" s="0" t="s">
        <v>242</v>
      </c>
      <c r="R673" s="0" t="n">
        <v>1</v>
      </c>
      <c r="S673" s="5" t="n">
        <v>586</v>
      </c>
      <c r="T673" s="0" t="s">
        <v>243</v>
      </c>
      <c r="U673" s="0" t="n">
        <v>0</v>
      </c>
      <c r="V673" s="0" t="s">
        <v>230</v>
      </c>
      <c r="W673" s="0" t="s">
        <v>244</v>
      </c>
      <c r="Y673" s="0" t="s">
        <v>245</v>
      </c>
      <c r="Z673" s="0" t="s">
        <v>2657</v>
      </c>
      <c r="AA673" s="0" t="s">
        <v>235</v>
      </c>
      <c r="AB673" s="32" t="n">
        <v>2300</v>
      </c>
      <c r="AC673" s="32" t="n">
        <v>2300</v>
      </c>
      <c r="AD673" s="26" t="n">
        <f aca="false">IFERROR(AB673/B673,"")</f>
        <v>3.92491467576792</v>
      </c>
      <c r="AE673" s="26" t="n">
        <f aca="false">IFERROR(AC673/B673,"")</f>
        <v>3.92491467576792</v>
      </c>
      <c r="AF673" s="0" t="s">
        <v>236</v>
      </c>
      <c r="AG673" s="0" t="s">
        <v>236</v>
      </c>
      <c r="AH673" s="0" t="s">
        <v>236</v>
      </c>
      <c r="AI673" s="0" t="s">
        <v>1492</v>
      </c>
      <c r="AJ673" s="0" t="s">
        <v>3121</v>
      </c>
      <c r="AK673" s="0" t="s">
        <v>3122</v>
      </c>
      <c r="AL673" s="0" t="s">
        <v>3123</v>
      </c>
      <c r="AM673" s="0" t="s">
        <v>94</v>
      </c>
      <c r="AN673" s="26" t="n">
        <f aca="false">IFERROR(E673*(1+IF(AM673="Apartment",Data_Summary!$C$3,0)),"")</f>
        <v>3.92491467576792</v>
      </c>
      <c r="AO673" s="4" t="n">
        <v>46195</v>
      </c>
    </row>
    <row r="674" customFormat="false" ht="15" hidden="false" customHeight="false" outlineLevel="0" collapsed="false">
      <c r="A674" s="0" t="n">
        <f aca="false">IF(AND(ISNUMBER(B674),B674&gt;0,ISNUMBER(AB674),AB674&gt;0,J674&gt;=Data_Summary!$C$1),1,0)</f>
        <v>1</v>
      </c>
      <c r="B674" s="30" t="n">
        <v>630</v>
      </c>
      <c r="C674" s="5" t="n">
        <f aca="false">IF(ISNUMBER(AB674),AB674,"")</f>
        <v>2300</v>
      </c>
      <c r="D674" s="0" t="n">
        <f aca="false">IF(ISNUMBER(C674),C674-U674*Data_Summary!$C$2,"")</f>
        <v>2300</v>
      </c>
      <c r="E674" s="31" t="n">
        <f aca="false">IFERROR(C674/B674,"")</f>
        <v>3.65079365079365</v>
      </c>
      <c r="F674" s="26" t="n">
        <f aca="false">IFERROR(D674/B674,"")</f>
        <v>3.65079365079365</v>
      </c>
      <c r="G674" s="0" t="str">
        <f aca="false">Q674</f>
        <v>1+1</v>
      </c>
      <c r="H674" s="0" t="str">
        <f aca="false">IFERROR(LEFT(G674,1),"")</f>
        <v>1</v>
      </c>
      <c r="I674" s="0" t="n">
        <f aca="false">IF(LEN(G674)&gt;1,1,0)</f>
        <v>1</v>
      </c>
      <c r="J674" s="4" t="n">
        <v>45806</v>
      </c>
      <c r="K674" s="0" t="s">
        <v>13</v>
      </c>
      <c r="L674" s="0" t="s">
        <v>101</v>
      </c>
      <c r="M674" s="0" t="s">
        <v>226</v>
      </c>
      <c r="N674" s="0" t="s">
        <v>103</v>
      </c>
      <c r="O674" s="0" t="s">
        <v>2054</v>
      </c>
      <c r="Q674" s="0" t="s">
        <v>270</v>
      </c>
      <c r="R674" s="0" t="n">
        <v>1</v>
      </c>
      <c r="S674" s="5" t="n">
        <v>630</v>
      </c>
      <c r="T674" s="0" t="s">
        <v>271</v>
      </c>
      <c r="U674" s="0" t="n">
        <v>0</v>
      </c>
      <c r="V674" s="0" t="s">
        <v>230</v>
      </c>
      <c r="W674" s="0" t="s">
        <v>244</v>
      </c>
      <c r="Y674" s="0" t="s">
        <v>253</v>
      </c>
      <c r="Z674" s="0" t="s">
        <v>2657</v>
      </c>
      <c r="AA674" s="0" t="s">
        <v>235</v>
      </c>
      <c r="AB674" s="32" t="n">
        <v>2300</v>
      </c>
      <c r="AC674" s="32" t="n">
        <v>2350</v>
      </c>
      <c r="AD674" s="26" t="n">
        <f aca="false">IFERROR(AB674/B674,"")</f>
        <v>3.65079365079365</v>
      </c>
      <c r="AE674" s="26" t="n">
        <f aca="false">IFERROR(AC674/B674,"")</f>
        <v>3.73015873015873</v>
      </c>
      <c r="AF674" s="0" t="s">
        <v>236</v>
      </c>
      <c r="AG674" s="0" t="s">
        <v>236</v>
      </c>
      <c r="AH674" s="0" t="s">
        <v>236</v>
      </c>
      <c r="AI674" s="0" t="s">
        <v>1492</v>
      </c>
      <c r="AJ674" s="0" t="s">
        <v>3124</v>
      </c>
      <c r="AK674" s="0" t="s">
        <v>3125</v>
      </c>
      <c r="AL674" s="0" t="s">
        <v>3126</v>
      </c>
      <c r="AM674" s="0" t="s">
        <v>94</v>
      </c>
      <c r="AN674" s="26" t="n">
        <f aca="false">IFERROR(E674*(1+IF(AM674="Apartment",Data_Summary!$C$3,0)),"")</f>
        <v>3.65079365079365</v>
      </c>
      <c r="AO674" s="4" t="n">
        <v>46195</v>
      </c>
    </row>
    <row r="675" customFormat="false" ht="15" hidden="false" customHeight="false" outlineLevel="0" collapsed="false">
      <c r="A675" s="0" t="n">
        <f aca="false">IF(AND(ISNUMBER(B675),B675&gt;0,ISNUMBER(AB675),AB675&gt;0,J675&gt;=Data_Summary!$C$1),1,0)</f>
        <v>1</v>
      </c>
      <c r="B675" s="33" t="n">
        <v>791</v>
      </c>
      <c r="C675" s="5" t="n">
        <f aca="false">IF(ISNUMBER(AB675),AB675,"")</f>
        <v>3300</v>
      </c>
      <c r="D675" s="0" t="n">
        <f aca="false">IF(ISNUMBER(C675),C675-U675*Data_Summary!$C$2,"")</f>
        <v>3150</v>
      </c>
      <c r="E675" s="34" t="n">
        <f aca="false">IFERROR(C675/B675,"")</f>
        <v>4.17193426042984</v>
      </c>
      <c r="F675" s="26" t="n">
        <f aca="false">IFERROR(D675/B675,"")</f>
        <v>3.98230088495575</v>
      </c>
      <c r="G675" s="0" t="str">
        <f aca="false">Q675</f>
        <v>2</v>
      </c>
      <c r="H675" s="0" t="str">
        <f aca="false">IFERROR(LEFT(G675,1),"")</f>
        <v>2</v>
      </c>
      <c r="I675" s="0" t="n">
        <f aca="false">IF(LEN(G675)&gt;1,1,0)</f>
        <v>0</v>
      </c>
      <c r="J675" s="4" t="n">
        <v>45799</v>
      </c>
      <c r="K675" s="0" t="s">
        <v>13</v>
      </c>
      <c r="L675" s="0" t="s">
        <v>101</v>
      </c>
      <c r="M675" s="0" t="s">
        <v>226</v>
      </c>
      <c r="N675" s="0" t="s">
        <v>103</v>
      </c>
      <c r="O675" s="0" t="s">
        <v>2685</v>
      </c>
      <c r="Q675" s="0" t="s">
        <v>251</v>
      </c>
      <c r="R675" s="0" t="n">
        <v>2</v>
      </c>
      <c r="S675" s="5" t="n">
        <v>791</v>
      </c>
      <c r="T675" s="0" t="s">
        <v>229</v>
      </c>
      <c r="U675" s="0" t="n">
        <v>1</v>
      </c>
      <c r="V675" s="0" t="s">
        <v>230</v>
      </c>
      <c r="W675" s="0" t="s">
        <v>231</v>
      </c>
      <c r="Y675" s="0" t="s">
        <v>278</v>
      </c>
      <c r="Z675" s="0" t="s">
        <v>2657</v>
      </c>
      <c r="AA675" s="0" t="s">
        <v>235</v>
      </c>
      <c r="AB675" s="32" t="n">
        <v>3300</v>
      </c>
      <c r="AC675" s="32" t="n">
        <v>3300</v>
      </c>
      <c r="AD675" s="26" t="n">
        <f aca="false">IFERROR(AB675/B675,"")</f>
        <v>4.17193426042984</v>
      </c>
      <c r="AE675" s="26" t="n">
        <f aca="false">IFERROR(AC675/B675,"")</f>
        <v>4.17193426042984</v>
      </c>
      <c r="AF675" s="0" t="s">
        <v>236</v>
      </c>
      <c r="AG675" s="0" t="s">
        <v>236</v>
      </c>
      <c r="AH675" s="0" t="s">
        <v>236</v>
      </c>
      <c r="AI675" s="0" t="s">
        <v>1536</v>
      </c>
      <c r="AJ675" s="0" t="s">
        <v>3127</v>
      </c>
      <c r="AK675" s="0" t="s">
        <v>3128</v>
      </c>
      <c r="AL675" s="0" t="s">
        <v>3129</v>
      </c>
      <c r="AM675" s="0" t="s">
        <v>94</v>
      </c>
      <c r="AN675" s="26" t="n">
        <f aca="false">IFERROR(E675*(1+IF(AM675="Apartment",Data_Summary!$C$3,0)),"")</f>
        <v>4.17193426042984</v>
      </c>
      <c r="AO675" s="4" t="n">
        <v>46195</v>
      </c>
    </row>
    <row r="676" customFormat="false" ht="15" hidden="false" customHeight="false" outlineLevel="0" collapsed="false">
      <c r="A676" s="0" t="n">
        <f aca="false">IF(AND(ISNUMBER(B676),B676&gt;0,ISNUMBER(AB676),AB676&gt;0,J676&gt;=Data_Summary!$C$1),1,0)</f>
        <v>1</v>
      </c>
      <c r="B676" s="33" t="n">
        <v>649</v>
      </c>
      <c r="C676" s="5" t="n">
        <f aca="false">IF(ISNUMBER(AB676),AB676,"")</f>
        <v>2400</v>
      </c>
      <c r="D676" s="0" t="n">
        <f aca="false">IF(ISNUMBER(C676),C676-U676*Data_Summary!$C$2,"")</f>
        <v>2400</v>
      </c>
      <c r="E676" s="34" t="n">
        <f aca="false">IFERROR(C676/B676,"")</f>
        <v>3.6979969183359</v>
      </c>
      <c r="F676" s="26" t="n">
        <f aca="false">IFERROR(D676/B676,"")</f>
        <v>3.6979969183359</v>
      </c>
      <c r="G676" s="0" t="str">
        <f aca="false">Q676</f>
        <v>1+1</v>
      </c>
      <c r="H676" s="0" t="str">
        <f aca="false">IFERROR(LEFT(G676,1),"")</f>
        <v>1</v>
      </c>
      <c r="I676" s="0" t="n">
        <f aca="false">IF(LEN(G676)&gt;1,1,0)</f>
        <v>1</v>
      </c>
      <c r="J676" s="4" t="n">
        <v>45797</v>
      </c>
      <c r="K676" s="0" t="s">
        <v>13</v>
      </c>
      <c r="L676" s="0" t="s">
        <v>101</v>
      </c>
      <c r="M676" s="0" t="s">
        <v>226</v>
      </c>
      <c r="N676" s="0" t="s">
        <v>103</v>
      </c>
      <c r="O676" s="0" t="s">
        <v>3130</v>
      </c>
      <c r="Q676" s="0" t="s">
        <v>270</v>
      </c>
      <c r="R676" s="0" t="n">
        <v>1</v>
      </c>
      <c r="S676" s="5" t="n">
        <v>649</v>
      </c>
      <c r="T676" s="0" t="s">
        <v>303</v>
      </c>
      <c r="U676" s="0" t="n">
        <v>0</v>
      </c>
      <c r="V676" s="0" t="s">
        <v>230</v>
      </c>
      <c r="W676" s="0" t="s">
        <v>244</v>
      </c>
      <c r="Y676" s="0" t="s">
        <v>233</v>
      </c>
      <c r="Z676" s="0" t="s">
        <v>2657</v>
      </c>
      <c r="AA676" s="0" t="s">
        <v>235</v>
      </c>
      <c r="AB676" s="32" t="n">
        <v>2400</v>
      </c>
      <c r="AC676" s="32" t="n">
        <v>2480</v>
      </c>
      <c r="AD676" s="26" t="n">
        <f aca="false">IFERROR(AB676/B676,"")</f>
        <v>3.6979969183359</v>
      </c>
      <c r="AE676" s="26" t="n">
        <f aca="false">IFERROR(AC676/B676,"")</f>
        <v>3.82126348228043</v>
      </c>
      <c r="AF676" s="0" t="s">
        <v>236</v>
      </c>
      <c r="AG676" s="0" t="s">
        <v>236</v>
      </c>
      <c r="AH676" s="0" t="s">
        <v>236</v>
      </c>
      <c r="AI676" s="0" t="s">
        <v>2207</v>
      </c>
      <c r="AJ676" s="0" t="s">
        <v>3131</v>
      </c>
      <c r="AK676" s="0" t="s">
        <v>3132</v>
      </c>
      <c r="AL676" s="0" t="s">
        <v>3133</v>
      </c>
      <c r="AM676" s="0" t="s">
        <v>94</v>
      </c>
      <c r="AN676" s="26" t="n">
        <f aca="false">IFERROR(E676*(1+IF(AM676="Apartment",Data_Summary!$C$3,0)),"")</f>
        <v>3.6979969183359</v>
      </c>
      <c r="AO676" s="4" t="n">
        <v>46195</v>
      </c>
    </row>
    <row r="677" customFormat="false" ht="15" hidden="false" customHeight="false" outlineLevel="0" collapsed="false">
      <c r="A677" s="0" t="n">
        <f aca="false">IF(AND(ISNUMBER(B677),B677&gt;0,ISNUMBER(AB677),AB677&gt;0,J677&gt;=Data_Summary!$C$1),1,0)</f>
        <v>1</v>
      </c>
      <c r="B677" s="30" t="n">
        <v>1305</v>
      </c>
      <c r="C677" s="5" t="n">
        <f aca="false">IF(ISNUMBER(AB677),AB677,"")</f>
        <v>5000</v>
      </c>
      <c r="D677" s="0" t="n">
        <f aca="false">IF(ISNUMBER(C677),C677-U677*Data_Summary!$C$2,"")</f>
        <v>4850</v>
      </c>
      <c r="E677" s="31" t="n">
        <f aca="false">IFERROR(C677/B677,"")</f>
        <v>3.83141762452107</v>
      </c>
      <c r="F677" s="26" t="n">
        <f aca="false">IFERROR(D677/B677,"")</f>
        <v>3.71647509578544</v>
      </c>
      <c r="G677" s="0" t="str">
        <f aca="false">Q677</f>
        <v>3</v>
      </c>
      <c r="H677" s="0" t="str">
        <f aca="false">IFERROR(LEFT(G677,1),"")</f>
        <v>3</v>
      </c>
      <c r="I677" s="0" t="n">
        <f aca="false">IF(LEN(G677)&gt;1,1,0)</f>
        <v>0</v>
      </c>
      <c r="J677" s="4" t="n">
        <v>45793</v>
      </c>
      <c r="K677" s="0" t="s">
        <v>13</v>
      </c>
      <c r="L677" s="0" t="s">
        <v>101</v>
      </c>
      <c r="M677" s="0" t="s">
        <v>226</v>
      </c>
      <c r="N677" s="0" t="s">
        <v>103</v>
      </c>
      <c r="O677" s="0" t="s">
        <v>3134</v>
      </c>
      <c r="Q677" s="0" t="s">
        <v>228</v>
      </c>
      <c r="R677" s="0" t="n">
        <v>3</v>
      </c>
      <c r="S677" s="5" t="n">
        <v>1305</v>
      </c>
      <c r="T677" s="0" t="s">
        <v>467</v>
      </c>
      <c r="U677" s="0" t="n">
        <v>1</v>
      </c>
      <c r="V677" s="0" t="s">
        <v>230</v>
      </c>
      <c r="W677" s="0" t="s">
        <v>244</v>
      </c>
      <c r="X677" s="0" t="s">
        <v>232</v>
      </c>
      <c r="Y677" s="0" t="s">
        <v>297</v>
      </c>
      <c r="Z677" s="0" t="s">
        <v>2657</v>
      </c>
      <c r="AA677" s="0" t="s">
        <v>235</v>
      </c>
      <c r="AB677" s="32" t="n">
        <v>5000</v>
      </c>
      <c r="AC677" s="32" t="n">
        <v>5000</v>
      </c>
      <c r="AD677" s="26" t="n">
        <f aca="false">IFERROR(AB677/B677,"")</f>
        <v>3.83141762452107</v>
      </c>
      <c r="AE677" s="26" t="n">
        <f aca="false">IFERROR(AC677/B677,"")</f>
        <v>3.83141762452107</v>
      </c>
      <c r="AF677" s="0" t="s">
        <v>236</v>
      </c>
      <c r="AG677" s="0" t="s">
        <v>236</v>
      </c>
      <c r="AH677" s="0" t="s">
        <v>236</v>
      </c>
      <c r="AI677" s="0" t="s">
        <v>3135</v>
      </c>
      <c r="AJ677" s="0" t="s">
        <v>3136</v>
      </c>
      <c r="AK677" s="0" t="s">
        <v>3137</v>
      </c>
      <c r="AL677" s="0" t="s">
        <v>3138</v>
      </c>
      <c r="AM677" s="0" t="s">
        <v>94</v>
      </c>
      <c r="AN677" s="26" t="n">
        <f aca="false">IFERROR(E677*(1+IF(AM677="Apartment",Data_Summary!$C$3,0)),"")</f>
        <v>3.83141762452107</v>
      </c>
      <c r="AO677" s="4" t="n">
        <v>46195</v>
      </c>
    </row>
    <row r="678" customFormat="false" ht="15" hidden="false" customHeight="false" outlineLevel="0" collapsed="false">
      <c r="A678" s="0" t="n">
        <f aca="false">IF(AND(ISNUMBER(B678),B678&gt;0,ISNUMBER(AB678),AB678&gt;0,J678&gt;=Data_Summary!$C$1),1,0)</f>
        <v>1</v>
      </c>
      <c r="B678" s="30" t="n">
        <v>830</v>
      </c>
      <c r="C678" s="5" t="n">
        <f aca="false">IF(ISNUMBER(AB678),AB678,"")</f>
        <v>3600</v>
      </c>
      <c r="D678" s="0" t="n">
        <f aca="false">IF(ISNUMBER(C678),C678-U678*Data_Summary!$C$2,"")</f>
        <v>3450</v>
      </c>
      <c r="E678" s="31" t="n">
        <f aca="false">IFERROR(C678/B678,"")</f>
        <v>4.33734939759036</v>
      </c>
      <c r="F678" s="26" t="n">
        <f aca="false">IFERROR(D678/B678,"")</f>
        <v>4.1566265060241</v>
      </c>
      <c r="G678" s="0" t="str">
        <f aca="false">Q678</f>
        <v>2</v>
      </c>
      <c r="H678" s="0" t="str">
        <f aca="false">IFERROR(LEFT(G678,1),"")</f>
        <v>2</v>
      </c>
      <c r="I678" s="0" t="n">
        <f aca="false">IF(LEN(G678)&gt;1,1,0)</f>
        <v>0</v>
      </c>
      <c r="J678" s="4" t="n">
        <v>45783</v>
      </c>
      <c r="K678" s="0" t="s">
        <v>13</v>
      </c>
      <c r="L678" s="0" t="s">
        <v>101</v>
      </c>
      <c r="M678" s="0" t="s">
        <v>226</v>
      </c>
      <c r="N678" s="0" t="s">
        <v>103</v>
      </c>
      <c r="O678" s="0" t="s">
        <v>2803</v>
      </c>
      <c r="Q678" s="0" t="s">
        <v>251</v>
      </c>
      <c r="R678" s="0" t="n">
        <v>2</v>
      </c>
      <c r="S678" s="5" t="n">
        <v>830</v>
      </c>
      <c r="T678" s="0" t="s">
        <v>229</v>
      </c>
      <c r="U678" s="0" t="n">
        <v>1</v>
      </c>
      <c r="V678" s="0" t="s">
        <v>230</v>
      </c>
      <c r="X678" s="0" t="s">
        <v>232</v>
      </c>
      <c r="Y678" s="0" t="s">
        <v>260</v>
      </c>
      <c r="Z678" s="0" t="s">
        <v>2657</v>
      </c>
      <c r="AA678" s="0" t="s">
        <v>235</v>
      </c>
      <c r="AB678" s="32" t="n">
        <v>3600</v>
      </c>
      <c r="AC678" s="32" t="n">
        <v>3600</v>
      </c>
      <c r="AD678" s="26" t="n">
        <f aca="false">IFERROR(AB678/B678,"")</f>
        <v>4.33734939759036</v>
      </c>
      <c r="AE678" s="26" t="n">
        <f aca="false">IFERROR(AC678/B678,"")</f>
        <v>4.33734939759036</v>
      </c>
      <c r="AF678" s="0" t="s">
        <v>236</v>
      </c>
      <c r="AG678" s="0" t="s">
        <v>236</v>
      </c>
      <c r="AH678" s="0" t="s">
        <v>230</v>
      </c>
      <c r="AI678" s="0" t="s">
        <v>3139</v>
      </c>
      <c r="AJ678" s="0" t="s">
        <v>3140</v>
      </c>
      <c r="AK678" s="0" t="s">
        <v>3141</v>
      </c>
      <c r="AL678" s="0" t="s">
        <v>3142</v>
      </c>
      <c r="AM678" s="0" t="s">
        <v>94</v>
      </c>
      <c r="AN678" s="26" t="n">
        <f aca="false">IFERROR(E678*(1+IF(AM678="Apartment",Data_Summary!$C$3,0)),"")</f>
        <v>4.33734939759036</v>
      </c>
      <c r="AO678" s="4" t="n">
        <v>46195</v>
      </c>
    </row>
    <row r="679" customFormat="false" ht="15" hidden="false" customHeight="false" outlineLevel="0" collapsed="false">
      <c r="A679" s="0" t="n">
        <f aca="false">IF(AND(ISNUMBER(B679),B679&gt;0,ISNUMBER(AB679),AB679&gt;0,J679&gt;=Data_Summary!$C$1),1,0)</f>
        <v>1</v>
      </c>
      <c r="B679" s="30" t="n">
        <v>630</v>
      </c>
      <c r="C679" s="5" t="n">
        <f aca="false">IF(ISNUMBER(AB679),AB679,"")</f>
        <v>2475</v>
      </c>
      <c r="D679" s="0" t="n">
        <f aca="false">IF(ISNUMBER(C679),C679-U679*Data_Summary!$C$2,"")</f>
        <v>2475</v>
      </c>
      <c r="E679" s="31" t="n">
        <f aca="false">IFERROR(C679/B679,"")</f>
        <v>3.92857142857143</v>
      </c>
      <c r="F679" s="26" t="n">
        <f aca="false">IFERROR(D679/B679,"")</f>
        <v>3.92857142857143</v>
      </c>
      <c r="G679" s="0" t="str">
        <f aca="false">Q679</f>
        <v>1+1</v>
      </c>
      <c r="H679" s="0" t="str">
        <f aca="false">IFERROR(LEFT(G679,1),"")</f>
        <v>1</v>
      </c>
      <c r="I679" s="0" t="n">
        <f aca="false">IF(LEN(G679)&gt;1,1,0)</f>
        <v>1</v>
      </c>
      <c r="J679" s="4" t="n">
        <v>45782</v>
      </c>
      <c r="K679" s="0" t="s">
        <v>13</v>
      </c>
      <c r="L679" s="0" t="s">
        <v>101</v>
      </c>
      <c r="M679" s="0" t="s">
        <v>226</v>
      </c>
      <c r="N679" s="0" t="s">
        <v>103</v>
      </c>
      <c r="O679" s="0" t="s">
        <v>3143</v>
      </c>
      <c r="Q679" s="0" t="s">
        <v>270</v>
      </c>
      <c r="R679" s="0" t="n">
        <v>1</v>
      </c>
      <c r="S679" s="5" t="n">
        <v>630</v>
      </c>
      <c r="T679" s="0" t="s">
        <v>271</v>
      </c>
      <c r="U679" s="0" t="n">
        <v>0</v>
      </c>
      <c r="V679" s="0" t="s">
        <v>230</v>
      </c>
      <c r="W679" s="0" t="s">
        <v>244</v>
      </c>
      <c r="Y679" s="0" t="s">
        <v>253</v>
      </c>
      <c r="Z679" s="0" t="s">
        <v>2657</v>
      </c>
      <c r="AA679" s="0" t="s">
        <v>235</v>
      </c>
      <c r="AB679" s="32" t="n">
        <v>2475</v>
      </c>
      <c r="AC679" s="32" t="n">
        <v>2475</v>
      </c>
      <c r="AD679" s="26" t="n">
        <f aca="false">IFERROR(AB679/B679,"")</f>
        <v>3.92857142857143</v>
      </c>
      <c r="AE679" s="26" t="n">
        <f aca="false">IFERROR(AC679/B679,"")</f>
        <v>3.92857142857143</v>
      </c>
      <c r="AF679" s="0" t="s">
        <v>236</v>
      </c>
      <c r="AG679" s="0" t="s">
        <v>236</v>
      </c>
      <c r="AH679" s="0" t="s">
        <v>236</v>
      </c>
      <c r="AI679" s="0" t="s">
        <v>2230</v>
      </c>
      <c r="AJ679" s="0" t="s">
        <v>3144</v>
      </c>
      <c r="AK679" s="0" t="s">
        <v>3145</v>
      </c>
      <c r="AL679" s="0" t="s">
        <v>3146</v>
      </c>
      <c r="AM679" s="0" t="s">
        <v>94</v>
      </c>
      <c r="AN679" s="26" t="n">
        <f aca="false">IFERROR(E679*(1+IF(AM679="Apartment",Data_Summary!$C$3,0)),"")</f>
        <v>3.92857142857143</v>
      </c>
      <c r="AO679" s="4" t="n">
        <v>46195</v>
      </c>
    </row>
    <row r="680" customFormat="false" ht="15" hidden="false" customHeight="false" outlineLevel="0" collapsed="false">
      <c r="A680" s="0" t="n">
        <f aca="false">IF(AND(ISNUMBER(B680),B680&gt;0,ISNUMBER(AB680),AB680&gt;0,J680&gt;=Data_Summary!$C$1),1,0)</f>
        <v>1</v>
      </c>
      <c r="B680" s="30" t="n">
        <v>630</v>
      </c>
      <c r="C680" s="5" t="n">
        <f aca="false">IF(ISNUMBER(AB680),AB680,"")</f>
        <v>2500</v>
      </c>
      <c r="D680" s="0" t="n">
        <f aca="false">IF(ISNUMBER(C680),C680-U680*Data_Summary!$C$2,"")</f>
        <v>2500</v>
      </c>
      <c r="E680" s="31" t="n">
        <f aca="false">IFERROR(C680/B680,"")</f>
        <v>3.96825396825397</v>
      </c>
      <c r="F680" s="26" t="n">
        <f aca="false">IFERROR(D680/B680,"")</f>
        <v>3.96825396825397</v>
      </c>
      <c r="G680" s="0" t="str">
        <f aca="false">Q680</f>
        <v>1+1</v>
      </c>
      <c r="H680" s="0" t="str">
        <f aca="false">IFERROR(LEFT(G680,1),"")</f>
        <v>1</v>
      </c>
      <c r="I680" s="0" t="n">
        <f aca="false">IF(LEN(G680)&gt;1,1,0)</f>
        <v>1</v>
      </c>
      <c r="J680" s="4" t="n">
        <v>45782</v>
      </c>
      <c r="K680" s="0" t="s">
        <v>13</v>
      </c>
      <c r="L680" s="0" t="s">
        <v>101</v>
      </c>
      <c r="M680" s="0" t="s">
        <v>226</v>
      </c>
      <c r="N680" s="0" t="s">
        <v>103</v>
      </c>
      <c r="O680" s="0" t="s">
        <v>1039</v>
      </c>
      <c r="Q680" s="0" t="s">
        <v>270</v>
      </c>
      <c r="R680" s="0" t="n">
        <v>1</v>
      </c>
      <c r="S680" s="5" t="n">
        <v>630</v>
      </c>
      <c r="T680" s="0" t="s">
        <v>271</v>
      </c>
      <c r="U680" s="0" t="n">
        <v>0</v>
      </c>
      <c r="V680" s="0" t="s">
        <v>230</v>
      </c>
      <c r="W680" s="0" t="s">
        <v>231</v>
      </c>
      <c r="Y680" s="0" t="s">
        <v>253</v>
      </c>
      <c r="Z680" s="0" t="s">
        <v>2657</v>
      </c>
      <c r="AA680" s="0" t="s">
        <v>235</v>
      </c>
      <c r="AB680" s="32" t="n">
        <v>2500</v>
      </c>
      <c r="AC680" s="32" t="n">
        <v>2400</v>
      </c>
      <c r="AD680" s="26" t="n">
        <f aca="false">IFERROR(AB680/B680,"")</f>
        <v>3.96825396825397</v>
      </c>
      <c r="AE680" s="26" t="n">
        <f aca="false">IFERROR(AC680/B680,"")</f>
        <v>3.80952380952381</v>
      </c>
      <c r="AF680" s="0" t="s">
        <v>236</v>
      </c>
      <c r="AG680" s="0" t="s">
        <v>236</v>
      </c>
      <c r="AH680" s="0" t="s">
        <v>236</v>
      </c>
      <c r="AI680" s="0" t="s">
        <v>2230</v>
      </c>
      <c r="AJ680" s="0" t="s">
        <v>3147</v>
      </c>
      <c r="AK680" s="0" t="s">
        <v>3148</v>
      </c>
      <c r="AL680" s="0" t="s">
        <v>3146</v>
      </c>
      <c r="AM680" s="0" t="s">
        <v>94</v>
      </c>
      <c r="AN680" s="26" t="n">
        <f aca="false">IFERROR(E680*(1+IF(AM680="Apartment",Data_Summary!$C$3,0)),"")</f>
        <v>3.96825396825397</v>
      </c>
      <c r="AO680" s="4" t="n">
        <v>46195</v>
      </c>
    </row>
    <row r="681" customFormat="false" ht="15" hidden="false" customHeight="false" outlineLevel="0" collapsed="false">
      <c r="A681" s="0" t="n">
        <f aca="false">IF(AND(ISNUMBER(B681),B681&gt;0,ISNUMBER(AB681),AB681&gt;0,J681&gt;=Data_Summary!$C$1),1,0)</f>
        <v>1</v>
      </c>
      <c r="B681" s="30" t="n">
        <v>602</v>
      </c>
      <c r="C681" s="5" t="n">
        <f aca="false">IF(ISNUMBER(AB681),AB681,"")</f>
        <v>2200</v>
      </c>
      <c r="D681" s="0" t="n">
        <f aca="false">IF(ISNUMBER(C681),C681-U681*Data_Summary!$C$2,"")</f>
        <v>2200</v>
      </c>
      <c r="E681" s="31" t="n">
        <f aca="false">IFERROR(C681/B681,"")</f>
        <v>3.65448504983389</v>
      </c>
      <c r="F681" s="26" t="n">
        <f aca="false">IFERROR(D681/B681,"")</f>
        <v>3.65448504983389</v>
      </c>
      <c r="G681" s="0" t="str">
        <f aca="false">Q681</f>
        <v>1</v>
      </c>
      <c r="H681" s="0" t="str">
        <f aca="false">IFERROR(LEFT(G681,1),"")</f>
        <v>1</v>
      </c>
      <c r="I681" s="0" t="n">
        <f aca="false">IF(LEN(G681)&gt;1,1,0)</f>
        <v>0</v>
      </c>
      <c r="J681" s="4" t="n">
        <v>45776</v>
      </c>
      <c r="K681" s="0" t="s">
        <v>13</v>
      </c>
      <c r="L681" s="0" t="s">
        <v>101</v>
      </c>
      <c r="M681" s="0" t="s">
        <v>226</v>
      </c>
      <c r="N681" s="0" t="s">
        <v>103</v>
      </c>
      <c r="O681" s="0" t="s">
        <v>3149</v>
      </c>
      <c r="Q681" s="0" t="s">
        <v>242</v>
      </c>
      <c r="R681" s="0" t="n">
        <v>1</v>
      </c>
      <c r="S681" s="5" t="n">
        <v>602</v>
      </c>
      <c r="T681" s="0" t="s">
        <v>271</v>
      </c>
      <c r="U681" s="0" t="n">
        <v>0</v>
      </c>
      <c r="V681" s="0" t="s">
        <v>230</v>
      </c>
      <c r="W681" s="0" t="s">
        <v>244</v>
      </c>
      <c r="Y681" s="0" t="s">
        <v>278</v>
      </c>
      <c r="Z681" s="0" t="s">
        <v>2657</v>
      </c>
      <c r="AA681" s="0" t="s">
        <v>235</v>
      </c>
      <c r="AB681" s="32" t="n">
        <v>2200</v>
      </c>
      <c r="AC681" s="32" t="n">
        <v>2300</v>
      </c>
      <c r="AD681" s="26" t="n">
        <f aca="false">IFERROR(AB681/B681,"")</f>
        <v>3.65448504983389</v>
      </c>
      <c r="AE681" s="26" t="n">
        <f aca="false">IFERROR(AC681/B681,"")</f>
        <v>3.82059800664452</v>
      </c>
      <c r="AF681" s="0" t="s">
        <v>236</v>
      </c>
      <c r="AG681" s="0" t="s">
        <v>236</v>
      </c>
      <c r="AH681" s="0" t="s">
        <v>236</v>
      </c>
      <c r="AI681" s="0" t="s">
        <v>2243</v>
      </c>
      <c r="AJ681" s="0" t="s">
        <v>3150</v>
      </c>
      <c r="AK681" s="0" t="s">
        <v>3151</v>
      </c>
      <c r="AL681" s="0" t="s">
        <v>3152</v>
      </c>
      <c r="AM681" s="0" t="s">
        <v>94</v>
      </c>
      <c r="AN681" s="26" t="n">
        <f aca="false">IFERROR(E681*(1+IF(AM681="Apartment",Data_Summary!$C$3,0)),"")</f>
        <v>3.65448504983389</v>
      </c>
      <c r="AO681" s="4" t="n">
        <v>46195</v>
      </c>
    </row>
    <row r="682" customFormat="false" ht="15" hidden="false" customHeight="false" outlineLevel="0" collapsed="false">
      <c r="A682" s="0" t="n">
        <f aca="false">IF(AND(ISNUMBER(B682),B682&gt;0,ISNUMBER(AB682),AB682&gt;0,J682&gt;=Data_Summary!$C$1),1,0)</f>
        <v>1</v>
      </c>
      <c r="B682" s="30" t="n">
        <v>651</v>
      </c>
      <c r="C682" s="5" t="n">
        <f aca="false">IF(ISNUMBER(AB682),AB682,"")</f>
        <v>2460</v>
      </c>
      <c r="D682" s="0" t="n">
        <f aca="false">IF(ISNUMBER(C682),C682-U682*Data_Summary!$C$2,"")</f>
        <v>2460</v>
      </c>
      <c r="E682" s="31" t="n">
        <f aca="false">IFERROR(C682/B682,"")</f>
        <v>3.77880184331797</v>
      </c>
      <c r="F682" s="26" t="n">
        <f aca="false">IFERROR(D682/B682,"")</f>
        <v>3.77880184331797</v>
      </c>
      <c r="G682" s="0" t="str">
        <f aca="false">Q682</f>
        <v>1+1</v>
      </c>
      <c r="H682" s="0" t="str">
        <f aca="false">IFERROR(LEFT(G682,1),"")</f>
        <v>1</v>
      </c>
      <c r="I682" s="0" t="n">
        <f aca="false">IF(LEN(G682)&gt;1,1,0)</f>
        <v>1</v>
      </c>
      <c r="J682" s="4" t="n">
        <v>45773</v>
      </c>
      <c r="K682" s="0" t="s">
        <v>13</v>
      </c>
      <c r="L682" s="0" t="s">
        <v>101</v>
      </c>
      <c r="M682" s="0" t="s">
        <v>226</v>
      </c>
      <c r="N682" s="0" t="s">
        <v>103</v>
      </c>
      <c r="O682" s="0" t="s">
        <v>1342</v>
      </c>
      <c r="Q682" s="0" t="s">
        <v>270</v>
      </c>
      <c r="R682" s="0" t="n">
        <v>1</v>
      </c>
      <c r="S682" s="5" t="n">
        <v>651</v>
      </c>
      <c r="T682" s="0" t="s">
        <v>271</v>
      </c>
      <c r="U682" s="0" t="n">
        <v>0</v>
      </c>
      <c r="V682" s="0" t="s">
        <v>230</v>
      </c>
      <c r="W682" s="0" t="s">
        <v>244</v>
      </c>
      <c r="Y682" s="0" t="s">
        <v>278</v>
      </c>
      <c r="Z682" s="0" t="s">
        <v>2657</v>
      </c>
      <c r="AA682" s="0" t="s">
        <v>235</v>
      </c>
      <c r="AB682" s="32" t="n">
        <v>2460</v>
      </c>
      <c r="AC682" s="32" t="n">
        <v>2500</v>
      </c>
      <c r="AD682" s="26" t="n">
        <f aca="false">IFERROR(AB682/B682,"")</f>
        <v>3.77880184331797</v>
      </c>
      <c r="AE682" s="26" t="n">
        <f aca="false">IFERROR(AC682/B682,"")</f>
        <v>3.84024577572965</v>
      </c>
      <c r="AF682" s="0" t="s">
        <v>236</v>
      </c>
      <c r="AG682" s="0" t="s">
        <v>236</v>
      </c>
      <c r="AH682" s="0" t="s">
        <v>236</v>
      </c>
      <c r="AI682" s="0" t="s">
        <v>3153</v>
      </c>
      <c r="AJ682" s="0" t="s">
        <v>3154</v>
      </c>
      <c r="AK682" s="0" t="s">
        <v>3155</v>
      </c>
      <c r="AL682" s="0" t="s">
        <v>3156</v>
      </c>
      <c r="AM682" s="0" t="s">
        <v>94</v>
      </c>
      <c r="AN682" s="26" t="n">
        <f aca="false">IFERROR(E682*(1+IF(AM682="Apartment",Data_Summary!$C$3,0)),"")</f>
        <v>3.77880184331797</v>
      </c>
      <c r="AO682" s="4" t="n">
        <v>46195</v>
      </c>
    </row>
    <row r="683" customFormat="false" ht="15" hidden="false" customHeight="false" outlineLevel="0" collapsed="false">
      <c r="A683" s="0" t="n">
        <f aca="false">IF(AND(ISNUMBER(B683),B683&gt;0,ISNUMBER(AB683),AB683&gt;0,J683&gt;=Data_Summary!$C$1),1,0)</f>
        <v>1</v>
      </c>
      <c r="B683" s="30" t="n">
        <v>586</v>
      </c>
      <c r="C683" s="5" t="n">
        <f aca="false">IF(ISNUMBER(AB683),AB683,"")</f>
        <v>2300</v>
      </c>
      <c r="D683" s="0" t="n">
        <f aca="false">IF(ISNUMBER(C683),C683-U683*Data_Summary!$C$2,"")</f>
        <v>2300</v>
      </c>
      <c r="E683" s="31" t="n">
        <f aca="false">IFERROR(C683/B683,"")</f>
        <v>3.92491467576792</v>
      </c>
      <c r="F683" s="26" t="n">
        <f aca="false">IFERROR(D683/B683,"")</f>
        <v>3.92491467576792</v>
      </c>
      <c r="G683" s="0" t="str">
        <f aca="false">Q683</f>
        <v>1</v>
      </c>
      <c r="H683" s="0" t="str">
        <f aca="false">IFERROR(LEFT(G683,1),"")</f>
        <v>1</v>
      </c>
      <c r="I683" s="0" t="n">
        <f aca="false">IF(LEN(G683)&gt;1,1,0)</f>
        <v>0</v>
      </c>
      <c r="J683" s="4" t="n">
        <v>45771</v>
      </c>
      <c r="K683" s="0" t="s">
        <v>13</v>
      </c>
      <c r="L683" s="0" t="s">
        <v>101</v>
      </c>
      <c r="M683" s="0" t="s">
        <v>226</v>
      </c>
      <c r="N683" s="0" t="s">
        <v>103</v>
      </c>
      <c r="O683" s="0" t="s">
        <v>3157</v>
      </c>
      <c r="Q683" s="0" t="s">
        <v>242</v>
      </c>
      <c r="R683" s="0" t="n">
        <v>1</v>
      </c>
      <c r="S683" s="5" t="n">
        <v>586</v>
      </c>
      <c r="T683" s="0" t="s">
        <v>243</v>
      </c>
      <c r="U683" s="0" t="n">
        <v>0</v>
      </c>
      <c r="V683" s="0" t="s">
        <v>230</v>
      </c>
      <c r="W683" s="0" t="s">
        <v>231</v>
      </c>
      <c r="Y683" s="0" t="s">
        <v>253</v>
      </c>
      <c r="Z683" s="0" t="s">
        <v>2657</v>
      </c>
      <c r="AA683" s="0" t="s">
        <v>235</v>
      </c>
      <c r="AB683" s="32" t="n">
        <v>2300</v>
      </c>
      <c r="AC683" s="32" t="n">
        <v>2400</v>
      </c>
      <c r="AD683" s="26" t="n">
        <f aca="false">IFERROR(AB683/B683,"")</f>
        <v>3.92491467576792</v>
      </c>
      <c r="AE683" s="26" t="n">
        <f aca="false">IFERROR(AC683/B683,"")</f>
        <v>4.09556313993174</v>
      </c>
      <c r="AF683" s="0" t="s">
        <v>236</v>
      </c>
      <c r="AG683" s="0" t="s">
        <v>236</v>
      </c>
      <c r="AH683" s="0" t="s">
        <v>236</v>
      </c>
      <c r="AI683" s="0" t="s">
        <v>2258</v>
      </c>
      <c r="AJ683" s="0" t="s">
        <v>3158</v>
      </c>
      <c r="AK683" s="0" t="s">
        <v>3159</v>
      </c>
      <c r="AL683" s="0" t="s">
        <v>3160</v>
      </c>
      <c r="AM683" s="0" t="s">
        <v>94</v>
      </c>
      <c r="AN683" s="26" t="n">
        <f aca="false">IFERROR(E683*(1+IF(AM683="Apartment",Data_Summary!$C$3,0)),"")</f>
        <v>3.92491467576792</v>
      </c>
      <c r="AO683" s="4" t="n">
        <v>46195</v>
      </c>
    </row>
    <row r="684" customFormat="false" ht="15" hidden="false" customHeight="false" outlineLevel="0" collapsed="false">
      <c r="A684" s="0" t="n">
        <f aca="false">IF(AND(ISNUMBER(B684),B684&gt;0,ISNUMBER(AB684),AB684&gt;0,J684&gt;=Data_Summary!$C$1),1,0)</f>
        <v>1</v>
      </c>
      <c r="B684" s="30" t="n">
        <v>678</v>
      </c>
      <c r="C684" s="5" t="n">
        <f aca="false">IF(ISNUMBER(AB684),AB684,"")</f>
        <v>2850</v>
      </c>
      <c r="D684" s="0" t="n">
        <f aca="false">IF(ISNUMBER(C684),C684-U684*Data_Summary!$C$2,"")</f>
        <v>2850</v>
      </c>
      <c r="E684" s="31" t="n">
        <f aca="false">IFERROR(C684/B684,"")</f>
        <v>4.20353982300885</v>
      </c>
      <c r="F684" s="26" t="n">
        <f aca="false">IFERROR(D684/B684,"")</f>
        <v>4.20353982300885</v>
      </c>
      <c r="G684" s="0" t="str">
        <f aca="false">Q684</f>
        <v>1+1</v>
      </c>
      <c r="H684" s="0" t="str">
        <f aca="false">IFERROR(LEFT(G684,1),"")</f>
        <v>1</v>
      </c>
      <c r="I684" s="0" t="n">
        <f aca="false">IF(LEN(G684)&gt;1,1,0)</f>
        <v>1</v>
      </c>
      <c r="J684" s="4" t="n">
        <v>45770</v>
      </c>
      <c r="K684" s="0" t="s">
        <v>13</v>
      </c>
      <c r="L684" s="0" t="s">
        <v>101</v>
      </c>
      <c r="M684" s="0" t="s">
        <v>226</v>
      </c>
      <c r="N684" s="0" t="s">
        <v>103</v>
      </c>
      <c r="O684" s="0" t="s">
        <v>2731</v>
      </c>
      <c r="Q684" s="0" t="s">
        <v>270</v>
      </c>
      <c r="R684" s="0" t="n">
        <v>2</v>
      </c>
      <c r="S684" s="5" t="n">
        <v>678</v>
      </c>
      <c r="T684" s="0" t="s">
        <v>271</v>
      </c>
      <c r="U684" s="0" t="n">
        <v>0</v>
      </c>
      <c r="V684" s="0" t="s">
        <v>230</v>
      </c>
      <c r="W684" s="0" t="s">
        <v>244</v>
      </c>
      <c r="Y684" s="0" t="s">
        <v>253</v>
      </c>
      <c r="Z684" s="0" t="s">
        <v>2657</v>
      </c>
      <c r="AA684" s="0" t="s">
        <v>235</v>
      </c>
      <c r="AB684" s="32" t="n">
        <v>2850</v>
      </c>
      <c r="AC684" s="32" t="n">
        <v>2800</v>
      </c>
      <c r="AD684" s="26" t="n">
        <f aca="false">IFERROR(AB684/B684,"")</f>
        <v>4.20353982300885</v>
      </c>
      <c r="AE684" s="26" t="n">
        <f aca="false">IFERROR(AC684/B684,"")</f>
        <v>4.12979351032448</v>
      </c>
      <c r="AF684" s="0" t="s">
        <v>236</v>
      </c>
      <c r="AG684" s="0" t="s">
        <v>236</v>
      </c>
      <c r="AH684" s="0" t="s">
        <v>236</v>
      </c>
      <c r="AI684" s="0" t="s">
        <v>2263</v>
      </c>
      <c r="AJ684" s="0" t="s">
        <v>3161</v>
      </c>
      <c r="AK684" s="0" t="s">
        <v>3162</v>
      </c>
      <c r="AL684" s="0" t="s">
        <v>3163</v>
      </c>
      <c r="AM684" s="0" t="s">
        <v>94</v>
      </c>
      <c r="AN684" s="26" t="n">
        <f aca="false">IFERROR(E684*(1+IF(AM684="Apartment",Data_Summary!$C$3,0)),"")</f>
        <v>4.20353982300885</v>
      </c>
      <c r="AO684" s="4" t="n">
        <v>46195</v>
      </c>
    </row>
    <row r="685" customFormat="false" ht="15" hidden="false" customHeight="false" outlineLevel="0" collapsed="false">
      <c r="A685" s="0" t="n">
        <f aca="false">IF(AND(ISNUMBER(B685),B685&gt;0,ISNUMBER(AB685),AB685&gt;0,J685&gt;=Data_Summary!$C$1),1,0)</f>
        <v>1</v>
      </c>
      <c r="B685" s="30" t="n">
        <v>586</v>
      </c>
      <c r="C685" s="5" t="n">
        <f aca="false">IF(ISNUMBER(AB685),AB685,"")</f>
        <v>2400</v>
      </c>
      <c r="D685" s="0" t="n">
        <f aca="false">IF(ISNUMBER(C685),C685-U685*Data_Summary!$C$2,"")</f>
        <v>2400</v>
      </c>
      <c r="E685" s="31" t="n">
        <f aca="false">IFERROR(C685/B685,"")</f>
        <v>4.09556313993174</v>
      </c>
      <c r="F685" s="26" t="n">
        <f aca="false">IFERROR(D685/B685,"")</f>
        <v>4.09556313993174</v>
      </c>
      <c r="G685" s="0" t="str">
        <f aca="false">Q685</f>
        <v>1</v>
      </c>
      <c r="H685" s="0" t="str">
        <f aca="false">IFERROR(LEFT(G685,1),"")</f>
        <v>1</v>
      </c>
      <c r="I685" s="0" t="n">
        <f aca="false">IF(LEN(G685)&gt;1,1,0)</f>
        <v>0</v>
      </c>
      <c r="J685" s="4" t="n">
        <v>45769</v>
      </c>
      <c r="K685" s="0" t="s">
        <v>13</v>
      </c>
      <c r="L685" s="0" t="s">
        <v>101</v>
      </c>
      <c r="M685" s="0" t="s">
        <v>226</v>
      </c>
      <c r="N685" s="0" t="s">
        <v>103</v>
      </c>
      <c r="O685" s="0" t="s">
        <v>2694</v>
      </c>
      <c r="Q685" s="0" t="s">
        <v>242</v>
      </c>
      <c r="R685" s="0" t="n">
        <v>1</v>
      </c>
      <c r="S685" s="5" t="n">
        <v>586</v>
      </c>
      <c r="T685" s="0" t="s">
        <v>243</v>
      </c>
      <c r="U685" s="0" t="n">
        <v>0</v>
      </c>
      <c r="V685" s="0" t="s">
        <v>230</v>
      </c>
      <c r="W685" s="0" t="s">
        <v>244</v>
      </c>
      <c r="Y685" s="0" t="s">
        <v>253</v>
      </c>
      <c r="Z685" s="0" t="s">
        <v>2657</v>
      </c>
      <c r="AA685" s="0" t="s">
        <v>235</v>
      </c>
      <c r="AB685" s="32" t="n">
        <v>2400</v>
      </c>
      <c r="AC685" s="32" t="n">
        <v>2450</v>
      </c>
      <c r="AD685" s="26" t="n">
        <f aca="false">IFERROR(AB685/B685,"")</f>
        <v>4.09556313993174</v>
      </c>
      <c r="AE685" s="26" t="n">
        <f aca="false">IFERROR(AC685/B685,"")</f>
        <v>4.18088737201365</v>
      </c>
      <c r="AF685" s="0" t="s">
        <v>236</v>
      </c>
      <c r="AG685" s="0" t="s">
        <v>236</v>
      </c>
      <c r="AH685" s="0" t="s">
        <v>236</v>
      </c>
      <c r="AI685" s="0" t="s">
        <v>2268</v>
      </c>
      <c r="AJ685" s="0" t="s">
        <v>3164</v>
      </c>
      <c r="AK685" s="0" t="s">
        <v>3165</v>
      </c>
      <c r="AL685" s="0" t="s">
        <v>3166</v>
      </c>
      <c r="AM685" s="0" t="s">
        <v>94</v>
      </c>
      <c r="AN685" s="26" t="n">
        <f aca="false">IFERROR(E685*(1+IF(AM685="Apartment",Data_Summary!$C$3,0)),"")</f>
        <v>4.09556313993174</v>
      </c>
      <c r="AO685" s="4" t="n">
        <v>46195</v>
      </c>
    </row>
    <row r="686" customFormat="false" ht="15" hidden="false" customHeight="false" outlineLevel="0" collapsed="false">
      <c r="A686" s="0" t="n">
        <f aca="false">IF(AND(ISNUMBER(B686),B686&gt;0,ISNUMBER(AB686),AB686&gt;0,J686&gt;=Data_Summary!$C$1),1,0)</f>
        <v>1</v>
      </c>
      <c r="B686" s="30" t="n">
        <v>564</v>
      </c>
      <c r="C686" s="5" t="n">
        <f aca="false">IF(ISNUMBER(AB686),AB686,"")</f>
        <v>2299</v>
      </c>
      <c r="D686" s="0" t="n">
        <f aca="false">IF(ISNUMBER(C686),C686-U686*Data_Summary!$C$2,"")</f>
        <v>2299</v>
      </c>
      <c r="E686" s="31" t="n">
        <f aca="false">IFERROR(C686/B686,"")</f>
        <v>4.07624113475177</v>
      </c>
      <c r="F686" s="26" t="n">
        <f aca="false">IFERROR(D686/B686,"")</f>
        <v>4.07624113475177</v>
      </c>
      <c r="G686" s="0" t="str">
        <f aca="false">Q686</f>
        <v>1</v>
      </c>
      <c r="H686" s="0" t="str">
        <f aca="false">IFERROR(LEFT(G686,1),"")</f>
        <v>1</v>
      </c>
      <c r="I686" s="0" t="n">
        <f aca="false">IF(LEN(G686)&gt;1,1,0)</f>
        <v>0</v>
      </c>
      <c r="J686" s="4" t="n">
        <v>45767</v>
      </c>
      <c r="K686" s="0" t="s">
        <v>13</v>
      </c>
      <c r="L686" s="0" t="s">
        <v>101</v>
      </c>
      <c r="M686" s="0" t="s">
        <v>226</v>
      </c>
      <c r="N686" s="0" t="s">
        <v>103</v>
      </c>
      <c r="O686" s="0" t="s">
        <v>949</v>
      </c>
      <c r="Q686" s="0" t="s">
        <v>242</v>
      </c>
      <c r="R686" s="0" t="n">
        <v>1</v>
      </c>
      <c r="S686" s="5" t="n">
        <v>564</v>
      </c>
      <c r="T686" s="0" t="s">
        <v>243</v>
      </c>
      <c r="U686" s="0" t="n">
        <v>0</v>
      </c>
      <c r="V686" s="0" t="s">
        <v>230</v>
      </c>
      <c r="W686" s="0" t="s">
        <v>244</v>
      </c>
      <c r="Y686" s="0" t="s">
        <v>253</v>
      </c>
      <c r="Z686" s="0" t="s">
        <v>2657</v>
      </c>
      <c r="AA686" s="0" t="s">
        <v>235</v>
      </c>
      <c r="AB686" s="32" t="n">
        <v>2299</v>
      </c>
      <c r="AC686" s="32" t="n">
        <v>2299</v>
      </c>
      <c r="AD686" s="26" t="n">
        <f aca="false">IFERROR(AB686/B686,"")</f>
        <v>4.07624113475177</v>
      </c>
      <c r="AE686" s="26" t="n">
        <f aca="false">IFERROR(AC686/B686,"")</f>
        <v>4.07624113475177</v>
      </c>
      <c r="AF686" s="0" t="s">
        <v>236</v>
      </c>
      <c r="AG686" s="0" t="s">
        <v>236</v>
      </c>
      <c r="AH686" s="0" t="s">
        <v>236</v>
      </c>
      <c r="AI686" s="0" t="s">
        <v>3167</v>
      </c>
      <c r="AJ686" s="0" t="s">
        <v>3168</v>
      </c>
      <c r="AK686" s="0" t="s">
        <v>3169</v>
      </c>
      <c r="AL686" s="0" t="s">
        <v>3170</v>
      </c>
      <c r="AM686" s="0" t="s">
        <v>94</v>
      </c>
      <c r="AN686" s="26" t="n">
        <f aca="false">IFERROR(E686*(1+IF(AM686="Apartment",Data_Summary!$C$3,0)),"")</f>
        <v>4.07624113475177</v>
      </c>
      <c r="AO686" s="4" t="n">
        <v>46195</v>
      </c>
    </row>
    <row r="687" customFormat="false" ht="15" hidden="false" customHeight="false" outlineLevel="0" collapsed="false">
      <c r="A687" s="0" t="n">
        <f aca="false">IF(AND(ISNUMBER(B687),B687&gt;0,ISNUMBER(AB687),AB687&gt;0,J687&gt;=Data_Summary!$C$1),1,0)</f>
        <v>1</v>
      </c>
      <c r="B687" s="30" t="n">
        <v>648</v>
      </c>
      <c r="C687" s="5" t="n">
        <f aca="false">IF(ISNUMBER(AB687),AB687,"")</f>
        <v>2250</v>
      </c>
      <c r="D687" s="0" t="n">
        <f aca="false">IF(ISNUMBER(C687),C687-U687*Data_Summary!$C$2,"")</f>
        <v>2250</v>
      </c>
      <c r="E687" s="31" t="n">
        <f aca="false">IFERROR(C687/B687,"")</f>
        <v>3.47222222222222</v>
      </c>
      <c r="F687" s="26" t="n">
        <f aca="false">IFERROR(D687/B687,"")</f>
        <v>3.47222222222222</v>
      </c>
      <c r="G687" s="0" t="str">
        <f aca="false">Q687</f>
        <v>1+1</v>
      </c>
      <c r="H687" s="0" t="str">
        <f aca="false">IFERROR(LEFT(G687,1),"")</f>
        <v>1</v>
      </c>
      <c r="I687" s="0" t="n">
        <f aca="false">IF(LEN(G687)&gt;1,1,0)</f>
        <v>1</v>
      </c>
      <c r="J687" s="4" t="n">
        <v>45767</v>
      </c>
      <c r="K687" s="0" t="s">
        <v>13</v>
      </c>
      <c r="L687" s="0" t="s">
        <v>101</v>
      </c>
      <c r="M687" s="0" t="s">
        <v>226</v>
      </c>
      <c r="N687" s="0" t="s">
        <v>103</v>
      </c>
      <c r="O687" s="0" t="s">
        <v>2028</v>
      </c>
      <c r="Q687" s="0" t="s">
        <v>270</v>
      </c>
      <c r="R687" s="0" t="n">
        <v>1</v>
      </c>
      <c r="S687" s="5" t="n">
        <v>648</v>
      </c>
      <c r="T687" s="0" t="s">
        <v>271</v>
      </c>
      <c r="U687" s="0" t="n">
        <v>0</v>
      </c>
      <c r="V687" s="0" t="s">
        <v>230</v>
      </c>
      <c r="W687" s="0" t="s">
        <v>231</v>
      </c>
      <c r="Y687" s="0" t="s">
        <v>278</v>
      </c>
      <c r="Z687" s="0" t="s">
        <v>2657</v>
      </c>
      <c r="AA687" s="0" t="s">
        <v>235</v>
      </c>
      <c r="AB687" s="32" t="n">
        <v>2250</v>
      </c>
      <c r="AC687" s="32" t="n">
        <v>2300</v>
      </c>
      <c r="AD687" s="26" t="n">
        <f aca="false">IFERROR(AB687/B687,"")</f>
        <v>3.47222222222222</v>
      </c>
      <c r="AE687" s="26" t="n">
        <f aca="false">IFERROR(AC687/B687,"")</f>
        <v>3.54938271604938</v>
      </c>
      <c r="AF687" s="0" t="s">
        <v>236</v>
      </c>
      <c r="AG687" s="0" t="s">
        <v>236</v>
      </c>
      <c r="AH687" s="0" t="s">
        <v>236</v>
      </c>
      <c r="AI687" s="0" t="s">
        <v>3167</v>
      </c>
      <c r="AJ687" s="0" t="s">
        <v>3171</v>
      </c>
      <c r="AK687" s="0" t="s">
        <v>3172</v>
      </c>
      <c r="AL687" s="0" t="s">
        <v>3173</v>
      </c>
      <c r="AM687" s="0" t="s">
        <v>94</v>
      </c>
      <c r="AN687" s="26" t="n">
        <f aca="false">IFERROR(E687*(1+IF(AM687="Apartment",Data_Summary!$C$3,0)),"")</f>
        <v>3.47222222222222</v>
      </c>
      <c r="AO687" s="4" t="n">
        <v>46195</v>
      </c>
    </row>
    <row r="688" customFormat="false" ht="15" hidden="false" customHeight="false" outlineLevel="0" collapsed="false">
      <c r="A688" s="0" t="n">
        <f aca="false">IF(AND(ISNUMBER(B688),B688&gt;0,ISNUMBER(AB688),AB688&gt;0,J688&gt;=Data_Summary!$C$1),1,0)</f>
        <v>1</v>
      </c>
      <c r="B688" s="30" t="n">
        <v>710</v>
      </c>
      <c r="C688" s="5" t="n">
        <f aca="false">IF(ISNUMBER(AB688),AB688,"")</f>
        <v>2850</v>
      </c>
      <c r="D688" s="0" t="n">
        <f aca="false">IF(ISNUMBER(C688),C688-U688*Data_Summary!$C$2,"")</f>
        <v>2850</v>
      </c>
      <c r="E688" s="31" t="n">
        <f aca="false">IFERROR(C688/B688,"")</f>
        <v>4.01408450704225</v>
      </c>
      <c r="F688" s="26" t="n">
        <f aca="false">IFERROR(D688/B688,"")</f>
        <v>4.01408450704225</v>
      </c>
      <c r="G688" s="0" t="str">
        <f aca="false">Q688</f>
        <v>2</v>
      </c>
      <c r="H688" s="0" t="str">
        <f aca="false">IFERROR(LEFT(G688,1),"")</f>
        <v>2</v>
      </c>
      <c r="I688" s="0" t="n">
        <f aca="false">IF(LEN(G688)&gt;1,1,0)</f>
        <v>0</v>
      </c>
      <c r="J688" s="4" t="n">
        <v>45761</v>
      </c>
      <c r="K688" s="0" t="s">
        <v>13</v>
      </c>
      <c r="L688" s="0" t="s">
        <v>101</v>
      </c>
      <c r="M688" s="0" t="s">
        <v>226</v>
      </c>
      <c r="N688" s="0" t="s">
        <v>103</v>
      </c>
      <c r="O688" s="0" t="s">
        <v>3174</v>
      </c>
      <c r="Q688" s="0" t="s">
        <v>251</v>
      </c>
      <c r="R688" s="0" t="n">
        <v>2</v>
      </c>
      <c r="S688" s="5" t="n">
        <v>710</v>
      </c>
      <c r="T688" s="0" t="s">
        <v>252</v>
      </c>
      <c r="U688" s="0" t="n">
        <v>0</v>
      </c>
      <c r="V688" s="0" t="s">
        <v>230</v>
      </c>
      <c r="W688" s="0" t="s">
        <v>231</v>
      </c>
      <c r="Y688" s="0" t="s">
        <v>253</v>
      </c>
      <c r="Z688" s="0" t="s">
        <v>2657</v>
      </c>
      <c r="AA688" s="0" t="s">
        <v>235</v>
      </c>
      <c r="AB688" s="32" t="n">
        <v>2850</v>
      </c>
      <c r="AC688" s="32" t="n">
        <v>2850</v>
      </c>
      <c r="AD688" s="26" t="n">
        <f aca="false">IFERROR(AB688/B688,"")</f>
        <v>4.01408450704225</v>
      </c>
      <c r="AE688" s="26" t="n">
        <f aca="false">IFERROR(AC688/B688,"")</f>
        <v>4.01408450704225</v>
      </c>
      <c r="AF688" s="0" t="s">
        <v>236</v>
      </c>
      <c r="AG688" s="0" t="s">
        <v>236</v>
      </c>
      <c r="AH688" s="0" t="s">
        <v>236</v>
      </c>
      <c r="AI688" s="0" t="s">
        <v>2285</v>
      </c>
      <c r="AJ688" s="0" t="s">
        <v>3175</v>
      </c>
      <c r="AK688" s="0" t="s">
        <v>3176</v>
      </c>
      <c r="AL688" s="0" t="s">
        <v>3177</v>
      </c>
      <c r="AM688" s="0" t="s">
        <v>94</v>
      </c>
      <c r="AN688" s="26" t="n">
        <f aca="false">IFERROR(E688*(1+IF(AM688="Apartment",Data_Summary!$C$3,0)),"")</f>
        <v>4.01408450704225</v>
      </c>
      <c r="AO688" s="4" t="n">
        <v>46195</v>
      </c>
    </row>
    <row r="689" customFormat="false" ht="15" hidden="false" customHeight="false" outlineLevel="0" collapsed="false">
      <c r="A689" s="0" t="n">
        <f aca="false">IF(AND(ISNUMBER(B689),B689&gt;0,ISNUMBER(AB689),AB689&gt;0,J689&gt;=Data_Summary!$C$1),1,0)</f>
        <v>1</v>
      </c>
      <c r="B689" s="30" t="n">
        <v>830</v>
      </c>
      <c r="C689" s="5" t="n">
        <f aca="false">IF(ISNUMBER(AB689),AB689,"")</f>
        <v>3400</v>
      </c>
      <c r="D689" s="0" t="n">
        <f aca="false">IF(ISNUMBER(C689),C689-U689*Data_Summary!$C$2,"")</f>
        <v>3250</v>
      </c>
      <c r="E689" s="31" t="n">
        <f aca="false">IFERROR(C689/B689,"")</f>
        <v>4.09638554216868</v>
      </c>
      <c r="F689" s="26" t="n">
        <f aca="false">IFERROR(D689/B689,"")</f>
        <v>3.91566265060241</v>
      </c>
      <c r="G689" s="0" t="str">
        <f aca="false">Q689</f>
        <v>2</v>
      </c>
      <c r="H689" s="0" t="str">
        <f aca="false">IFERROR(LEFT(G689,1),"")</f>
        <v>2</v>
      </c>
      <c r="I689" s="0" t="n">
        <f aca="false">IF(LEN(G689)&gt;1,1,0)</f>
        <v>0</v>
      </c>
      <c r="J689" s="4" t="n">
        <v>45760</v>
      </c>
      <c r="K689" s="0" t="s">
        <v>13</v>
      </c>
      <c r="L689" s="0" t="s">
        <v>101</v>
      </c>
      <c r="M689" s="0" t="s">
        <v>226</v>
      </c>
      <c r="N689" s="0" t="s">
        <v>103</v>
      </c>
      <c r="O689" s="0" t="s">
        <v>3178</v>
      </c>
      <c r="Q689" s="0" t="s">
        <v>251</v>
      </c>
      <c r="R689" s="0" t="n">
        <v>2</v>
      </c>
      <c r="S689" s="5" t="n">
        <v>830</v>
      </c>
      <c r="T689" s="0" t="s">
        <v>229</v>
      </c>
      <c r="U689" s="0" t="n">
        <v>1</v>
      </c>
      <c r="V689" s="0" t="s">
        <v>230</v>
      </c>
      <c r="W689" s="0" t="s">
        <v>244</v>
      </c>
      <c r="X689" s="0" t="s">
        <v>232</v>
      </c>
      <c r="Y689" s="0" t="s">
        <v>260</v>
      </c>
      <c r="Z689" s="0" t="s">
        <v>2657</v>
      </c>
      <c r="AA689" s="0" t="s">
        <v>235</v>
      </c>
      <c r="AB689" s="32" t="n">
        <v>3400</v>
      </c>
      <c r="AC689" s="32" t="n">
        <v>3850</v>
      </c>
      <c r="AD689" s="26" t="n">
        <f aca="false">IFERROR(AB689/B689,"")</f>
        <v>4.09638554216868</v>
      </c>
      <c r="AE689" s="26" t="n">
        <f aca="false">IFERROR(AC689/B689,"")</f>
        <v>4.63855421686747</v>
      </c>
      <c r="AF689" s="0" t="s">
        <v>236</v>
      </c>
      <c r="AG689" s="0" t="s">
        <v>236</v>
      </c>
      <c r="AH689" s="0" t="s">
        <v>236</v>
      </c>
      <c r="AI689" s="0" t="s">
        <v>3179</v>
      </c>
      <c r="AJ689" s="0" t="s">
        <v>3180</v>
      </c>
      <c r="AK689" s="0" t="s">
        <v>3181</v>
      </c>
      <c r="AL689" s="0" t="s">
        <v>3182</v>
      </c>
      <c r="AM689" s="0" t="s">
        <v>94</v>
      </c>
      <c r="AN689" s="26" t="n">
        <f aca="false">IFERROR(E689*(1+IF(AM689="Apartment",Data_Summary!$C$3,0)),"")</f>
        <v>4.09638554216868</v>
      </c>
      <c r="AO689" s="4" t="n">
        <v>46195</v>
      </c>
    </row>
    <row r="690" customFormat="false" ht="15" hidden="false" customHeight="false" outlineLevel="0" collapsed="false">
      <c r="A690" s="0" t="n">
        <f aca="false">IF(AND(ISNUMBER(B690),B690&gt;0,ISNUMBER(AB690),AB690&gt;0,J690&gt;=Data_Summary!$C$1),1,0)</f>
        <v>1</v>
      </c>
      <c r="B690" s="30" t="n">
        <v>582</v>
      </c>
      <c r="C690" s="5" t="n">
        <f aca="false">IF(ISNUMBER(AB690),AB690,"")</f>
        <v>2350</v>
      </c>
      <c r="D690" s="0" t="n">
        <f aca="false">IF(ISNUMBER(C690),C690-U690*Data_Summary!$C$2,"")</f>
        <v>2350</v>
      </c>
      <c r="E690" s="31" t="n">
        <f aca="false">IFERROR(C690/B690,"")</f>
        <v>4.03780068728522</v>
      </c>
      <c r="F690" s="26" t="n">
        <f aca="false">IFERROR(D690/B690,"")</f>
        <v>4.03780068728522</v>
      </c>
      <c r="G690" s="0" t="str">
        <f aca="false">Q690</f>
        <v>1</v>
      </c>
      <c r="H690" s="0" t="str">
        <f aca="false">IFERROR(LEFT(G690,1),"")</f>
        <v>1</v>
      </c>
      <c r="I690" s="0" t="n">
        <f aca="false">IF(LEN(G690)&gt;1,1,0)</f>
        <v>0</v>
      </c>
      <c r="J690" s="4" t="n">
        <v>45758</v>
      </c>
      <c r="K690" s="0" t="s">
        <v>13</v>
      </c>
      <c r="L690" s="0" t="s">
        <v>101</v>
      </c>
      <c r="M690" s="0" t="s">
        <v>226</v>
      </c>
      <c r="N690" s="0" t="s">
        <v>103</v>
      </c>
      <c r="O690" s="0" t="s">
        <v>977</v>
      </c>
      <c r="Q690" s="0" t="s">
        <v>242</v>
      </c>
      <c r="R690" s="0" t="n">
        <v>1</v>
      </c>
      <c r="S690" s="5" t="n">
        <v>582</v>
      </c>
      <c r="T690" s="0" t="s">
        <v>243</v>
      </c>
      <c r="U690" s="0" t="n">
        <v>0</v>
      </c>
      <c r="V690" s="0" t="s">
        <v>230</v>
      </c>
      <c r="W690" s="0" t="s">
        <v>244</v>
      </c>
      <c r="Y690" s="0" t="s">
        <v>253</v>
      </c>
      <c r="Z690" s="0" t="s">
        <v>2657</v>
      </c>
      <c r="AA690" s="0" t="s">
        <v>235</v>
      </c>
      <c r="AB690" s="32" t="n">
        <v>2350</v>
      </c>
      <c r="AC690" s="32" t="n">
        <v>2350</v>
      </c>
      <c r="AD690" s="26" t="n">
        <f aca="false">IFERROR(AB690/B690,"")</f>
        <v>4.03780068728522</v>
      </c>
      <c r="AE690" s="26" t="n">
        <f aca="false">IFERROR(AC690/B690,"")</f>
        <v>4.03780068728522</v>
      </c>
      <c r="AF690" s="0" t="s">
        <v>236</v>
      </c>
      <c r="AG690" s="0" t="s">
        <v>236</v>
      </c>
      <c r="AH690" s="0" t="s">
        <v>236</v>
      </c>
      <c r="AI690" s="0" t="s">
        <v>3183</v>
      </c>
      <c r="AJ690" s="0" t="s">
        <v>3184</v>
      </c>
      <c r="AK690" s="0" t="s">
        <v>3185</v>
      </c>
      <c r="AL690" s="0" t="s">
        <v>3186</v>
      </c>
      <c r="AM690" s="0" t="s">
        <v>94</v>
      </c>
      <c r="AN690" s="26" t="n">
        <f aca="false">IFERROR(E690*(1+IF(AM690="Apartment",Data_Summary!$C$3,0)),"")</f>
        <v>4.03780068728522</v>
      </c>
      <c r="AO690" s="4" t="n">
        <v>46195</v>
      </c>
    </row>
    <row r="691" customFormat="false" ht="15" hidden="false" customHeight="false" outlineLevel="0" collapsed="false">
      <c r="A691" s="0" t="n">
        <f aca="false">IF(AND(ISNUMBER(B691),B691&gt;0,ISNUMBER(AB691),AB691&gt;0,J691&gt;=Data_Summary!$C$1),1,0)</f>
        <v>1</v>
      </c>
      <c r="B691" s="33" t="n">
        <v>630</v>
      </c>
      <c r="C691" s="5" t="n">
        <f aca="false">IF(ISNUMBER(AB691),AB691,"")</f>
        <v>2450</v>
      </c>
      <c r="D691" s="0" t="n">
        <f aca="false">IF(ISNUMBER(C691),C691-U691*Data_Summary!$C$2,"")</f>
        <v>2450</v>
      </c>
      <c r="E691" s="34" t="n">
        <f aca="false">IFERROR(C691/B691,"")</f>
        <v>3.88888888888889</v>
      </c>
      <c r="F691" s="26" t="n">
        <f aca="false">IFERROR(D691/B691,"")</f>
        <v>3.88888888888889</v>
      </c>
      <c r="G691" s="0" t="str">
        <f aca="false">Q691</f>
        <v>1+1</v>
      </c>
      <c r="H691" s="0" t="str">
        <f aca="false">IFERROR(LEFT(G691,1),"")</f>
        <v>1</v>
      </c>
      <c r="I691" s="0" t="n">
        <f aca="false">IF(LEN(G691)&gt;1,1,0)</f>
        <v>1</v>
      </c>
      <c r="J691" s="4" t="n">
        <v>45757</v>
      </c>
      <c r="K691" s="0" t="s">
        <v>13</v>
      </c>
      <c r="L691" s="0" t="s">
        <v>101</v>
      </c>
      <c r="M691" s="0" t="s">
        <v>226</v>
      </c>
      <c r="N691" s="0" t="s">
        <v>103</v>
      </c>
      <c r="O691" s="0" t="s">
        <v>3187</v>
      </c>
      <c r="Q691" s="0" t="s">
        <v>270</v>
      </c>
      <c r="R691" s="0" t="n">
        <v>1</v>
      </c>
      <c r="S691" s="5" t="n">
        <v>630</v>
      </c>
      <c r="T691" s="0" t="s">
        <v>271</v>
      </c>
      <c r="U691" s="0" t="n">
        <v>0</v>
      </c>
      <c r="V691" s="0" t="s">
        <v>230</v>
      </c>
      <c r="W691" s="0" t="s">
        <v>231</v>
      </c>
      <c r="Y691" s="0" t="s">
        <v>253</v>
      </c>
      <c r="Z691" s="0" t="s">
        <v>2657</v>
      </c>
      <c r="AA691" s="0" t="s">
        <v>235</v>
      </c>
      <c r="AB691" s="32" t="n">
        <v>2450</v>
      </c>
      <c r="AC691" s="32" t="n">
        <v>2450</v>
      </c>
      <c r="AD691" s="26" t="n">
        <f aca="false">IFERROR(AB691/B691,"")</f>
        <v>3.88888888888889</v>
      </c>
      <c r="AE691" s="26" t="n">
        <f aca="false">IFERROR(AC691/B691,"")</f>
        <v>3.88888888888889</v>
      </c>
      <c r="AF691" s="0" t="s">
        <v>236</v>
      </c>
      <c r="AG691" s="0" t="s">
        <v>236</v>
      </c>
      <c r="AH691" s="0" t="s">
        <v>236</v>
      </c>
      <c r="AI691" s="0" t="s">
        <v>3188</v>
      </c>
      <c r="AJ691" s="0" t="s">
        <v>3189</v>
      </c>
      <c r="AK691" s="0" t="s">
        <v>3190</v>
      </c>
      <c r="AL691" s="0" t="s">
        <v>3191</v>
      </c>
      <c r="AM691" s="0" t="s">
        <v>94</v>
      </c>
      <c r="AN691" s="26" t="n">
        <f aca="false">IFERROR(E691*(1+IF(AM691="Apartment",Data_Summary!$C$3,0)),"")</f>
        <v>3.88888888888889</v>
      </c>
      <c r="AO691" s="4" t="n">
        <v>46195</v>
      </c>
    </row>
    <row r="692" customFormat="false" ht="15" hidden="false" customHeight="false" outlineLevel="0" collapsed="false">
      <c r="A692" s="0" t="n">
        <f aca="false">IF(AND(ISNUMBER(B692),B692&gt;0,ISNUMBER(AB692),AB692&gt;0,J692&gt;=Data_Summary!$C$1),1,0)</f>
        <v>1</v>
      </c>
      <c r="B692" s="30" t="n">
        <v>830</v>
      </c>
      <c r="C692" s="5" t="n">
        <f aca="false">IF(ISNUMBER(AB692),AB692,"")</f>
        <v>3550</v>
      </c>
      <c r="D692" s="0" t="n">
        <f aca="false">IF(ISNUMBER(C692),C692-U692*Data_Summary!$C$2,"")</f>
        <v>3400</v>
      </c>
      <c r="E692" s="31" t="n">
        <f aca="false">IFERROR(C692/B692,"")</f>
        <v>4.27710843373494</v>
      </c>
      <c r="F692" s="26" t="n">
        <f aca="false">IFERROR(D692/B692,"")</f>
        <v>4.09638554216868</v>
      </c>
      <c r="G692" s="0" t="str">
        <f aca="false">Q692</f>
        <v>2</v>
      </c>
      <c r="H692" s="0" t="str">
        <f aca="false">IFERROR(LEFT(G692,1),"")</f>
        <v>2</v>
      </c>
      <c r="I692" s="0" t="n">
        <f aca="false">IF(LEN(G692)&gt;1,1,0)</f>
        <v>0</v>
      </c>
      <c r="J692" s="4" t="n">
        <v>45755</v>
      </c>
      <c r="K692" s="0" t="s">
        <v>13</v>
      </c>
      <c r="L692" s="0" t="s">
        <v>101</v>
      </c>
      <c r="M692" s="0" t="s">
        <v>226</v>
      </c>
      <c r="N692" s="0" t="s">
        <v>103</v>
      </c>
      <c r="O692" s="0" t="s">
        <v>3192</v>
      </c>
      <c r="Q692" s="0" t="s">
        <v>251</v>
      </c>
      <c r="R692" s="0" t="n">
        <v>2</v>
      </c>
      <c r="S692" s="5" t="n">
        <v>830</v>
      </c>
      <c r="T692" s="0" t="s">
        <v>229</v>
      </c>
      <c r="U692" s="0" t="n">
        <v>1</v>
      </c>
      <c r="V692" s="0" t="s">
        <v>230</v>
      </c>
      <c r="W692" s="0" t="s">
        <v>231</v>
      </c>
      <c r="X692" s="0" t="s">
        <v>232</v>
      </c>
      <c r="Y692" s="0" t="s">
        <v>260</v>
      </c>
      <c r="Z692" s="0" t="s">
        <v>2657</v>
      </c>
      <c r="AA692" s="0" t="s">
        <v>235</v>
      </c>
      <c r="AB692" s="32" t="n">
        <v>3550</v>
      </c>
      <c r="AC692" s="32" t="n">
        <v>3500</v>
      </c>
      <c r="AD692" s="26" t="n">
        <f aca="false">IFERROR(AB692/B692,"")</f>
        <v>4.27710843373494</v>
      </c>
      <c r="AE692" s="26" t="n">
        <f aca="false">IFERROR(AC692/B692,"")</f>
        <v>4.21686746987952</v>
      </c>
      <c r="AF692" s="0" t="s">
        <v>236</v>
      </c>
      <c r="AG692" s="0" t="s">
        <v>236</v>
      </c>
      <c r="AH692" s="0" t="s">
        <v>236</v>
      </c>
      <c r="AI692" s="0" t="s">
        <v>3193</v>
      </c>
      <c r="AJ692" s="0" t="s">
        <v>3194</v>
      </c>
      <c r="AK692" s="0" t="s">
        <v>3195</v>
      </c>
      <c r="AL692" s="0" t="s">
        <v>3196</v>
      </c>
      <c r="AM692" s="0" t="s">
        <v>94</v>
      </c>
      <c r="AN692" s="26" t="n">
        <f aca="false">IFERROR(E692*(1+IF(AM692="Apartment",Data_Summary!$C$3,0)),"")</f>
        <v>4.27710843373494</v>
      </c>
      <c r="AO692" s="4" t="n">
        <v>46195</v>
      </c>
    </row>
    <row r="693" customFormat="false" ht="15" hidden="false" customHeight="false" outlineLevel="0" collapsed="false">
      <c r="A693" s="0" t="n">
        <f aca="false">IF(AND(ISNUMBER(B693),B693&gt;0,ISNUMBER(AB693),AB693&gt;0,J693&gt;=Data_Summary!$C$1),1,0)</f>
        <v>1</v>
      </c>
      <c r="B693" s="30" t="n">
        <v>625</v>
      </c>
      <c r="C693" s="5" t="n">
        <f aca="false">IF(ISNUMBER(AB693),AB693,"")</f>
        <v>2350</v>
      </c>
      <c r="D693" s="0" t="n">
        <f aca="false">IF(ISNUMBER(C693),C693-U693*Data_Summary!$C$2,"")</f>
        <v>2350</v>
      </c>
      <c r="E693" s="31" t="n">
        <f aca="false">IFERROR(C693/B693,"")</f>
        <v>3.76</v>
      </c>
      <c r="F693" s="26" t="n">
        <f aca="false">IFERROR(D693/B693,"")</f>
        <v>3.76</v>
      </c>
      <c r="G693" s="0" t="str">
        <f aca="false">Q693</f>
        <v>1</v>
      </c>
      <c r="H693" s="0" t="str">
        <f aca="false">IFERROR(LEFT(G693,1),"")</f>
        <v>1</v>
      </c>
      <c r="I693" s="0" t="n">
        <f aca="false">IF(LEN(G693)&gt;1,1,0)</f>
        <v>0</v>
      </c>
      <c r="J693" s="4" t="n">
        <v>45755</v>
      </c>
      <c r="K693" s="0" t="s">
        <v>13</v>
      </c>
      <c r="L693" s="0" t="s">
        <v>101</v>
      </c>
      <c r="M693" s="0" t="s">
        <v>226</v>
      </c>
      <c r="N693" s="0" t="s">
        <v>103</v>
      </c>
      <c r="O693" s="0" t="s">
        <v>1912</v>
      </c>
      <c r="Q693" s="0" t="s">
        <v>242</v>
      </c>
      <c r="R693" s="0" t="n">
        <v>1</v>
      </c>
      <c r="S693" s="5" t="n">
        <v>625</v>
      </c>
      <c r="T693" s="0" t="s">
        <v>271</v>
      </c>
      <c r="U693" s="0" t="n">
        <v>0</v>
      </c>
      <c r="V693" s="0" t="s">
        <v>230</v>
      </c>
      <c r="W693" s="0" t="s">
        <v>244</v>
      </c>
      <c r="X693" s="0" t="s">
        <v>232</v>
      </c>
      <c r="Y693" s="0" t="s">
        <v>297</v>
      </c>
      <c r="Z693" s="0" t="s">
        <v>2657</v>
      </c>
      <c r="AA693" s="0" t="s">
        <v>235</v>
      </c>
      <c r="AB693" s="32" t="n">
        <v>2350</v>
      </c>
      <c r="AC693" s="32" t="n">
        <v>2350</v>
      </c>
      <c r="AD693" s="26" t="n">
        <f aca="false">IFERROR(AB693/B693,"")</f>
        <v>3.76</v>
      </c>
      <c r="AE693" s="26" t="n">
        <f aca="false">IFERROR(AC693/B693,"")</f>
        <v>3.76</v>
      </c>
      <c r="AF693" s="0" t="s">
        <v>236</v>
      </c>
      <c r="AG693" s="0" t="s">
        <v>236</v>
      </c>
      <c r="AH693" s="0" t="s">
        <v>236</v>
      </c>
      <c r="AI693" s="0" t="s">
        <v>3193</v>
      </c>
      <c r="AJ693" s="0" t="s">
        <v>3197</v>
      </c>
      <c r="AK693" s="0" t="s">
        <v>3198</v>
      </c>
      <c r="AL693" s="0" t="s">
        <v>3199</v>
      </c>
      <c r="AM693" s="0" t="s">
        <v>94</v>
      </c>
      <c r="AN693" s="26" t="n">
        <f aca="false">IFERROR(E693*(1+IF(AM693="Apartment",Data_Summary!$C$3,0)),"")</f>
        <v>3.76</v>
      </c>
      <c r="AO693" s="4" t="n">
        <v>46195</v>
      </c>
    </row>
    <row r="694" customFormat="false" ht="15" hidden="false" customHeight="false" outlineLevel="0" collapsed="false">
      <c r="A694" s="0" t="n">
        <f aca="false">IF(AND(ISNUMBER(B694),B694&gt;0,ISNUMBER(AB694),AB694&gt;0,J694&gt;=Data_Summary!$C$1),1,0)</f>
        <v>1</v>
      </c>
      <c r="B694" s="30" t="n">
        <v>586</v>
      </c>
      <c r="C694" s="5" t="n">
        <f aca="false">IF(ISNUMBER(AB694),AB694,"")</f>
        <v>2350</v>
      </c>
      <c r="D694" s="0" t="n">
        <f aca="false">IF(ISNUMBER(C694),C694-U694*Data_Summary!$C$2,"")</f>
        <v>2350</v>
      </c>
      <c r="E694" s="31" t="n">
        <f aca="false">IFERROR(C694/B694,"")</f>
        <v>4.01023890784983</v>
      </c>
      <c r="F694" s="26" t="n">
        <f aca="false">IFERROR(D694/B694,"")</f>
        <v>4.01023890784983</v>
      </c>
      <c r="G694" s="0" t="str">
        <f aca="false">Q694</f>
        <v>1</v>
      </c>
      <c r="H694" s="0" t="str">
        <f aca="false">IFERROR(LEFT(G694,1),"")</f>
        <v>1</v>
      </c>
      <c r="I694" s="0" t="n">
        <f aca="false">IF(LEN(G694)&gt;1,1,0)</f>
        <v>0</v>
      </c>
      <c r="J694" s="4" t="n">
        <v>45755</v>
      </c>
      <c r="K694" s="0" t="s">
        <v>13</v>
      </c>
      <c r="L694" s="0" t="s">
        <v>101</v>
      </c>
      <c r="M694" s="0" t="s">
        <v>226</v>
      </c>
      <c r="N694" s="0" t="s">
        <v>103</v>
      </c>
      <c r="O694" s="0" t="s">
        <v>3200</v>
      </c>
      <c r="Q694" s="0" t="s">
        <v>242</v>
      </c>
      <c r="R694" s="0" t="n">
        <v>1</v>
      </c>
      <c r="S694" s="5" t="n">
        <v>586</v>
      </c>
      <c r="T694" s="0" t="s">
        <v>243</v>
      </c>
      <c r="U694" s="0" t="n">
        <v>0</v>
      </c>
      <c r="V694" s="0" t="s">
        <v>230</v>
      </c>
      <c r="W694" s="0" t="s">
        <v>231</v>
      </c>
      <c r="Y694" s="0" t="s">
        <v>253</v>
      </c>
      <c r="Z694" s="0" t="s">
        <v>2657</v>
      </c>
      <c r="AA694" s="0" t="s">
        <v>235</v>
      </c>
      <c r="AB694" s="32" t="n">
        <v>2350</v>
      </c>
      <c r="AC694" s="32" t="n">
        <v>2400</v>
      </c>
      <c r="AD694" s="26" t="n">
        <f aca="false">IFERROR(AB694/B694,"")</f>
        <v>4.01023890784983</v>
      </c>
      <c r="AE694" s="26" t="n">
        <f aca="false">IFERROR(AC694/B694,"")</f>
        <v>4.09556313993174</v>
      </c>
      <c r="AF694" s="0" t="s">
        <v>236</v>
      </c>
      <c r="AG694" s="0" t="s">
        <v>236</v>
      </c>
      <c r="AH694" s="0" t="s">
        <v>230</v>
      </c>
      <c r="AI694" s="0" t="s">
        <v>3193</v>
      </c>
      <c r="AJ694" s="0" t="s">
        <v>3201</v>
      </c>
      <c r="AK694" s="0" t="s">
        <v>3202</v>
      </c>
      <c r="AL694" s="0" t="s">
        <v>3203</v>
      </c>
      <c r="AM694" s="0" t="s">
        <v>94</v>
      </c>
      <c r="AN694" s="26" t="n">
        <f aca="false">IFERROR(E694*(1+IF(AM694="Apartment",Data_Summary!$C$3,0)),"")</f>
        <v>4.01023890784983</v>
      </c>
      <c r="AO694" s="4" t="n">
        <v>46195</v>
      </c>
    </row>
    <row r="695" customFormat="false" ht="15" hidden="false" customHeight="false" outlineLevel="0" collapsed="false">
      <c r="A695" s="0" t="n">
        <f aca="false">IF(AND(ISNUMBER(B695),B695&gt;0,ISNUMBER(AB695),AB695&gt;0,J695&gt;=Data_Summary!$C$1),1,0)</f>
        <v>1</v>
      </c>
      <c r="B695" s="33" t="n">
        <v>564</v>
      </c>
      <c r="C695" s="5" t="n">
        <f aca="false">IF(ISNUMBER(AB695),AB695,"")</f>
        <v>2550</v>
      </c>
      <c r="D695" s="0" t="n">
        <f aca="false">IF(ISNUMBER(C695),C695-U695*Data_Summary!$C$2,"")</f>
        <v>2550</v>
      </c>
      <c r="E695" s="34" t="n">
        <f aca="false">IFERROR(C695/B695,"")</f>
        <v>4.52127659574468</v>
      </c>
      <c r="F695" s="26" t="n">
        <f aca="false">IFERROR(D695/B695,"")</f>
        <v>4.52127659574468</v>
      </c>
      <c r="G695" s="0" t="str">
        <f aca="false">Q695</f>
        <v>1</v>
      </c>
      <c r="H695" s="0" t="str">
        <f aca="false">IFERROR(LEFT(G695,1),"")</f>
        <v>1</v>
      </c>
      <c r="I695" s="0" t="n">
        <f aca="false">IF(LEN(G695)&gt;1,1,0)</f>
        <v>0</v>
      </c>
      <c r="J695" s="4" t="n">
        <v>45754</v>
      </c>
      <c r="K695" s="0" t="s">
        <v>13</v>
      </c>
      <c r="L695" s="0" t="s">
        <v>101</v>
      </c>
      <c r="M695" s="0" t="s">
        <v>226</v>
      </c>
      <c r="N695" s="0" t="s">
        <v>103</v>
      </c>
      <c r="O695" s="0" t="s">
        <v>1424</v>
      </c>
      <c r="Q695" s="0" t="s">
        <v>242</v>
      </c>
      <c r="R695" s="0" t="n">
        <v>1</v>
      </c>
      <c r="S695" s="5" t="n">
        <v>564</v>
      </c>
      <c r="T695" s="0" t="s">
        <v>271</v>
      </c>
      <c r="U695" s="0" t="n">
        <v>0</v>
      </c>
      <c r="V695" s="0" t="s">
        <v>230</v>
      </c>
      <c r="W695" s="0" t="s">
        <v>231</v>
      </c>
      <c r="Y695" s="0" t="s">
        <v>253</v>
      </c>
      <c r="Z695" s="0" t="s">
        <v>2657</v>
      </c>
      <c r="AA695" s="0" t="s">
        <v>235</v>
      </c>
      <c r="AB695" s="32" t="n">
        <v>2550</v>
      </c>
      <c r="AC695" s="32" t="n">
        <v>2550</v>
      </c>
      <c r="AD695" s="26" t="n">
        <f aca="false">IFERROR(AB695/B695,"")</f>
        <v>4.52127659574468</v>
      </c>
      <c r="AE695" s="26" t="n">
        <f aca="false">IFERROR(AC695/B695,"")</f>
        <v>4.52127659574468</v>
      </c>
      <c r="AF695" s="0" t="s">
        <v>230</v>
      </c>
      <c r="AG695" s="0" t="s">
        <v>230</v>
      </c>
      <c r="AH695" s="0" t="s">
        <v>230</v>
      </c>
      <c r="AI695" s="0" t="s">
        <v>2295</v>
      </c>
      <c r="AJ695" s="0" t="s">
        <v>3204</v>
      </c>
      <c r="AK695" s="0" t="s">
        <v>3205</v>
      </c>
      <c r="AL695" s="0" t="s">
        <v>3206</v>
      </c>
      <c r="AM695" s="0" t="s">
        <v>94</v>
      </c>
      <c r="AN695" s="26" t="n">
        <f aca="false">IFERROR(E695*(1+IF(AM695="Apartment",Data_Summary!$C$3,0)),"")</f>
        <v>4.52127659574468</v>
      </c>
      <c r="AO695" s="4" t="n">
        <v>46195</v>
      </c>
    </row>
    <row r="696" customFormat="false" ht="15" hidden="false" customHeight="false" outlineLevel="0" collapsed="false">
      <c r="A696" s="0" t="n">
        <f aca="false">IF(AND(ISNUMBER(B696),B696&gt;0,ISNUMBER(AB696),AB696&gt;0,J696&gt;=Data_Summary!$C$1),1,0)</f>
        <v>1</v>
      </c>
      <c r="B696" s="33" t="n">
        <v>1489</v>
      </c>
      <c r="C696" s="5" t="n">
        <f aca="false">IF(ISNUMBER(AB696),AB696,"")</f>
        <v>7000</v>
      </c>
      <c r="D696" s="0" t="n">
        <f aca="false">IF(ISNUMBER(C696),C696-U696*Data_Summary!$C$2,"")</f>
        <v>6700</v>
      </c>
      <c r="E696" s="34" t="n">
        <f aca="false">IFERROR(C696/B696,"")</f>
        <v>4.70114170584285</v>
      </c>
      <c r="F696" s="26" t="n">
        <f aca="false">IFERROR(D696/B696,"")</f>
        <v>4.49966420416387</v>
      </c>
      <c r="G696" s="0" t="str">
        <f aca="false">Q696</f>
        <v>2</v>
      </c>
      <c r="H696" s="0" t="str">
        <f aca="false">IFERROR(LEFT(G696,1),"")</f>
        <v>2</v>
      </c>
      <c r="I696" s="0" t="n">
        <f aca="false">IF(LEN(G696)&gt;1,1,0)</f>
        <v>0</v>
      </c>
      <c r="J696" s="4" t="n">
        <v>45743</v>
      </c>
      <c r="K696" s="0" t="s">
        <v>13</v>
      </c>
      <c r="L696" s="0" t="s">
        <v>101</v>
      </c>
      <c r="M696" s="0" t="s">
        <v>226</v>
      </c>
      <c r="N696" s="0" t="s">
        <v>103</v>
      </c>
      <c r="O696" s="0" t="s">
        <v>3207</v>
      </c>
      <c r="Q696" s="0" t="s">
        <v>251</v>
      </c>
      <c r="R696" s="0" t="n">
        <v>2</v>
      </c>
      <c r="S696" s="5" t="n">
        <v>1489</v>
      </c>
      <c r="T696" s="0" t="s">
        <v>2480</v>
      </c>
      <c r="U696" s="0" t="n">
        <v>2</v>
      </c>
      <c r="V696" s="0" t="s">
        <v>230</v>
      </c>
      <c r="W696" s="0" t="s">
        <v>231</v>
      </c>
      <c r="X696" s="0" t="s">
        <v>232</v>
      </c>
      <c r="Y696" s="0" t="s">
        <v>308</v>
      </c>
      <c r="Z696" s="0" t="s">
        <v>2657</v>
      </c>
      <c r="AA696" s="0" t="s">
        <v>235</v>
      </c>
      <c r="AB696" s="32" t="n">
        <v>7000</v>
      </c>
      <c r="AC696" s="32" t="n">
        <v>7000</v>
      </c>
      <c r="AD696" s="26" t="n">
        <f aca="false">IFERROR(AB696/B696,"")</f>
        <v>4.70114170584285</v>
      </c>
      <c r="AE696" s="26" t="n">
        <f aca="false">IFERROR(AC696/B696,"")</f>
        <v>4.70114170584285</v>
      </c>
      <c r="AF696" s="0" t="s">
        <v>421</v>
      </c>
      <c r="AG696" s="0" t="s">
        <v>236</v>
      </c>
      <c r="AH696" s="0" t="s">
        <v>230</v>
      </c>
      <c r="AI696" s="0" t="s">
        <v>2321</v>
      </c>
      <c r="AJ696" s="0" t="s">
        <v>3208</v>
      </c>
      <c r="AK696" s="0" t="s">
        <v>3209</v>
      </c>
      <c r="AL696" s="0" t="s">
        <v>3210</v>
      </c>
      <c r="AM696" s="0" t="s">
        <v>94</v>
      </c>
      <c r="AN696" s="26" t="n">
        <f aca="false">IFERROR(E696*(1+IF(AM696="Apartment",Data_Summary!$C$3,0)),"")</f>
        <v>4.70114170584285</v>
      </c>
      <c r="AO696" s="4" t="n">
        <v>46195</v>
      </c>
    </row>
    <row r="697" customFormat="false" ht="15" hidden="false" customHeight="false" outlineLevel="0" collapsed="false">
      <c r="A697" s="0" t="n">
        <f aca="false">IF(AND(ISNUMBER(B697),B697&gt;0,ISNUMBER(AB697),AB697&gt;0,J697&gt;=Data_Summary!$C$1),1,0)</f>
        <v>1</v>
      </c>
      <c r="B697" s="30" t="n">
        <v>830</v>
      </c>
      <c r="C697" s="5" t="n">
        <f aca="false">IF(ISNUMBER(AB697),AB697,"")</f>
        <v>3800</v>
      </c>
      <c r="D697" s="0" t="n">
        <f aca="false">IF(ISNUMBER(C697),C697-U697*Data_Summary!$C$2,"")</f>
        <v>3650</v>
      </c>
      <c r="E697" s="31" t="n">
        <f aca="false">IFERROR(C697/B697,"")</f>
        <v>4.57831325301205</v>
      </c>
      <c r="F697" s="26" t="n">
        <f aca="false">IFERROR(D697/B697,"")</f>
        <v>4.39759036144578</v>
      </c>
      <c r="G697" s="0" t="str">
        <f aca="false">Q697</f>
        <v>2</v>
      </c>
      <c r="H697" s="0" t="str">
        <f aca="false">IFERROR(LEFT(G697,1),"")</f>
        <v>2</v>
      </c>
      <c r="I697" s="0" t="n">
        <f aca="false">IF(LEN(G697)&gt;1,1,0)</f>
        <v>0</v>
      </c>
      <c r="J697" s="4" t="n">
        <v>45741</v>
      </c>
      <c r="K697" s="0" t="s">
        <v>13</v>
      </c>
      <c r="L697" s="0" t="s">
        <v>101</v>
      </c>
      <c r="M697" s="0" t="s">
        <v>226</v>
      </c>
      <c r="N697" s="0" t="s">
        <v>103</v>
      </c>
      <c r="O697" s="0" t="s">
        <v>3211</v>
      </c>
      <c r="Q697" s="0" t="s">
        <v>251</v>
      </c>
      <c r="R697" s="0" t="n">
        <v>2</v>
      </c>
      <c r="S697" s="5" t="n">
        <v>830</v>
      </c>
      <c r="T697" s="0" t="s">
        <v>229</v>
      </c>
      <c r="U697" s="0" t="n">
        <v>1</v>
      </c>
      <c r="V697" s="0" t="s">
        <v>230</v>
      </c>
      <c r="W697" s="0" t="s">
        <v>231</v>
      </c>
      <c r="X697" s="0" t="s">
        <v>232</v>
      </c>
      <c r="Y697" s="0" t="s">
        <v>308</v>
      </c>
      <c r="Z697" s="0" t="s">
        <v>2657</v>
      </c>
      <c r="AA697" s="0" t="s">
        <v>235</v>
      </c>
      <c r="AB697" s="32" t="n">
        <v>3800</v>
      </c>
      <c r="AC697" s="32" t="n">
        <v>3800</v>
      </c>
      <c r="AD697" s="26" t="n">
        <f aca="false">IFERROR(AB697/B697,"")</f>
        <v>4.57831325301205</v>
      </c>
      <c r="AE697" s="26" t="n">
        <f aca="false">IFERROR(AC697/B697,"")</f>
        <v>4.57831325301205</v>
      </c>
      <c r="AF697" s="0" t="s">
        <v>236</v>
      </c>
      <c r="AG697" s="0" t="s">
        <v>236</v>
      </c>
      <c r="AH697" s="0" t="s">
        <v>236</v>
      </c>
      <c r="AI697" s="0" t="s">
        <v>2325</v>
      </c>
      <c r="AJ697" s="0" t="s">
        <v>3212</v>
      </c>
      <c r="AK697" s="0" t="s">
        <v>3213</v>
      </c>
      <c r="AL697" s="0" t="s">
        <v>3214</v>
      </c>
      <c r="AM697" s="0" t="s">
        <v>94</v>
      </c>
      <c r="AN697" s="26" t="n">
        <f aca="false">IFERROR(E697*(1+IF(AM697="Apartment",Data_Summary!$C$3,0)),"")</f>
        <v>4.57831325301205</v>
      </c>
      <c r="AO697" s="4" t="n">
        <v>46195</v>
      </c>
    </row>
    <row r="698" customFormat="false" ht="15" hidden="false" customHeight="false" outlineLevel="0" collapsed="false">
      <c r="A698" s="0" t="n">
        <f aca="false">IF(AND(ISNUMBER(B698),B698&gt;0,ISNUMBER(AB698),AB698&gt;0,J698&gt;=Data_Summary!$C$1),1,0)</f>
        <v>1</v>
      </c>
      <c r="B698" s="30" t="n">
        <v>625</v>
      </c>
      <c r="C698" s="5" t="n">
        <f aca="false">IF(ISNUMBER(AB698),AB698,"")</f>
        <v>2600</v>
      </c>
      <c r="D698" s="0" t="n">
        <f aca="false">IF(ISNUMBER(C698),C698-U698*Data_Summary!$C$2,"")</f>
        <v>2450</v>
      </c>
      <c r="E698" s="31" t="n">
        <f aca="false">IFERROR(C698/B698,"")</f>
        <v>4.16</v>
      </c>
      <c r="F698" s="26" t="n">
        <f aca="false">IFERROR(D698/B698,"")</f>
        <v>3.92</v>
      </c>
      <c r="G698" s="0" t="str">
        <f aca="false">Q698</f>
        <v>1</v>
      </c>
      <c r="H698" s="0" t="str">
        <f aca="false">IFERROR(LEFT(G698,1),"")</f>
        <v>1</v>
      </c>
      <c r="I698" s="0" t="n">
        <f aca="false">IF(LEN(G698)&gt;1,1,0)</f>
        <v>0</v>
      </c>
      <c r="J698" s="4" t="n">
        <v>45738</v>
      </c>
      <c r="K698" s="0" t="s">
        <v>13</v>
      </c>
      <c r="L698" s="0" t="s">
        <v>101</v>
      </c>
      <c r="M698" s="0" t="s">
        <v>226</v>
      </c>
      <c r="N698" s="0" t="s">
        <v>103</v>
      </c>
      <c r="O698" s="0" t="s">
        <v>2468</v>
      </c>
      <c r="Q698" s="0" t="s">
        <v>242</v>
      </c>
      <c r="R698" s="0" t="n">
        <v>1</v>
      </c>
      <c r="S698" s="5" t="n">
        <v>625</v>
      </c>
      <c r="T698" s="0" t="s">
        <v>271</v>
      </c>
      <c r="U698" s="0" t="n">
        <v>1</v>
      </c>
      <c r="V698" s="0" t="s">
        <v>230</v>
      </c>
      <c r="W698" s="0" t="s">
        <v>231</v>
      </c>
      <c r="X698" s="0" t="s">
        <v>232</v>
      </c>
      <c r="Y698" s="0" t="s">
        <v>297</v>
      </c>
      <c r="Z698" s="0" t="s">
        <v>2657</v>
      </c>
      <c r="AA698" s="0" t="s">
        <v>235</v>
      </c>
      <c r="AB698" s="32" t="n">
        <v>2600</v>
      </c>
      <c r="AC698" s="32" t="n">
        <v>2600</v>
      </c>
      <c r="AD698" s="26" t="n">
        <f aca="false">IFERROR(AB698/B698,"")</f>
        <v>4.16</v>
      </c>
      <c r="AE698" s="26" t="n">
        <f aca="false">IFERROR(AC698/B698,"")</f>
        <v>4.16</v>
      </c>
      <c r="AF698" s="0" t="s">
        <v>236</v>
      </c>
      <c r="AG698" s="0" t="s">
        <v>236</v>
      </c>
      <c r="AH698" s="0" t="s">
        <v>236</v>
      </c>
      <c r="AI698" s="0" t="s">
        <v>3215</v>
      </c>
      <c r="AJ698" s="0" t="s">
        <v>3216</v>
      </c>
      <c r="AK698" s="0" t="s">
        <v>3217</v>
      </c>
      <c r="AL698" s="0" t="s">
        <v>3218</v>
      </c>
      <c r="AM698" s="0" t="s">
        <v>94</v>
      </c>
      <c r="AN698" s="26" t="n">
        <f aca="false">IFERROR(E698*(1+IF(AM698="Apartment",Data_Summary!$C$3,0)),"")</f>
        <v>4.16</v>
      </c>
      <c r="AO698" s="4" t="n">
        <v>46195</v>
      </c>
    </row>
    <row r="699" customFormat="false" ht="15" hidden="false" customHeight="false" outlineLevel="0" collapsed="false">
      <c r="A699" s="0" t="n">
        <f aca="false">IF(AND(ISNUMBER(B699),B699&gt;0,ISNUMBER(AB699),AB699&gt;0,J699&gt;=Data_Summary!$C$1),1,0)</f>
        <v>1</v>
      </c>
      <c r="B699" s="33" t="n">
        <v>575</v>
      </c>
      <c r="C699" s="5" t="n">
        <f aca="false">IF(ISNUMBER(AB699),AB699,"")</f>
        <v>2500</v>
      </c>
      <c r="D699" s="0" t="n">
        <f aca="false">IF(ISNUMBER(C699),C699-U699*Data_Summary!$C$2,"")</f>
        <v>2500</v>
      </c>
      <c r="E699" s="34" t="n">
        <f aca="false">IFERROR(C699/B699,"")</f>
        <v>4.34782608695652</v>
      </c>
      <c r="F699" s="26" t="n">
        <f aca="false">IFERROR(D699/B699,"")</f>
        <v>4.34782608695652</v>
      </c>
      <c r="G699" s="0" t="str">
        <f aca="false">Q699</f>
        <v>1</v>
      </c>
      <c r="H699" s="0" t="str">
        <f aca="false">IFERROR(LEFT(G699,1),"")</f>
        <v>1</v>
      </c>
      <c r="I699" s="0" t="n">
        <f aca="false">IF(LEN(G699)&gt;1,1,0)</f>
        <v>0</v>
      </c>
      <c r="J699" s="4" t="n">
        <v>45737</v>
      </c>
      <c r="K699" s="0" t="s">
        <v>13</v>
      </c>
      <c r="L699" s="0" t="s">
        <v>101</v>
      </c>
      <c r="M699" s="0" t="s">
        <v>226</v>
      </c>
      <c r="N699" s="0" t="s">
        <v>103</v>
      </c>
      <c r="O699" s="0" t="s">
        <v>3219</v>
      </c>
      <c r="Q699" s="0" t="s">
        <v>242</v>
      </c>
      <c r="R699" s="0" t="n">
        <v>1</v>
      </c>
      <c r="S699" s="5" t="n">
        <v>575</v>
      </c>
      <c r="T699" s="0" t="s">
        <v>243</v>
      </c>
      <c r="U699" s="0" t="n">
        <v>0</v>
      </c>
      <c r="V699" s="0" t="s">
        <v>230</v>
      </c>
      <c r="W699" s="0" t="s">
        <v>244</v>
      </c>
      <c r="Y699" s="0" t="s">
        <v>278</v>
      </c>
      <c r="Z699" s="0" t="s">
        <v>2657</v>
      </c>
      <c r="AA699" s="0" t="s">
        <v>235</v>
      </c>
      <c r="AB699" s="32" t="n">
        <v>2500</v>
      </c>
      <c r="AC699" s="32" t="n">
        <v>2500</v>
      </c>
      <c r="AD699" s="26" t="n">
        <f aca="false">IFERROR(AB699/B699,"")</f>
        <v>4.34782608695652</v>
      </c>
      <c r="AE699" s="26" t="n">
        <f aca="false">IFERROR(AC699/B699,"")</f>
        <v>4.34782608695652</v>
      </c>
      <c r="AF699" s="0" t="s">
        <v>230</v>
      </c>
      <c r="AG699" s="0" t="s">
        <v>236</v>
      </c>
      <c r="AH699" s="0" t="s">
        <v>236</v>
      </c>
      <c r="AI699" s="0" t="s">
        <v>3220</v>
      </c>
      <c r="AJ699" s="0" t="s">
        <v>3221</v>
      </c>
      <c r="AK699" s="0" t="s">
        <v>3222</v>
      </c>
      <c r="AL699" s="0" t="s">
        <v>3223</v>
      </c>
      <c r="AM699" s="0" t="s">
        <v>94</v>
      </c>
      <c r="AN699" s="26" t="n">
        <f aca="false">IFERROR(E699*(1+IF(AM699="Apartment",Data_Summary!$C$3,0)),"")</f>
        <v>4.34782608695652</v>
      </c>
      <c r="AO699" s="4" t="n">
        <v>46195</v>
      </c>
    </row>
    <row r="700" customFormat="false" ht="15" hidden="false" customHeight="false" outlineLevel="0" collapsed="false">
      <c r="A700" s="0" t="n">
        <f aca="false">IF(AND(ISNUMBER(B700),B700&gt;0,ISNUMBER(AB700),AB700&gt;0,J700&gt;=Data_Summary!$C$1),1,0)</f>
        <v>1</v>
      </c>
      <c r="B700" s="30" t="n">
        <v>602</v>
      </c>
      <c r="C700" s="5" t="n">
        <f aca="false">IF(ISNUMBER(AB700),AB700,"")</f>
        <v>2375</v>
      </c>
      <c r="D700" s="0" t="n">
        <f aca="false">IF(ISNUMBER(C700),C700-U700*Data_Summary!$C$2,"")</f>
        <v>2375</v>
      </c>
      <c r="E700" s="31" t="n">
        <f aca="false">IFERROR(C700/B700,"")</f>
        <v>3.94518272425249</v>
      </c>
      <c r="F700" s="26" t="n">
        <f aca="false">IFERROR(D700/B700,"")</f>
        <v>3.94518272425249</v>
      </c>
      <c r="G700" s="0" t="str">
        <f aca="false">Q700</f>
        <v>1</v>
      </c>
      <c r="H700" s="0" t="str">
        <f aca="false">IFERROR(LEFT(G700,1),"")</f>
        <v>1</v>
      </c>
      <c r="I700" s="0" t="n">
        <f aca="false">IF(LEN(G700)&gt;1,1,0)</f>
        <v>0</v>
      </c>
      <c r="J700" s="4" t="n">
        <v>45735</v>
      </c>
      <c r="K700" s="0" t="s">
        <v>13</v>
      </c>
      <c r="L700" s="0" t="s">
        <v>101</v>
      </c>
      <c r="M700" s="0" t="s">
        <v>226</v>
      </c>
      <c r="N700" s="0" t="s">
        <v>103</v>
      </c>
      <c r="O700" s="0" t="s">
        <v>3224</v>
      </c>
      <c r="Q700" s="0" t="s">
        <v>242</v>
      </c>
      <c r="R700" s="0" t="n">
        <v>1</v>
      </c>
      <c r="S700" s="5" t="n">
        <v>602</v>
      </c>
      <c r="T700" s="0" t="s">
        <v>271</v>
      </c>
      <c r="U700" s="0" t="n">
        <v>0</v>
      </c>
      <c r="V700" s="0" t="s">
        <v>230</v>
      </c>
      <c r="W700" s="0" t="s">
        <v>244</v>
      </c>
      <c r="Y700" s="0" t="s">
        <v>278</v>
      </c>
      <c r="Z700" s="0" t="s">
        <v>2657</v>
      </c>
      <c r="AA700" s="0" t="s">
        <v>235</v>
      </c>
      <c r="AB700" s="32" t="n">
        <v>2375</v>
      </c>
      <c r="AC700" s="32" t="n">
        <v>2350</v>
      </c>
      <c r="AD700" s="26" t="n">
        <f aca="false">IFERROR(AB700/B700,"")</f>
        <v>3.94518272425249</v>
      </c>
      <c r="AE700" s="26" t="n">
        <f aca="false">IFERROR(AC700/B700,"")</f>
        <v>3.90365448504983</v>
      </c>
      <c r="AF700" s="0" t="s">
        <v>236</v>
      </c>
      <c r="AG700" s="0" t="s">
        <v>236</v>
      </c>
      <c r="AH700" s="0" t="s">
        <v>236</v>
      </c>
      <c r="AI700" s="0" t="s">
        <v>2334</v>
      </c>
      <c r="AJ700" s="0" t="s">
        <v>3225</v>
      </c>
      <c r="AK700" s="0" t="s">
        <v>3226</v>
      </c>
      <c r="AL700" s="0" t="s">
        <v>3227</v>
      </c>
      <c r="AM700" s="0" t="s">
        <v>94</v>
      </c>
      <c r="AN700" s="26" t="n">
        <f aca="false">IFERROR(E700*(1+IF(AM700="Apartment",Data_Summary!$C$3,0)),"")</f>
        <v>3.94518272425249</v>
      </c>
      <c r="AO700" s="4" t="n">
        <v>46195</v>
      </c>
    </row>
    <row r="701" customFormat="false" ht="15" hidden="false" customHeight="false" outlineLevel="0" collapsed="false">
      <c r="A701" s="0" t="n">
        <f aca="false">IF(AND(ISNUMBER(B701),B701&gt;0,ISNUMBER(AB701),AB701&gt;0,J701&gt;=Data_Summary!$C$1),1,0)</f>
        <v>1</v>
      </c>
      <c r="B701" s="33" t="n">
        <v>586</v>
      </c>
      <c r="C701" s="5" t="n">
        <f aca="false">IF(ISNUMBER(AB701),AB701,"")</f>
        <v>2450</v>
      </c>
      <c r="D701" s="0" t="n">
        <f aca="false">IF(ISNUMBER(C701),C701-U701*Data_Summary!$C$2,"")</f>
        <v>2450</v>
      </c>
      <c r="E701" s="34" t="n">
        <f aca="false">IFERROR(C701/B701,"")</f>
        <v>4.18088737201365</v>
      </c>
      <c r="F701" s="26" t="n">
        <f aca="false">IFERROR(D701/B701,"")</f>
        <v>4.18088737201365</v>
      </c>
      <c r="G701" s="0" t="str">
        <f aca="false">Q701</f>
        <v>1</v>
      </c>
      <c r="H701" s="0" t="str">
        <f aca="false">IFERROR(LEFT(G701,1),"")</f>
        <v>1</v>
      </c>
      <c r="I701" s="0" t="n">
        <f aca="false">IF(LEN(G701)&gt;1,1,0)</f>
        <v>0</v>
      </c>
      <c r="J701" s="4" t="n">
        <v>45733</v>
      </c>
      <c r="K701" s="0" t="s">
        <v>13</v>
      </c>
      <c r="L701" s="0" t="s">
        <v>101</v>
      </c>
      <c r="M701" s="0" t="s">
        <v>226</v>
      </c>
      <c r="N701" s="0" t="s">
        <v>103</v>
      </c>
      <c r="O701" s="0" t="s">
        <v>1949</v>
      </c>
      <c r="Q701" s="0" t="s">
        <v>242</v>
      </c>
      <c r="R701" s="0" t="n">
        <v>1</v>
      </c>
      <c r="S701" s="5" t="n">
        <v>586</v>
      </c>
      <c r="T701" s="0" t="s">
        <v>3228</v>
      </c>
      <c r="U701" s="0" t="n">
        <v>0</v>
      </c>
      <c r="V701" s="0" t="s">
        <v>236</v>
      </c>
      <c r="Z701" s="0" t="s">
        <v>2657</v>
      </c>
      <c r="AA701" s="0" t="s">
        <v>235</v>
      </c>
      <c r="AB701" s="32" t="n">
        <v>2450</v>
      </c>
      <c r="AC701" s="32" t="n">
        <v>2450</v>
      </c>
      <c r="AD701" s="26" t="n">
        <f aca="false">IFERROR(AB701/B701,"")</f>
        <v>4.18088737201365</v>
      </c>
      <c r="AE701" s="26" t="n">
        <f aca="false">IFERROR(AC701/B701,"")</f>
        <v>4.18088737201365</v>
      </c>
      <c r="AF701" s="0" t="s">
        <v>230</v>
      </c>
      <c r="AG701" s="0" t="s">
        <v>236</v>
      </c>
      <c r="AH701" s="0" t="s">
        <v>236</v>
      </c>
      <c r="AI701" s="0" t="s">
        <v>3229</v>
      </c>
      <c r="AJ701" s="0" t="s">
        <v>3230</v>
      </c>
      <c r="AK701" s="0" t="s">
        <v>3231</v>
      </c>
      <c r="AL701" s="0" t="s">
        <v>3232</v>
      </c>
      <c r="AM701" s="0" t="s">
        <v>94</v>
      </c>
      <c r="AN701" s="26" t="n">
        <f aca="false">IFERROR(E701*(1+IF(AM701="Apartment",Data_Summary!$C$3,0)),"")</f>
        <v>4.18088737201365</v>
      </c>
      <c r="AO701" s="4" t="n">
        <v>46195</v>
      </c>
    </row>
    <row r="702" customFormat="false" ht="15" hidden="false" customHeight="false" outlineLevel="0" collapsed="false">
      <c r="A702" s="0" t="n">
        <f aca="false">IF(AND(ISNUMBER(B702),B702&gt;0,ISNUMBER(AB702),AB702&gt;0,J702&gt;=Data_Summary!$C$1),1,0)</f>
        <v>1</v>
      </c>
      <c r="B702" s="30" t="n">
        <v>791</v>
      </c>
      <c r="C702" s="5" t="n">
        <f aca="false">IF(ISNUMBER(AB702),AB702,"")</f>
        <v>3100</v>
      </c>
      <c r="D702" s="0" t="n">
        <f aca="false">IF(ISNUMBER(C702),C702-U702*Data_Summary!$C$2,"")</f>
        <v>2950</v>
      </c>
      <c r="E702" s="31" t="n">
        <f aca="false">IFERROR(C702/B702,"")</f>
        <v>3.91908975979772</v>
      </c>
      <c r="F702" s="26" t="n">
        <f aca="false">IFERROR(D702/B702,"")</f>
        <v>3.72945638432364</v>
      </c>
      <c r="G702" s="0" t="str">
        <f aca="false">Q702</f>
        <v>2</v>
      </c>
      <c r="H702" s="0" t="str">
        <f aca="false">IFERROR(LEFT(G702,1),"")</f>
        <v>2</v>
      </c>
      <c r="I702" s="0" t="n">
        <f aca="false">IF(LEN(G702)&gt;1,1,0)</f>
        <v>0</v>
      </c>
      <c r="J702" s="4" t="n">
        <v>45730</v>
      </c>
      <c r="K702" s="0" t="s">
        <v>13</v>
      </c>
      <c r="L702" s="0" t="s">
        <v>101</v>
      </c>
      <c r="M702" s="0" t="s">
        <v>226</v>
      </c>
      <c r="N702" s="0" t="s">
        <v>103</v>
      </c>
      <c r="O702" s="0" t="s">
        <v>3233</v>
      </c>
      <c r="Q702" s="0" t="s">
        <v>251</v>
      </c>
      <c r="R702" s="0" t="n">
        <v>2</v>
      </c>
      <c r="S702" s="5" t="n">
        <v>791</v>
      </c>
      <c r="T702" s="0" t="s">
        <v>252</v>
      </c>
      <c r="U702" s="0" t="n">
        <v>1</v>
      </c>
      <c r="V702" s="0" t="s">
        <v>230</v>
      </c>
      <c r="W702" s="0" t="s">
        <v>231</v>
      </c>
      <c r="Y702" s="0" t="s">
        <v>278</v>
      </c>
      <c r="Z702" s="0" t="s">
        <v>2657</v>
      </c>
      <c r="AA702" s="0" t="s">
        <v>235</v>
      </c>
      <c r="AB702" s="32" t="n">
        <v>3100</v>
      </c>
      <c r="AC702" s="32" t="n">
        <v>3300</v>
      </c>
      <c r="AD702" s="26" t="n">
        <f aca="false">IFERROR(AB702/B702,"")</f>
        <v>3.91908975979772</v>
      </c>
      <c r="AE702" s="26" t="n">
        <f aca="false">IFERROR(AC702/B702,"")</f>
        <v>4.17193426042984</v>
      </c>
      <c r="AF702" s="0" t="s">
        <v>236</v>
      </c>
      <c r="AG702" s="0" t="s">
        <v>236</v>
      </c>
      <c r="AH702" s="0" t="s">
        <v>236</v>
      </c>
      <c r="AI702" s="0" t="s">
        <v>3234</v>
      </c>
      <c r="AJ702" s="0" t="s">
        <v>3235</v>
      </c>
      <c r="AK702" s="0" t="s">
        <v>3236</v>
      </c>
      <c r="AL702" s="0" t="s">
        <v>3237</v>
      </c>
      <c r="AM702" s="0" t="s">
        <v>94</v>
      </c>
      <c r="AN702" s="26" t="n">
        <f aca="false">IFERROR(E702*(1+IF(AM702="Apartment",Data_Summary!$C$3,0)),"")</f>
        <v>3.91908975979772</v>
      </c>
      <c r="AO702" s="4" t="n">
        <v>46195</v>
      </c>
    </row>
    <row r="703" customFormat="false" ht="15" hidden="false" customHeight="false" outlineLevel="0" collapsed="false">
      <c r="A703" s="0" t="n">
        <f aca="false">IF(AND(ISNUMBER(B703),B703&gt;0,ISNUMBER(AB703),AB703&gt;0,J703&gt;=Data_Summary!$C$1),1,0)</f>
        <v>1</v>
      </c>
      <c r="B703" s="30" t="n">
        <v>649</v>
      </c>
      <c r="C703" s="5" t="n">
        <f aca="false">IF(ISNUMBER(AB703),AB703,"")</f>
        <v>2350</v>
      </c>
      <c r="D703" s="0" t="n">
        <f aca="false">IF(ISNUMBER(C703),C703-U703*Data_Summary!$C$2,"")</f>
        <v>2350</v>
      </c>
      <c r="E703" s="31" t="n">
        <f aca="false">IFERROR(C703/B703,"")</f>
        <v>3.62095531587057</v>
      </c>
      <c r="F703" s="26" t="n">
        <f aca="false">IFERROR(D703/B703,"")</f>
        <v>3.62095531587057</v>
      </c>
      <c r="G703" s="0" t="str">
        <f aca="false">Q703</f>
        <v>1+1</v>
      </c>
      <c r="H703" s="0" t="str">
        <f aca="false">IFERROR(LEFT(G703,1),"")</f>
        <v>1</v>
      </c>
      <c r="I703" s="0" t="n">
        <f aca="false">IF(LEN(G703)&gt;1,1,0)</f>
        <v>1</v>
      </c>
      <c r="J703" s="4" t="n">
        <v>45724</v>
      </c>
      <c r="K703" s="0" t="s">
        <v>13</v>
      </c>
      <c r="L703" s="0" t="s">
        <v>101</v>
      </c>
      <c r="M703" s="0" t="s">
        <v>226</v>
      </c>
      <c r="N703" s="0" t="s">
        <v>103</v>
      </c>
      <c r="O703" s="0" t="s">
        <v>3238</v>
      </c>
      <c r="Q703" s="0" t="s">
        <v>270</v>
      </c>
      <c r="R703" s="0" t="n">
        <v>1</v>
      </c>
      <c r="S703" s="5" t="n">
        <v>649</v>
      </c>
      <c r="T703" s="0" t="s">
        <v>271</v>
      </c>
      <c r="U703" s="0" t="n">
        <v>0</v>
      </c>
      <c r="V703" s="0" t="s">
        <v>230</v>
      </c>
      <c r="W703" s="0" t="s">
        <v>244</v>
      </c>
      <c r="Y703" s="0" t="s">
        <v>260</v>
      </c>
      <c r="Z703" s="0" t="s">
        <v>2657</v>
      </c>
      <c r="AA703" s="0" t="s">
        <v>235</v>
      </c>
      <c r="AB703" s="32" t="n">
        <v>2350</v>
      </c>
      <c r="AC703" s="32" t="n">
        <v>2350</v>
      </c>
      <c r="AD703" s="26" t="n">
        <f aca="false">IFERROR(AB703/B703,"")</f>
        <v>3.62095531587057</v>
      </c>
      <c r="AE703" s="26" t="n">
        <f aca="false">IFERROR(AC703/B703,"")</f>
        <v>3.62095531587057</v>
      </c>
      <c r="AF703" s="0" t="s">
        <v>236</v>
      </c>
      <c r="AG703" s="0" t="s">
        <v>236</v>
      </c>
      <c r="AH703" s="0" t="s">
        <v>236</v>
      </c>
      <c r="AI703" s="0" t="s">
        <v>3239</v>
      </c>
      <c r="AJ703" s="0" t="s">
        <v>3240</v>
      </c>
      <c r="AK703" s="0" t="s">
        <v>3241</v>
      </c>
      <c r="AL703" s="0" t="s">
        <v>3242</v>
      </c>
      <c r="AM703" s="0" t="s">
        <v>94</v>
      </c>
      <c r="AN703" s="26" t="n">
        <f aca="false">IFERROR(E703*(1+IF(AM703="Apartment",Data_Summary!$C$3,0)),"")</f>
        <v>3.62095531587057</v>
      </c>
      <c r="AO703" s="4" t="n">
        <v>46195</v>
      </c>
    </row>
    <row r="704" customFormat="false" ht="15" hidden="false" customHeight="false" outlineLevel="0" collapsed="false">
      <c r="A704" s="0" t="n">
        <f aca="false">IF(AND(ISNUMBER(B704),B704&gt;0,ISNUMBER(AB704),AB704&gt;0,J704&gt;=Data_Summary!$C$1),1,0)</f>
        <v>1</v>
      </c>
      <c r="B704" s="30" t="n">
        <v>575</v>
      </c>
      <c r="C704" s="5" t="n">
        <f aca="false">IF(ISNUMBER(AB704),AB704,"")</f>
        <v>2350</v>
      </c>
      <c r="D704" s="0" t="n">
        <f aca="false">IF(ISNUMBER(C704),C704-U704*Data_Summary!$C$2,"")</f>
        <v>2350</v>
      </c>
      <c r="E704" s="31" t="n">
        <f aca="false">IFERROR(C704/B704,"")</f>
        <v>4.08695652173913</v>
      </c>
      <c r="F704" s="26" t="n">
        <f aca="false">IFERROR(D704/B704,"")</f>
        <v>4.08695652173913</v>
      </c>
      <c r="G704" s="0" t="str">
        <f aca="false">Q704</f>
        <v>1</v>
      </c>
      <c r="H704" s="0" t="str">
        <f aca="false">IFERROR(LEFT(G704,1),"")</f>
        <v>1</v>
      </c>
      <c r="I704" s="0" t="n">
        <f aca="false">IF(LEN(G704)&gt;1,1,0)</f>
        <v>0</v>
      </c>
      <c r="J704" s="4" t="n">
        <v>45723</v>
      </c>
      <c r="K704" s="0" t="s">
        <v>13</v>
      </c>
      <c r="L704" s="0" t="s">
        <v>101</v>
      </c>
      <c r="M704" s="0" t="s">
        <v>226</v>
      </c>
      <c r="N704" s="0" t="s">
        <v>103</v>
      </c>
      <c r="O704" s="0" t="s">
        <v>945</v>
      </c>
      <c r="Q704" s="0" t="s">
        <v>242</v>
      </c>
      <c r="R704" s="0" t="n">
        <v>1</v>
      </c>
      <c r="S704" s="5" t="n">
        <v>575</v>
      </c>
      <c r="T704" s="0" t="s">
        <v>243</v>
      </c>
      <c r="U704" s="0" t="n">
        <v>0</v>
      </c>
      <c r="V704" s="0" t="s">
        <v>230</v>
      </c>
      <c r="W704" s="0" t="s">
        <v>244</v>
      </c>
      <c r="Y704" s="0" t="s">
        <v>278</v>
      </c>
      <c r="Z704" s="0" t="s">
        <v>2657</v>
      </c>
      <c r="AA704" s="0" t="s">
        <v>235</v>
      </c>
      <c r="AB704" s="32" t="n">
        <v>2350</v>
      </c>
      <c r="AC704" s="32" t="n">
        <v>2500</v>
      </c>
      <c r="AD704" s="26" t="n">
        <f aca="false">IFERROR(AB704/B704,"")</f>
        <v>4.08695652173913</v>
      </c>
      <c r="AE704" s="26" t="n">
        <f aca="false">IFERROR(AC704/B704,"")</f>
        <v>4.34782608695652</v>
      </c>
      <c r="AF704" s="0" t="s">
        <v>236</v>
      </c>
      <c r="AG704" s="0" t="s">
        <v>236</v>
      </c>
      <c r="AH704" s="0" t="s">
        <v>230</v>
      </c>
      <c r="AI704" s="0" t="s">
        <v>3243</v>
      </c>
      <c r="AJ704" s="0" t="s">
        <v>3244</v>
      </c>
      <c r="AK704" s="0" t="s">
        <v>3245</v>
      </c>
      <c r="AL704" s="0" t="s">
        <v>3246</v>
      </c>
      <c r="AM704" s="0" t="s">
        <v>94</v>
      </c>
      <c r="AN704" s="26" t="n">
        <f aca="false">IFERROR(E704*(1+IF(AM704="Apartment",Data_Summary!$C$3,0)),"")</f>
        <v>4.08695652173913</v>
      </c>
      <c r="AO704" s="4" t="n">
        <v>46195</v>
      </c>
    </row>
    <row r="705" customFormat="false" ht="15" hidden="false" customHeight="false" outlineLevel="0" collapsed="false">
      <c r="A705" s="0" t="n">
        <f aca="false">IF(AND(ISNUMBER(B705),B705&gt;0,ISNUMBER(AB705),AB705&gt;0,J705&gt;=Data_Summary!$C$1),1,0)</f>
        <v>1</v>
      </c>
      <c r="B705" s="30" t="n">
        <v>830</v>
      </c>
      <c r="C705" s="5" t="n">
        <f aca="false">IF(ISNUMBER(AB705),AB705,"")</f>
        <v>3400</v>
      </c>
      <c r="D705" s="0" t="n">
        <f aca="false">IF(ISNUMBER(C705),C705-U705*Data_Summary!$C$2,"")</f>
        <v>3250</v>
      </c>
      <c r="E705" s="31" t="n">
        <f aca="false">IFERROR(C705/B705,"")</f>
        <v>4.09638554216868</v>
      </c>
      <c r="F705" s="26" t="n">
        <f aca="false">IFERROR(D705/B705,"")</f>
        <v>3.91566265060241</v>
      </c>
      <c r="G705" s="0" t="str">
        <f aca="false">Q705</f>
        <v>2</v>
      </c>
      <c r="H705" s="0" t="str">
        <f aca="false">IFERROR(LEFT(G705,1),"")</f>
        <v>2</v>
      </c>
      <c r="I705" s="0" t="n">
        <f aca="false">IF(LEN(G705)&gt;1,1,0)</f>
        <v>0</v>
      </c>
      <c r="J705" s="4" t="n">
        <v>45722</v>
      </c>
      <c r="K705" s="0" t="s">
        <v>13</v>
      </c>
      <c r="L705" s="0" t="s">
        <v>101</v>
      </c>
      <c r="M705" s="0" t="s">
        <v>226</v>
      </c>
      <c r="N705" s="0" t="s">
        <v>103</v>
      </c>
      <c r="O705" s="0" t="s">
        <v>415</v>
      </c>
      <c r="Q705" s="0" t="s">
        <v>251</v>
      </c>
      <c r="R705" s="0" t="n">
        <v>2</v>
      </c>
      <c r="S705" s="5" t="n">
        <v>830</v>
      </c>
      <c r="T705" s="0" t="s">
        <v>229</v>
      </c>
      <c r="U705" s="0" t="n">
        <v>1</v>
      </c>
      <c r="V705" s="0" t="s">
        <v>230</v>
      </c>
      <c r="W705" s="0" t="s">
        <v>231</v>
      </c>
      <c r="X705" s="0" t="s">
        <v>232</v>
      </c>
      <c r="Y705" s="0" t="s">
        <v>260</v>
      </c>
      <c r="Z705" s="0" t="s">
        <v>2657</v>
      </c>
      <c r="AA705" s="0" t="s">
        <v>235</v>
      </c>
      <c r="AB705" s="32" t="n">
        <v>3400</v>
      </c>
      <c r="AC705" s="32" t="n">
        <v>3400</v>
      </c>
      <c r="AD705" s="26" t="n">
        <f aca="false">IFERROR(AB705/B705,"")</f>
        <v>4.09638554216868</v>
      </c>
      <c r="AE705" s="26" t="n">
        <f aca="false">IFERROR(AC705/B705,"")</f>
        <v>4.09638554216868</v>
      </c>
      <c r="AF705" s="0" t="s">
        <v>236</v>
      </c>
      <c r="AG705" s="0" t="s">
        <v>236</v>
      </c>
      <c r="AH705" s="0" t="s">
        <v>236</v>
      </c>
      <c r="AI705" s="0" t="s">
        <v>3247</v>
      </c>
      <c r="AJ705" s="0" t="s">
        <v>3248</v>
      </c>
      <c r="AK705" s="0" t="s">
        <v>3249</v>
      </c>
      <c r="AL705" s="0" t="s">
        <v>3250</v>
      </c>
      <c r="AM705" s="0" t="s">
        <v>94</v>
      </c>
      <c r="AN705" s="26" t="n">
        <f aca="false">IFERROR(E705*(1+IF(AM705="Apartment",Data_Summary!$C$3,0)),"")</f>
        <v>4.09638554216868</v>
      </c>
      <c r="AO705" s="4" t="n">
        <v>46195</v>
      </c>
    </row>
    <row r="706" customFormat="false" ht="15" hidden="false" customHeight="false" outlineLevel="0" collapsed="false">
      <c r="A706" s="0" t="n">
        <f aca="false">IF(AND(ISNUMBER(B706),B706&gt;0,ISNUMBER(AB706),AB706&gt;0,J706&gt;=Data_Summary!$C$1),1,0)</f>
        <v>1</v>
      </c>
      <c r="B706" s="33" t="n">
        <v>564</v>
      </c>
      <c r="C706" s="5" t="n">
        <f aca="false">IF(ISNUMBER(AB706),AB706,"")</f>
        <v>2350</v>
      </c>
      <c r="D706" s="0" t="n">
        <f aca="false">IF(ISNUMBER(C706),C706-U706*Data_Summary!$C$2,"")</f>
        <v>2350</v>
      </c>
      <c r="E706" s="34" t="n">
        <f aca="false">IFERROR(C706/B706,"")</f>
        <v>4.16666666666667</v>
      </c>
      <c r="F706" s="26" t="n">
        <f aca="false">IFERROR(D706/B706,"")</f>
        <v>4.16666666666667</v>
      </c>
      <c r="G706" s="0" t="str">
        <f aca="false">Q706</f>
        <v>1</v>
      </c>
      <c r="H706" s="0" t="str">
        <f aca="false">IFERROR(LEFT(G706,1),"")</f>
        <v>1</v>
      </c>
      <c r="I706" s="0" t="n">
        <f aca="false">IF(LEN(G706)&gt;1,1,0)</f>
        <v>0</v>
      </c>
      <c r="J706" s="4" t="n">
        <v>45714</v>
      </c>
      <c r="K706" s="0" t="s">
        <v>13</v>
      </c>
      <c r="L706" s="0" t="s">
        <v>101</v>
      </c>
      <c r="M706" s="0" t="s">
        <v>226</v>
      </c>
      <c r="N706" s="0" t="s">
        <v>103</v>
      </c>
      <c r="O706" s="0" t="s">
        <v>3251</v>
      </c>
      <c r="Q706" s="0" t="s">
        <v>242</v>
      </c>
      <c r="R706" s="0" t="n">
        <v>1</v>
      </c>
      <c r="S706" s="5" t="n">
        <v>564</v>
      </c>
      <c r="T706" s="0" t="s">
        <v>243</v>
      </c>
      <c r="U706" s="0" t="n">
        <v>0</v>
      </c>
      <c r="V706" s="0" t="s">
        <v>230</v>
      </c>
      <c r="W706" s="0" t="s">
        <v>244</v>
      </c>
      <c r="Y706" s="0" t="s">
        <v>253</v>
      </c>
      <c r="Z706" s="0" t="s">
        <v>2657</v>
      </c>
      <c r="AA706" s="0" t="s">
        <v>235</v>
      </c>
      <c r="AB706" s="32" t="n">
        <v>2350</v>
      </c>
      <c r="AC706" s="32" t="n">
        <v>2400</v>
      </c>
      <c r="AD706" s="26" t="n">
        <f aca="false">IFERROR(AB706/B706,"")</f>
        <v>4.16666666666667</v>
      </c>
      <c r="AE706" s="26" t="n">
        <f aca="false">IFERROR(AC706/B706,"")</f>
        <v>4.25531914893617</v>
      </c>
      <c r="AF706" s="0" t="s">
        <v>230</v>
      </c>
      <c r="AG706" s="0" t="s">
        <v>236</v>
      </c>
      <c r="AH706" s="0" t="s">
        <v>236</v>
      </c>
      <c r="AI706" s="0" t="s">
        <v>3252</v>
      </c>
      <c r="AJ706" s="0" t="s">
        <v>3253</v>
      </c>
      <c r="AK706" s="0" t="s">
        <v>3254</v>
      </c>
      <c r="AL706" s="0" t="s">
        <v>3255</v>
      </c>
      <c r="AM706" s="0" t="s">
        <v>94</v>
      </c>
      <c r="AN706" s="26" t="n">
        <f aca="false">IFERROR(E706*(1+IF(AM706="Apartment",Data_Summary!$C$3,0)),"")</f>
        <v>4.16666666666667</v>
      </c>
      <c r="AO706" s="4" t="n">
        <v>46195</v>
      </c>
    </row>
    <row r="707" customFormat="false" ht="15" hidden="false" customHeight="false" outlineLevel="0" collapsed="false">
      <c r="A707" s="0" t="n">
        <f aca="false">IF(AND(ISNUMBER(B707),B707&gt;0,ISNUMBER(AB707),AB707&gt;0,J707&gt;=Data_Summary!$C$1),1,0)</f>
        <v>1</v>
      </c>
      <c r="B707" s="30" t="n">
        <v>564</v>
      </c>
      <c r="C707" s="5" t="n">
        <f aca="false">IF(ISNUMBER(AB707),AB707,"")</f>
        <v>2150</v>
      </c>
      <c r="D707" s="0" t="n">
        <f aca="false">IF(ISNUMBER(C707),C707-U707*Data_Summary!$C$2,"")</f>
        <v>2150</v>
      </c>
      <c r="E707" s="31" t="n">
        <f aca="false">IFERROR(C707/B707,"")</f>
        <v>3.81205673758865</v>
      </c>
      <c r="F707" s="26" t="n">
        <f aca="false">IFERROR(D707/B707,"")</f>
        <v>3.81205673758865</v>
      </c>
      <c r="G707" s="0" t="str">
        <f aca="false">Q707</f>
        <v>1</v>
      </c>
      <c r="H707" s="0" t="str">
        <f aca="false">IFERROR(LEFT(G707,1),"")</f>
        <v>1</v>
      </c>
      <c r="I707" s="0" t="n">
        <f aca="false">IF(LEN(G707)&gt;1,1,0)</f>
        <v>0</v>
      </c>
      <c r="J707" s="4" t="n">
        <v>45707</v>
      </c>
      <c r="K707" s="0" t="s">
        <v>13</v>
      </c>
      <c r="L707" s="0" t="s">
        <v>101</v>
      </c>
      <c r="M707" s="0" t="s">
        <v>226</v>
      </c>
      <c r="N707" s="0" t="s">
        <v>103</v>
      </c>
      <c r="O707" s="0" t="s">
        <v>617</v>
      </c>
      <c r="Q707" s="0" t="s">
        <v>242</v>
      </c>
      <c r="R707" s="0" t="n">
        <v>1</v>
      </c>
      <c r="S707" s="5" t="n">
        <v>564</v>
      </c>
      <c r="T707" s="0" t="s">
        <v>243</v>
      </c>
      <c r="U707" s="0" t="n">
        <v>0</v>
      </c>
      <c r="V707" s="0" t="s">
        <v>230</v>
      </c>
      <c r="W707" s="0" t="s">
        <v>244</v>
      </c>
      <c r="Y707" s="0" t="s">
        <v>278</v>
      </c>
      <c r="Z707" s="0" t="s">
        <v>2657</v>
      </c>
      <c r="AA707" s="0" t="s">
        <v>235</v>
      </c>
      <c r="AB707" s="32" t="n">
        <v>2150</v>
      </c>
      <c r="AC707" s="32" t="n">
        <v>2150</v>
      </c>
      <c r="AD707" s="26" t="n">
        <f aca="false">IFERROR(AB707/B707,"")</f>
        <v>3.81205673758865</v>
      </c>
      <c r="AE707" s="26" t="n">
        <f aca="false">IFERROR(AC707/B707,"")</f>
        <v>3.81205673758865</v>
      </c>
      <c r="AF707" s="0" t="s">
        <v>236</v>
      </c>
      <c r="AG707" s="0" t="s">
        <v>236</v>
      </c>
      <c r="AH707" s="0" t="s">
        <v>236</v>
      </c>
      <c r="AI707" s="0" t="s">
        <v>3256</v>
      </c>
      <c r="AJ707" s="0" t="s">
        <v>3257</v>
      </c>
      <c r="AK707" s="0" t="s">
        <v>3258</v>
      </c>
      <c r="AL707" s="0" t="s">
        <v>3259</v>
      </c>
      <c r="AM707" s="0" t="s">
        <v>94</v>
      </c>
      <c r="AN707" s="26" t="n">
        <f aca="false">IFERROR(E707*(1+IF(AM707="Apartment",Data_Summary!$C$3,0)),"")</f>
        <v>3.81205673758865</v>
      </c>
      <c r="AO707" s="4" t="n">
        <v>46195</v>
      </c>
    </row>
    <row r="708" customFormat="false" ht="15" hidden="false" customHeight="false" outlineLevel="0" collapsed="false">
      <c r="A708" s="0" t="n">
        <f aca="false">IF(AND(ISNUMBER(B708),B708&gt;0,ISNUMBER(AB708),AB708&gt;0,J708&gt;=Data_Summary!$C$1),1,0)</f>
        <v>1</v>
      </c>
      <c r="B708" s="30" t="n">
        <v>830</v>
      </c>
      <c r="C708" s="5" t="n">
        <f aca="false">IF(ISNUMBER(AB708),AB708,"")</f>
        <v>3350</v>
      </c>
      <c r="D708" s="0" t="n">
        <f aca="false">IF(ISNUMBER(C708),C708-U708*Data_Summary!$C$2,"")</f>
        <v>3200</v>
      </c>
      <c r="E708" s="31" t="n">
        <f aca="false">IFERROR(C708/B708,"")</f>
        <v>4.03614457831325</v>
      </c>
      <c r="F708" s="26" t="n">
        <f aca="false">IFERROR(D708/B708,"")</f>
        <v>3.85542168674699</v>
      </c>
      <c r="G708" s="0" t="str">
        <f aca="false">Q708</f>
        <v>2</v>
      </c>
      <c r="H708" s="0" t="str">
        <f aca="false">IFERROR(LEFT(G708,1),"")</f>
        <v>2</v>
      </c>
      <c r="I708" s="0" t="n">
        <f aca="false">IF(LEN(G708)&gt;1,1,0)</f>
        <v>0</v>
      </c>
      <c r="J708" s="4" t="n">
        <v>45701</v>
      </c>
      <c r="K708" s="0" t="s">
        <v>13</v>
      </c>
      <c r="L708" s="0" t="s">
        <v>101</v>
      </c>
      <c r="M708" s="0" t="s">
        <v>226</v>
      </c>
      <c r="N708" s="0" t="s">
        <v>103</v>
      </c>
      <c r="O708" s="0" t="s">
        <v>456</v>
      </c>
      <c r="Q708" s="0" t="s">
        <v>251</v>
      </c>
      <c r="R708" s="0" t="n">
        <v>2</v>
      </c>
      <c r="S708" s="5" t="n">
        <v>830</v>
      </c>
      <c r="T708" s="0" t="s">
        <v>229</v>
      </c>
      <c r="U708" s="0" t="n">
        <v>1</v>
      </c>
      <c r="V708" s="0" t="s">
        <v>230</v>
      </c>
      <c r="W708" s="0" t="s">
        <v>231</v>
      </c>
      <c r="X708" s="0" t="s">
        <v>232</v>
      </c>
      <c r="Y708" s="0" t="s">
        <v>308</v>
      </c>
      <c r="Z708" s="0" t="s">
        <v>2657</v>
      </c>
      <c r="AA708" s="0" t="s">
        <v>235</v>
      </c>
      <c r="AB708" s="32" t="n">
        <v>3350</v>
      </c>
      <c r="AC708" s="32" t="n">
        <v>3350</v>
      </c>
      <c r="AD708" s="26" t="n">
        <f aca="false">IFERROR(AB708/B708,"")</f>
        <v>4.03614457831325</v>
      </c>
      <c r="AE708" s="26" t="n">
        <f aca="false">IFERROR(AC708/B708,"")</f>
        <v>4.03614457831325</v>
      </c>
      <c r="AF708" s="0" t="s">
        <v>236</v>
      </c>
      <c r="AG708" s="0" t="s">
        <v>236</v>
      </c>
      <c r="AH708" s="0" t="s">
        <v>236</v>
      </c>
      <c r="AI708" s="0" t="s">
        <v>3260</v>
      </c>
      <c r="AJ708" s="0" t="s">
        <v>3261</v>
      </c>
      <c r="AK708" s="0" t="s">
        <v>3262</v>
      </c>
      <c r="AL708" s="0" t="s">
        <v>3263</v>
      </c>
      <c r="AM708" s="0" t="s">
        <v>94</v>
      </c>
      <c r="AN708" s="26" t="n">
        <f aca="false">IFERROR(E708*(1+IF(AM708="Apartment",Data_Summary!$C$3,0)),"")</f>
        <v>4.03614457831325</v>
      </c>
      <c r="AO708" s="4" t="n">
        <v>46195</v>
      </c>
    </row>
    <row r="709" customFormat="false" ht="15" hidden="false" customHeight="false" outlineLevel="0" collapsed="false">
      <c r="A709" s="0" t="n">
        <f aca="false">IF(AND(ISNUMBER(B709),B709&gt;0,ISNUMBER(AB709),AB709&gt;0,J709&gt;=Data_Summary!$C$1),1,0)</f>
        <v>1</v>
      </c>
      <c r="B709" s="30" t="n">
        <v>830</v>
      </c>
      <c r="C709" s="5" t="n">
        <f aca="false">IF(ISNUMBER(AB709),AB709,"")</f>
        <v>3400</v>
      </c>
      <c r="D709" s="0" t="n">
        <f aca="false">IF(ISNUMBER(C709),C709-U709*Data_Summary!$C$2,"")</f>
        <v>3250</v>
      </c>
      <c r="E709" s="31" t="n">
        <f aca="false">IFERROR(C709/B709,"")</f>
        <v>4.09638554216868</v>
      </c>
      <c r="F709" s="26" t="n">
        <f aca="false">IFERROR(D709/B709,"")</f>
        <v>3.91566265060241</v>
      </c>
      <c r="G709" s="0" t="str">
        <f aca="false">Q709</f>
        <v>2</v>
      </c>
      <c r="H709" s="0" t="str">
        <f aca="false">IFERROR(LEFT(G709,1),"")</f>
        <v>2</v>
      </c>
      <c r="I709" s="0" t="n">
        <f aca="false">IF(LEN(G709)&gt;1,1,0)</f>
        <v>0</v>
      </c>
      <c r="J709" s="4" t="n">
        <v>45699</v>
      </c>
      <c r="K709" s="0" t="s">
        <v>13</v>
      </c>
      <c r="L709" s="0" t="s">
        <v>101</v>
      </c>
      <c r="M709" s="0" t="s">
        <v>226</v>
      </c>
      <c r="N709" s="0" t="s">
        <v>103</v>
      </c>
      <c r="O709" s="0" t="s">
        <v>3264</v>
      </c>
      <c r="Q709" s="0" t="s">
        <v>251</v>
      </c>
      <c r="R709" s="0" t="n">
        <v>2</v>
      </c>
      <c r="S709" s="5" t="n">
        <v>830</v>
      </c>
      <c r="T709" s="0" t="s">
        <v>229</v>
      </c>
      <c r="U709" s="0" t="n">
        <v>1</v>
      </c>
      <c r="V709" s="0" t="s">
        <v>230</v>
      </c>
      <c r="W709" s="0" t="s">
        <v>231</v>
      </c>
      <c r="X709" s="0" t="s">
        <v>232</v>
      </c>
      <c r="Y709" s="0" t="s">
        <v>260</v>
      </c>
      <c r="Z709" s="0" t="s">
        <v>2657</v>
      </c>
      <c r="AA709" s="0" t="s">
        <v>235</v>
      </c>
      <c r="AB709" s="32" t="n">
        <v>3400</v>
      </c>
      <c r="AC709" s="32" t="n">
        <v>3400</v>
      </c>
      <c r="AD709" s="26" t="n">
        <f aca="false">IFERROR(AB709/B709,"")</f>
        <v>4.09638554216868</v>
      </c>
      <c r="AE709" s="26" t="n">
        <f aca="false">IFERROR(AC709/B709,"")</f>
        <v>4.09638554216868</v>
      </c>
      <c r="AF709" s="0" t="s">
        <v>236</v>
      </c>
      <c r="AG709" s="0" t="s">
        <v>236</v>
      </c>
      <c r="AH709" s="0" t="s">
        <v>236</v>
      </c>
      <c r="AI709" s="0" t="s">
        <v>2387</v>
      </c>
      <c r="AJ709" s="0" t="s">
        <v>3265</v>
      </c>
      <c r="AK709" s="0" t="s">
        <v>3266</v>
      </c>
      <c r="AL709" s="0" t="s">
        <v>3267</v>
      </c>
      <c r="AM709" s="0" t="s">
        <v>94</v>
      </c>
      <c r="AN709" s="26" t="n">
        <f aca="false">IFERROR(E709*(1+IF(AM709="Apartment",Data_Summary!$C$3,0)),"")</f>
        <v>4.09638554216868</v>
      </c>
      <c r="AO709" s="4" t="n">
        <v>46195</v>
      </c>
    </row>
    <row r="710" customFormat="false" ht="15" hidden="false" customHeight="false" outlineLevel="0" collapsed="false">
      <c r="A710" s="0" t="n">
        <f aca="false">IF(AND(ISNUMBER(B710),B710&gt;0,ISNUMBER(AB710),AB710&gt;0,J710&gt;=Data_Summary!$C$1),1,0)</f>
        <v>1</v>
      </c>
      <c r="B710" s="30" t="n">
        <v>649</v>
      </c>
      <c r="C710" s="5" t="n">
        <f aca="false">IF(ISNUMBER(AB710),AB710,"")</f>
        <v>2700</v>
      </c>
      <c r="D710" s="0" t="n">
        <f aca="false">IF(ISNUMBER(C710),C710-U710*Data_Summary!$C$2,"")</f>
        <v>2700</v>
      </c>
      <c r="E710" s="31" t="n">
        <f aca="false">IFERROR(C710/B710,"")</f>
        <v>4.16024653312789</v>
      </c>
      <c r="F710" s="26" t="n">
        <f aca="false">IFERROR(D710/B710,"")</f>
        <v>4.16024653312789</v>
      </c>
      <c r="G710" s="0" t="str">
        <f aca="false">Q710</f>
        <v>1+1</v>
      </c>
      <c r="H710" s="0" t="str">
        <f aca="false">IFERROR(LEFT(G710,1),"")</f>
        <v>1</v>
      </c>
      <c r="I710" s="0" t="n">
        <f aca="false">IF(LEN(G710)&gt;1,1,0)</f>
        <v>1</v>
      </c>
      <c r="J710" s="4" t="n">
        <v>45698</v>
      </c>
      <c r="K710" s="0" t="s">
        <v>13</v>
      </c>
      <c r="L710" s="0" t="s">
        <v>101</v>
      </c>
      <c r="M710" s="0" t="s">
        <v>226</v>
      </c>
      <c r="N710" s="0" t="s">
        <v>103</v>
      </c>
      <c r="O710" s="0" t="s">
        <v>3268</v>
      </c>
      <c r="Q710" s="0" t="s">
        <v>270</v>
      </c>
      <c r="R710" s="0" t="n">
        <v>1</v>
      </c>
      <c r="S710" s="5" t="n">
        <v>649</v>
      </c>
      <c r="T710" s="0" t="s">
        <v>271</v>
      </c>
      <c r="U710" s="0" t="n">
        <v>0</v>
      </c>
      <c r="V710" s="0" t="s">
        <v>230</v>
      </c>
      <c r="W710" s="0" t="s">
        <v>231</v>
      </c>
      <c r="Y710" s="0" t="s">
        <v>272</v>
      </c>
      <c r="Z710" s="0" t="s">
        <v>2657</v>
      </c>
      <c r="AA710" s="0" t="s">
        <v>235</v>
      </c>
      <c r="AB710" s="32" t="n">
        <v>2700</v>
      </c>
      <c r="AC710" s="32" t="n">
        <v>2700</v>
      </c>
      <c r="AD710" s="26" t="n">
        <f aca="false">IFERROR(AB710/B710,"")</f>
        <v>4.16024653312789</v>
      </c>
      <c r="AE710" s="26" t="n">
        <f aca="false">IFERROR(AC710/B710,"")</f>
        <v>4.16024653312789</v>
      </c>
      <c r="AF710" s="0" t="s">
        <v>236</v>
      </c>
      <c r="AG710" s="0" t="s">
        <v>236</v>
      </c>
      <c r="AH710" s="0" t="s">
        <v>236</v>
      </c>
      <c r="AI710" s="0" t="s">
        <v>3269</v>
      </c>
      <c r="AJ710" s="0" t="s">
        <v>3270</v>
      </c>
      <c r="AK710" s="0" t="s">
        <v>3271</v>
      </c>
      <c r="AL710" s="0" t="s">
        <v>3272</v>
      </c>
      <c r="AM710" s="0" t="s">
        <v>94</v>
      </c>
      <c r="AN710" s="26" t="n">
        <f aca="false">IFERROR(E710*(1+IF(AM710="Apartment",Data_Summary!$C$3,0)),"")</f>
        <v>4.16024653312789</v>
      </c>
      <c r="AO710" s="4" t="n">
        <v>46195</v>
      </c>
    </row>
    <row r="711" customFormat="false" ht="15" hidden="false" customHeight="false" outlineLevel="0" collapsed="false">
      <c r="A711" s="0" t="n">
        <f aca="false">IF(AND(ISNUMBER(B711),B711&gt;0,ISNUMBER(AB711),AB711&gt;0,J711&gt;=Data_Summary!$C$1),1,0)</f>
        <v>1</v>
      </c>
      <c r="B711" s="30" t="n">
        <v>602</v>
      </c>
      <c r="C711" s="5" t="n">
        <f aca="false">IF(ISNUMBER(AB711),AB711,"")</f>
        <v>2350</v>
      </c>
      <c r="D711" s="0" t="n">
        <f aca="false">IF(ISNUMBER(C711),C711-U711*Data_Summary!$C$2,"")</f>
        <v>2350</v>
      </c>
      <c r="E711" s="31" t="n">
        <f aca="false">IFERROR(C711/B711,"")</f>
        <v>3.90365448504983</v>
      </c>
      <c r="F711" s="26" t="n">
        <f aca="false">IFERROR(D711/B711,"")</f>
        <v>3.90365448504983</v>
      </c>
      <c r="G711" s="0" t="str">
        <f aca="false">Q711</f>
        <v>1</v>
      </c>
      <c r="H711" s="0" t="str">
        <f aca="false">IFERROR(LEFT(G711,1),"")</f>
        <v>1</v>
      </c>
      <c r="I711" s="0" t="n">
        <f aca="false">IF(LEN(G711)&gt;1,1,0)</f>
        <v>0</v>
      </c>
      <c r="J711" s="4" t="n">
        <v>45692</v>
      </c>
      <c r="K711" s="0" t="s">
        <v>13</v>
      </c>
      <c r="L711" s="0" t="s">
        <v>101</v>
      </c>
      <c r="M711" s="0" t="s">
        <v>226</v>
      </c>
      <c r="N711" s="0" t="s">
        <v>103</v>
      </c>
      <c r="O711" s="0" t="s">
        <v>3273</v>
      </c>
      <c r="Q711" s="0" t="s">
        <v>242</v>
      </c>
      <c r="R711" s="0" t="n">
        <v>1</v>
      </c>
      <c r="S711" s="5" t="n">
        <v>602</v>
      </c>
      <c r="T711" s="0" t="s">
        <v>271</v>
      </c>
      <c r="U711" s="0" t="n">
        <v>0</v>
      </c>
      <c r="V711" s="0" t="s">
        <v>230</v>
      </c>
      <c r="W711" s="0" t="s">
        <v>244</v>
      </c>
      <c r="Y711" s="0" t="s">
        <v>278</v>
      </c>
      <c r="Z711" s="0" t="s">
        <v>2657</v>
      </c>
      <c r="AA711" s="0" t="s">
        <v>235</v>
      </c>
      <c r="AB711" s="32" t="n">
        <v>2350</v>
      </c>
      <c r="AC711" s="32" t="n">
        <v>2400</v>
      </c>
      <c r="AD711" s="26" t="n">
        <f aca="false">IFERROR(AB711/B711,"")</f>
        <v>3.90365448504983</v>
      </c>
      <c r="AE711" s="26" t="n">
        <f aca="false">IFERROR(AC711/B711,"")</f>
        <v>3.98671096345515</v>
      </c>
      <c r="AF711" s="0" t="s">
        <v>236</v>
      </c>
      <c r="AG711" s="0" t="s">
        <v>236</v>
      </c>
      <c r="AH711" s="0" t="s">
        <v>236</v>
      </c>
      <c r="AI711" s="0" t="s">
        <v>3274</v>
      </c>
      <c r="AJ711" s="0" t="s">
        <v>3275</v>
      </c>
      <c r="AK711" s="0" t="s">
        <v>3276</v>
      </c>
      <c r="AL711" s="0" t="s">
        <v>3277</v>
      </c>
      <c r="AM711" s="0" t="s">
        <v>94</v>
      </c>
      <c r="AN711" s="26" t="n">
        <f aca="false">IFERROR(E711*(1+IF(AM711="Apartment",Data_Summary!$C$3,0)),"")</f>
        <v>3.90365448504983</v>
      </c>
      <c r="AO711" s="4" t="n">
        <v>46195</v>
      </c>
    </row>
    <row r="712" customFormat="false" ht="15" hidden="false" customHeight="false" outlineLevel="0" collapsed="false">
      <c r="A712" s="0" t="n">
        <f aca="false">IF(AND(ISNUMBER(B712),B712&gt;0,ISNUMBER(AB712),AB712&gt;0,J712&gt;=Data_Summary!$C$1),1,0)</f>
        <v>1</v>
      </c>
      <c r="B712" s="33" t="n">
        <v>678</v>
      </c>
      <c r="C712" s="5" t="n">
        <f aca="false">IF(ISNUMBER(AB712),AB712,"")</f>
        <v>2700</v>
      </c>
      <c r="D712" s="0" t="n">
        <f aca="false">IF(ISNUMBER(C712),C712-U712*Data_Summary!$C$2,"")</f>
        <v>2700</v>
      </c>
      <c r="E712" s="34" t="n">
        <f aca="false">IFERROR(C712/B712,"")</f>
        <v>3.98230088495575</v>
      </c>
      <c r="F712" s="26" t="n">
        <f aca="false">IFERROR(D712/B712,"")</f>
        <v>3.98230088495575</v>
      </c>
      <c r="G712" s="0" t="str">
        <f aca="false">Q712</f>
        <v>1+1</v>
      </c>
      <c r="H712" s="0" t="str">
        <f aca="false">IFERROR(LEFT(G712,1),"")</f>
        <v>1</v>
      </c>
      <c r="I712" s="0" t="n">
        <f aca="false">IF(LEN(G712)&gt;1,1,0)</f>
        <v>1</v>
      </c>
      <c r="J712" s="4" t="n">
        <v>45689</v>
      </c>
      <c r="K712" s="0" t="s">
        <v>13</v>
      </c>
      <c r="L712" s="0" t="s">
        <v>101</v>
      </c>
      <c r="M712" s="0" t="s">
        <v>226</v>
      </c>
      <c r="N712" s="0" t="s">
        <v>103</v>
      </c>
      <c r="O712" s="0" t="s">
        <v>3278</v>
      </c>
      <c r="Q712" s="0" t="s">
        <v>270</v>
      </c>
      <c r="R712" s="0" t="n">
        <v>2</v>
      </c>
      <c r="S712" s="5" t="n">
        <v>678</v>
      </c>
      <c r="T712" s="0" t="s">
        <v>259</v>
      </c>
      <c r="U712" s="0" t="n">
        <v>0</v>
      </c>
      <c r="V712" s="0" t="s">
        <v>230</v>
      </c>
      <c r="W712" s="0" t="s">
        <v>244</v>
      </c>
      <c r="Y712" s="0" t="s">
        <v>297</v>
      </c>
      <c r="Z712" s="0" t="s">
        <v>2657</v>
      </c>
      <c r="AA712" s="0" t="s">
        <v>235</v>
      </c>
      <c r="AB712" s="32" t="n">
        <v>2700</v>
      </c>
      <c r="AC712" s="32" t="n">
        <v>2700</v>
      </c>
      <c r="AD712" s="26" t="n">
        <f aca="false">IFERROR(AB712/B712,"")</f>
        <v>3.98230088495575</v>
      </c>
      <c r="AE712" s="26" t="n">
        <f aca="false">IFERROR(AC712/B712,"")</f>
        <v>3.98230088495575</v>
      </c>
      <c r="AF712" s="0" t="s">
        <v>236</v>
      </c>
      <c r="AG712" s="0" t="s">
        <v>236</v>
      </c>
      <c r="AH712" s="0" t="s">
        <v>236</v>
      </c>
      <c r="AI712" s="0" t="s">
        <v>3279</v>
      </c>
      <c r="AJ712" s="0" t="s">
        <v>3280</v>
      </c>
      <c r="AK712" s="0" t="s">
        <v>3281</v>
      </c>
      <c r="AL712" s="0" t="s">
        <v>3282</v>
      </c>
      <c r="AM712" s="0" t="s">
        <v>94</v>
      </c>
      <c r="AN712" s="26" t="n">
        <f aca="false">IFERROR(E712*(1+IF(AM712="Apartment",Data_Summary!$C$3,0)),"")</f>
        <v>3.98230088495575</v>
      </c>
      <c r="AO712" s="4" t="n">
        <v>46195</v>
      </c>
    </row>
    <row r="713" customFormat="false" ht="15" hidden="false" customHeight="false" outlineLevel="0" collapsed="false">
      <c r="A713" s="0" t="n">
        <f aca="false">IF(AND(ISNUMBER(B713),B713&gt;0,ISNUMBER(AB713),AB713&gt;0,J713&gt;=Data_Summary!$C$1),1,0)</f>
        <v>1</v>
      </c>
      <c r="B713" s="30" t="n">
        <v>630</v>
      </c>
      <c r="C713" s="5" t="n">
        <f aca="false">IF(ISNUMBER(AB713),AB713,"")</f>
        <v>2450</v>
      </c>
      <c r="D713" s="0" t="n">
        <f aca="false">IF(ISNUMBER(C713),C713-U713*Data_Summary!$C$2,"")</f>
        <v>2450</v>
      </c>
      <c r="E713" s="31" t="n">
        <f aca="false">IFERROR(C713/B713,"")</f>
        <v>3.88888888888889</v>
      </c>
      <c r="F713" s="26" t="n">
        <f aca="false">IFERROR(D713/B713,"")</f>
        <v>3.88888888888889</v>
      </c>
      <c r="G713" s="0" t="str">
        <f aca="false">Q713</f>
        <v>1+1</v>
      </c>
      <c r="H713" s="0" t="str">
        <f aca="false">IFERROR(LEFT(G713,1),"")</f>
        <v>1</v>
      </c>
      <c r="I713" s="0" t="n">
        <f aca="false">IF(LEN(G713)&gt;1,1,0)</f>
        <v>1</v>
      </c>
      <c r="J713" s="4" t="n">
        <v>45687</v>
      </c>
      <c r="K713" s="0" t="s">
        <v>13</v>
      </c>
      <c r="L713" s="0" t="s">
        <v>101</v>
      </c>
      <c r="M713" s="0" t="s">
        <v>226</v>
      </c>
      <c r="N713" s="0" t="s">
        <v>103</v>
      </c>
      <c r="O713" s="0" t="s">
        <v>3283</v>
      </c>
      <c r="Q713" s="0" t="s">
        <v>270</v>
      </c>
      <c r="R713" s="0" t="n">
        <v>1</v>
      </c>
      <c r="S713" s="5" t="n">
        <v>630</v>
      </c>
      <c r="T713" s="0" t="s">
        <v>271</v>
      </c>
      <c r="U713" s="0" t="n">
        <v>0</v>
      </c>
      <c r="V713" s="0" t="s">
        <v>230</v>
      </c>
      <c r="W713" s="0" t="s">
        <v>231</v>
      </c>
      <c r="Y713" s="0" t="s">
        <v>253</v>
      </c>
      <c r="Z713" s="0" t="s">
        <v>2657</v>
      </c>
      <c r="AA713" s="0" t="s">
        <v>235</v>
      </c>
      <c r="AB713" s="32" t="n">
        <v>2450</v>
      </c>
      <c r="AC713" s="32" t="n">
        <v>2450</v>
      </c>
      <c r="AD713" s="26" t="n">
        <f aca="false">IFERROR(AB713/B713,"")</f>
        <v>3.88888888888889</v>
      </c>
      <c r="AE713" s="26" t="n">
        <f aca="false">IFERROR(AC713/B713,"")</f>
        <v>3.88888888888889</v>
      </c>
      <c r="AF713" s="0" t="s">
        <v>236</v>
      </c>
      <c r="AG713" s="0" t="s">
        <v>236</v>
      </c>
      <c r="AH713" s="0" t="s">
        <v>236</v>
      </c>
      <c r="AI713" s="0" t="s">
        <v>3284</v>
      </c>
      <c r="AJ713" s="0" t="s">
        <v>3285</v>
      </c>
      <c r="AK713" s="0" t="s">
        <v>3286</v>
      </c>
      <c r="AL713" s="0" t="s">
        <v>3287</v>
      </c>
      <c r="AM713" s="0" t="s">
        <v>94</v>
      </c>
      <c r="AN713" s="26" t="n">
        <f aca="false">IFERROR(E713*(1+IF(AM713="Apartment",Data_Summary!$C$3,0)),"")</f>
        <v>3.88888888888889</v>
      </c>
      <c r="AO713" s="4" t="n">
        <v>46195</v>
      </c>
    </row>
    <row r="714" customFormat="false" ht="15" hidden="false" customHeight="false" outlineLevel="0" collapsed="false">
      <c r="A714" s="0" t="n">
        <f aca="false">IF(AND(ISNUMBER(B714),B714&gt;0,ISNUMBER(AB714),AB714&gt;0,J714&gt;=Data_Summary!$C$1),1,0)</f>
        <v>1</v>
      </c>
      <c r="B714" s="30" t="n">
        <v>649</v>
      </c>
      <c r="C714" s="5" t="n">
        <f aca="false">IF(ISNUMBER(AB714),AB714,"")</f>
        <v>2350</v>
      </c>
      <c r="D714" s="0" t="n">
        <f aca="false">IF(ISNUMBER(C714),C714-U714*Data_Summary!$C$2,"")</f>
        <v>2350</v>
      </c>
      <c r="E714" s="31" t="n">
        <f aca="false">IFERROR(C714/B714,"")</f>
        <v>3.62095531587057</v>
      </c>
      <c r="F714" s="26" t="n">
        <f aca="false">IFERROR(D714/B714,"")</f>
        <v>3.62095531587057</v>
      </c>
      <c r="G714" s="0" t="str">
        <f aca="false">Q714</f>
        <v>1+1</v>
      </c>
      <c r="H714" s="0" t="str">
        <f aca="false">IFERROR(LEFT(G714,1),"")</f>
        <v>1</v>
      </c>
      <c r="I714" s="0" t="n">
        <f aca="false">IF(LEN(G714)&gt;1,1,0)</f>
        <v>1</v>
      </c>
      <c r="J714" s="4" t="n">
        <v>45686</v>
      </c>
      <c r="K714" s="0" t="s">
        <v>13</v>
      </c>
      <c r="L714" s="0" t="s">
        <v>101</v>
      </c>
      <c r="M714" s="0" t="s">
        <v>226</v>
      </c>
      <c r="N714" s="0" t="s">
        <v>103</v>
      </c>
      <c r="O714" s="0" t="s">
        <v>3288</v>
      </c>
      <c r="Q714" s="0" t="s">
        <v>270</v>
      </c>
      <c r="R714" s="0" t="n">
        <v>1</v>
      </c>
      <c r="S714" s="5" t="n">
        <v>649</v>
      </c>
      <c r="T714" s="0" t="s">
        <v>271</v>
      </c>
      <c r="U714" s="0" t="n">
        <v>0</v>
      </c>
      <c r="V714" s="0" t="s">
        <v>230</v>
      </c>
      <c r="W714" s="0" t="s">
        <v>244</v>
      </c>
      <c r="Y714" s="0" t="s">
        <v>272</v>
      </c>
      <c r="Z714" s="0" t="s">
        <v>2657</v>
      </c>
      <c r="AA714" s="0" t="s">
        <v>235</v>
      </c>
      <c r="AB714" s="32" t="n">
        <v>2350</v>
      </c>
      <c r="AC714" s="32" t="n">
        <v>2475</v>
      </c>
      <c r="AD714" s="26" t="n">
        <f aca="false">IFERROR(AB714/B714,"")</f>
        <v>3.62095531587057</v>
      </c>
      <c r="AE714" s="26" t="n">
        <f aca="false">IFERROR(AC714/B714,"")</f>
        <v>3.8135593220339</v>
      </c>
      <c r="AF714" s="0" t="s">
        <v>236</v>
      </c>
      <c r="AG714" s="0" t="s">
        <v>236</v>
      </c>
      <c r="AH714" s="0" t="s">
        <v>236</v>
      </c>
      <c r="AI714" s="0" t="s">
        <v>3289</v>
      </c>
      <c r="AJ714" s="0" t="s">
        <v>3290</v>
      </c>
      <c r="AK714" s="0" t="s">
        <v>3291</v>
      </c>
      <c r="AL714" s="0" t="s">
        <v>3292</v>
      </c>
      <c r="AM714" s="0" t="s">
        <v>94</v>
      </c>
      <c r="AN714" s="26" t="n">
        <f aca="false">IFERROR(E714*(1+IF(AM714="Apartment",Data_Summary!$C$3,0)),"")</f>
        <v>3.62095531587057</v>
      </c>
      <c r="AO714" s="4" t="n">
        <v>46195</v>
      </c>
    </row>
    <row r="715" customFormat="false" ht="15" hidden="false" customHeight="false" outlineLevel="0" collapsed="false">
      <c r="A715" s="0" t="n">
        <f aca="false">IF(AND(ISNUMBER(B715),B715&gt;0,ISNUMBER(AB715),AB715&gt;0,J715&gt;=Data_Summary!$C$1),1,0)</f>
        <v>1</v>
      </c>
      <c r="B715" s="30" t="n">
        <v>630</v>
      </c>
      <c r="C715" s="5" t="n">
        <f aca="false">IF(ISNUMBER(AB715),AB715,"")</f>
        <v>2400</v>
      </c>
      <c r="D715" s="0" t="n">
        <f aca="false">IF(ISNUMBER(C715),C715-U715*Data_Summary!$C$2,"")</f>
        <v>2400</v>
      </c>
      <c r="E715" s="31" t="n">
        <f aca="false">IFERROR(C715/B715,"")</f>
        <v>3.80952380952381</v>
      </c>
      <c r="F715" s="26" t="n">
        <f aca="false">IFERROR(D715/B715,"")</f>
        <v>3.80952380952381</v>
      </c>
      <c r="G715" s="0" t="str">
        <f aca="false">Q715</f>
        <v>1+1</v>
      </c>
      <c r="H715" s="0" t="str">
        <f aca="false">IFERROR(LEFT(G715,1),"")</f>
        <v>1</v>
      </c>
      <c r="I715" s="0" t="n">
        <f aca="false">IF(LEN(G715)&gt;1,1,0)</f>
        <v>1</v>
      </c>
      <c r="J715" s="4" t="n">
        <v>45682</v>
      </c>
      <c r="K715" s="0" t="s">
        <v>13</v>
      </c>
      <c r="L715" s="0" t="s">
        <v>101</v>
      </c>
      <c r="M715" s="0" t="s">
        <v>226</v>
      </c>
      <c r="N715" s="0" t="s">
        <v>103</v>
      </c>
      <c r="O715" s="0" t="s">
        <v>3293</v>
      </c>
      <c r="Q715" s="0" t="s">
        <v>270</v>
      </c>
      <c r="R715" s="0" t="n">
        <v>1</v>
      </c>
      <c r="S715" s="5" t="n">
        <v>630</v>
      </c>
      <c r="T715" s="0" t="s">
        <v>271</v>
      </c>
      <c r="U715" s="0" t="n">
        <v>0</v>
      </c>
      <c r="V715" s="0" t="s">
        <v>230</v>
      </c>
      <c r="W715" s="0" t="s">
        <v>244</v>
      </c>
      <c r="Y715" s="0" t="s">
        <v>253</v>
      </c>
      <c r="Z715" s="0" t="s">
        <v>2657</v>
      </c>
      <c r="AA715" s="0" t="s">
        <v>235</v>
      </c>
      <c r="AB715" s="32" t="n">
        <v>2400</v>
      </c>
      <c r="AC715" s="32" t="n">
        <v>2400</v>
      </c>
      <c r="AD715" s="26" t="n">
        <f aca="false">IFERROR(AB715/B715,"")</f>
        <v>3.80952380952381</v>
      </c>
      <c r="AE715" s="26" t="n">
        <f aca="false">IFERROR(AC715/B715,"")</f>
        <v>3.80952380952381</v>
      </c>
      <c r="AF715" s="0" t="s">
        <v>236</v>
      </c>
      <c r="AG715" s="0" t="s">
        <v>236</v>
      </c>
      <c r="AH715" s="0" t="s">
        <v>236</v>
      </c>
      <c r="AI715" s="0" t="s">
        <v>3294</v>
      </c>
      <c r="AJ715" s="0" t="s">
        <v>3295</v>
      </c>
      <c r="AK715" s="0" t="s">
        <v>3296</v>
      </c>
      <c r="AL715" s="0" t="s">
        <v>3297</v>
      </c>
      <c r="AM715" s="0" t="s">
        <v>94</v>
      </c>
      <c r="AN715" s="26" t="n">
        <f aca="false">IFERROR(E715*(1+IF(AM715="Apartment",Data_Summary!$C$3,0)),"")</f>
        <v>3.80952380952381</v>
      </c>
      <c r="AO715" s="4" t="n">
        <v>46195</v>
      </c>
    </row>
    <row r="716" customFormat="false" ht="15" hidden="false" customHeight="false" outlineLevel="0" collapsed="false">
      <c r="A716" s="0" t="n">
        <f aca="false">IF(AND(ISNUMBER(B716),B716&gt;0,ISNUMBER(AB716),AB716&gt;0,J716&gt;=Data_Summary!$C$1),1,0)</f>
        <v>1</v>
      </c>
      <c r="B716" s="30" t="n">
        <v>575</v>
      </c>
      <c r="C716" s="5" t="n">
        <f aca="false">IF(ISNUMBER(AB716),AB716,"")</f>
        <v>2300</v>
      </c>
      <c r="D716" s="0" t="n">
        <f aca="false">IF(ISNUMBER(C716),C716-U716*Data_Summary!$C$2,"")</f>
        <v>2300</v>
      </c>
      <c r="E716" s="31" t="n">
        <f aca="false">IFERROR(C716/B716,"")</f>
        <v>4</v>
      </c>
      <c r="F716" s="26" t="n">
        <f aca="false">IFERROR(D716/B716,"")</f>
        <v>4</v>
      </c>
      <c r="G716" s="0" t="str">
        <f aca="false">Q716</f>
        <v>1</v>
      </c>
      <c r="H716" s="0" t="str">
        <f aca="false">IFERROR(LEFT(G716,1),"")</f>
        <v>1</v>
      </c>
      <c r="I716" s="0" t="n">
        <f aca="false">IF(LEN(G716)&gt;1,1,0)</f>
        <v>0</v>
      </c>
      <c r="J716" s="4" t="n">
        <v>45681</v>
      </c>
      <c r="K716" s="0" t="s">
        <v>13</v>
      </c>
      <c r="L716" s="0" t="s">
        <v>101</v>
      </c>
      <c r="M716" s="0" t="s">
        <v>226</v>
      </c>
      <c r="N716" s="0" t="s">
        <v>103</v>
      </c>
      <c r="O716" s="0" t="s">
        <v>1801</v>
      </c>
      <c r="Q716" s="0" t="s">
        <v>242</v>
      </c>
      <c r="R716" s="0" t="n">
        <v>1</v>
      </c>
      <c r="S716" s="5" t="n">
        <v>575</v>
      </c>
      <c r="T716" s="0" t="s">
        <v>243</v>
      </c>
      <c r="U716" s="0" t="n">
        <v>0</v>
      </c>
      <c r="V716" s="0" t="s">
        <v>230</v>
      </c>
      <c r="W716" s="0" t="s">
        <v>231</v>
      </c>
      <c r="Y716" s="0" t="s">
        <v>278</v>
      </c>
      <c r="Z716" s="0" t="s">
        <v>2657</v>
      </c>
      <c r="AA716" s="0" t="s">
        <v>235</v>
      </c>
      <c r="AB716" s="32" t="n">
        <v>2300</v>
      </c>
      <c r="AC716" s="32" t="n">
        <v>2400</v>
      </c>
      <c r="AD716" s="26" t="n">
        <f aca="false">IFERROR(AB716/B716,"")</f>
        <v>4</v>
      </c>
      <c r="AE716" s="26" t="n">
        <f aca="false">IFERROR(AC716/B716,"")</f>
        <v>4.17391304347826</v>
      </c>
      <c r="AF716" s="0" t="s">
        <v>236</v>
      </c>
      <c r="AG716" s="0" t="s">
        <v>236</v>
      </c>
      <c r="AH716" s="0" t="s">
        <v>236</v>
      </c>
      <c r="AI716" s="0" t="s">
        <v>2421</v>
      </c>
      <c r="AJ716" s="0" t="s">
        <v>3298</v>
      </c>
      <c r="AK716" s="0" t="s">
        <v>3299</v>
      </c>
      <c r="AL716" s="0" t="s">
        <v>3300</v>
      </c>
      <c r="AM716" s="0" t="s">
        <v>94</v>
      </c>
      <c r="AN716" s="26" t="n">
        <f aca="false">IFERROR(E716*(1+IF(AM716="Apartment",Data_Summary!$C$3,0)),"")</f>
        <v>4</v>
      </c>
      <c r="AO716" s="4" t="n">
        <v>46195</v>
      </c>
    </row>
    <row r="717" customFormat="false" ht="15" hidden="false" customHeight="false" outlineLevel="0" collapsed="false">
      <c r="A717" s="0" t="n">
        <f aca="false">IF(AND(ISNUMBER(B717),B717&gt;0,ISNUMBER(AB717),AB717&gt;0,J717&gt;=Data_Summary!$C$1),1,0)</f>
        <v>1</v>
      </c>
      <c r="B717" s="33" t="n">
        <v>648</v>
      </c>
      <c r="C717" s="5" t="n">
        <f aca="false">IF(ISNUMBER(AB717),AB717,"")</f>
        <v>2400</v>
      </c>
      <c r="D717" s="0" t="n">
        <f aca="false">IF(ISNUMBER(C717),C717-U717*Data_Summary!$C$2,"")</f>
        <v>2400</v>
      </c>
      <c r="E717" s="34" t="n">
        <f aca="false">IFERROR(C717/B717,"")</f>
        <v>3.7037037037037</v>
      </c>
      <c r="F717" s="26" t="n">
        <f aca="false">IFERROR(D717/B717,"")</f>
        <v>3.7037037037037</v>
      </c>
      <c r="G717" s="0" t="str">
        <f aca="false">Q717</f>
        <v>1</v>
      </c>
      <c r="H717" s="0" t="str">
        <f aca="false">IFERROR(LEFT(G717,1),"")</f>
        <v>1</v>
      </c>
      <c r="I717" s="0" t="n">
        <f aca="false">IF(LEN(G717)&gt;1,1,0)</f>
        <v>0</v>
      </c>
      <c r="J717" s="4" t="n">
        <v>45668</v>
      </c>
      <c r="K717" s="0" t="s">
        <v>13</v>
      </c>
      <c r="L717" s="0" t="s">
        <v>101</v>
      </c>
      <c r="M717" s="0" t="s">
        <v>226</v>
      </c>
      <c r="N717" s="0" t="s">
        <v>103</v>
      </c>
      <c r="O717" s="0" t="s">
        <v>2784</v>
      </c>
      <c r="Q717" s="0" t="s">
        <v>242</v>
      </c>
      <c r="R717" s="0" t="n">
        <v>1</v>
      </c>
      <c r="S717" s="5" t="n">
        <v>648</v>
      </c>
      <c r="T717" s="0" t="s">
        <v>271</v>
      </c>
      <c r="U717" s="0" t="n">
        <v>0</v>
      </c>
      <c r="V717" s="0" t="s">
        <v>230</v>
      </c>
      <c r="W717" s="0" t="s">
        <v>244</v>
      </c>
      <c r="X717" s="0" t="s">
        <v>232</v>
      </c>
      <c r="Y717" s="0" t="s">
        <v>278</v>
      </c>
      <c r="Z717" s="0" t="s">
        <v>2657</v>
      </c>
      <c r="AA717" s="0" t="s">
        <v>235</v>
      </c>
      <c r="AB717" s="32" t="n">
        <v>2400</v>
      </c>
      <c r="AC717" s="32" t="n">
        <v>2400</v>
      </c>
      <c r="AD717" s="26" t="n">
        <f aca="false">IFERROR(AB717/B717,"")</f>
        <v>3.7037037037037</v>
      </c>
      <c r="AE717" s="26" t="n">
        <f aca="false">IFERROR(AC717/B717,"")</f>
        <v>3.7037037037037</v>
      </c>
      <c r="AF717" s="0" t="s">
        <v>230</v>
      </c>
      <c r="AG717" s="0" t="s">
        <v>236</v>
      </c>
      <c r="AH717" s="0" t="s">
        <v>236</v>
      </c>
      <c r="AI717" s="0" t="s">
        <v>3301</v>
      </c>
      <c r="AJ717" s="0" t="s">
        <v>3302</v>
      </c>
      <c r="AK717" s="0" t="s">
        <v>3303</v>
      </c>
      <c r="AL717" s="0" t="s">
        <v>3304</v>
      </c>
      <c r="AM717" s="0" t="s">
        <v>94</v>
      </c>
      <c r="AN717" s="26" t="n">
        <f aca="false">IFERROR(E717*(1+IF(AM717="Apartment",Data_Summary!$C$3,0)),"")</f>
        <v>3.7037037037037</v>
      </c>
      <c r="AO717" s="4" t="n">
        <v>46195</v>
      </c>
    </row>
    <row r="718" customFormat="false" ht="15" hidden="false" customHeight="false" outlineLevel="0" collapsed="false">
      <c r="A718" s="0" t="n">
        <f aca="false">IF(AND(ISNUMBER(B718),B718&gt;0,ISNUMBER(AB718),AB718&gt;0,J718&gt;=Data_Summary!$C$1),1,0)</f>
        <v>1</v>
      </c>
      <c r="B718" s="30" t="n">
        <v>830</v>
      </c>
      <c r="C718" s="5" t="n">
        <f aca="false">IF(ISNUMBER(AB718),AB718,"")</f>
        <v>3600</v>
      </c>
      <c r="D718" s="0" t="n">
        <f aca="false">IF(ISNUMBER(C718),C718-U718*Data_Summary!$C$2,"")</f>
        <v>3450</v>
      </c>
      <c r="E718" s="31" t="n">
        <f aca="false">IFERROR(C718/B718,"")</f>
        <v>4.33734939759036</v>
      </c>
      <c r="F718" s="26" t="n">
        <f aca="false">IFERROR(D718/B718,"")</f>
        <v>4.1566265060241</v>
      </c>
      <c r="G718" s="0" t="str">
        <f aca="false">Q718</f>
        <v>2</v>
      </c>
      <c r="H718" s="0" t="str">
        <f aca="false">IFERROR(LEFT(G718,1),"")</f>
        <v>2</v>
      </c>
      <c r="I718" s="0" t="n">
        <f aca="false">IF(LEN(G718)&gt;1,1,0)</f>
        <v>0</v>
      </c>
      <c r="J718" s="4" t="n">
        <v>45658</v>
      </c>
      <c r="K718" s="0" t="s">
        <v>13</v>
      </c>
      <c r="L718" s="0" t="s">
        <v>101</v>
      </c>
      <c r="M718" s="0" t="s">
        <v>226</v>
      </c>
      <c r="N718" s="0" t="s">
        <v>103</v>
      </c>
      <c r="O718" s="0" t="s">
        <v>3305</v>
      </c>
      <c r="Q718" s="0" t="s">
        <v>251</v>
      </c>
      <c r="R718" s="0" t="n">
        <v>2</v>
      </c>
      <c r="S718" s="5" t="n">
        <v>830</v>
      </c>
      <c r="T718" s="0" t="s">
        <v>229</v>
      </c>
      <c r="U718" s="0" t="n">
        <v>1</v>
      </c>
      <c r="V718" s="0" t="s">
        <v>230</v>
      </c>
      <c r="W718" s="0" t="s">
        <v>244</v>
      </c>
      <c r="X718" s="0" t="s">
        <v>232</v>
      </c>
      <c r="Y718" s="0" t="s">
        <v>260</v>
      </c>
      <c r="Z718" s="0" t="s">
        <v>2657</v>
      </c>
      <c r="AA718" s="0" t="s">
        <v>235</v>
      </c>
      <c r="AB718" s="32" t="n">
        <v>3600</v>
      </c>
      <c r="AC718" s="32" t="n">
        <v>3599</v>
      </c>
      <c r="AD718" s="26" t="n">
        <f aca="false">IFERROR(AB718/B718,"")</f>
        <v>4.33734939759036</v>
      </c>
      <c r="AE718" s="26" t="n">
        <f aca="false">IFERROR(AC718/B718,"")</f>
        <v>4.33614457831325</v>
      </c>
      <c r="AF718" s="0" t="s">
        <v>236</v>
      </c>
      <c r="AG718" s="0" t="s">
        <v>236</v>
      </c>
      <c r="AH718" s="0" t="s">
        <v>236</v>
      </c>
      <c r="AI718" s="0" t="s">
        <v>3306</v>
      </c>
      <c r="AJ718" s="0" t="s">
        <v>3307</v>
      </c>
      <c r="AK718" s="0" t="s">
        <v>3308</v>
      </c>
      <c r="AL718" s="0" t="s">
        <v>3309</v>
      </c>
      <c r="AM718" s="0" t="s">
        <v>94</v>
      </c>
      <c r="AN718" s="26" t="n">
        <f aca="false">IFERROR(E718*(1+IF(AM718="Apartment",Data_Summary!$C$3,0)),"")</f>
        <v>4.33734939759036</v>
      </c>
      <c r="AO718" s="4" t="n">
        <v>46195</v>
      </c>
    </row>
    <row r="719" customFormat="false" ht="15" hidden="false" customHeight="false" outlineLevel="0" collapsed="false">
      <c r="A719" s="0" t="n">
        <f aca="false">IF(AND(ISNUMBER(B719),B719&gt;0,ISNUMBER(AB719),AB719&gt;0,J719&gt;=Data_Summary!$C$1),1,0)</f>
        <v>1</v>
      </c>
      <c r="B719" s="30" t="n">
        <v>928</v>
      </c>
      <c r="C719" s="5" t="n">
        <f aca="false">IF(ISNUMBER(AB719),AB719,"")</f>
        <v>4200</v>
      </c>
      <c r="D719" s="0" t="n">
        <f aca="false">IF(ISNUMBER(C719),C719-U719*Data_Summary!$C$2,"")</f>
        <v>4050</v>
      </c>
      <c r="E719" s="31" t="n">
        <f aca="false">IFERROR(C719/B719,"")</f>
        <v>4.52586206896552</v>
      </c>
      <c r="F719" s="26" t="n">
        <f aca="false">IFERROR(D719/B719,"")</f>
        <v>4.36422413793104</v>
      </c>
      <c r="G719" s="0" t="str">
        <f aca="false">Q719</f>
        <v>3</v>
      </c>
      <c r="H719" s="0" t="str">
        <f aca="false">IFERROR(LEFT(G719,1),"")</f>
        <v>3</v>
      </c>
      <c r="I719" s="0" t="n">
        <f aca="false">IF(LEN(G719)&gt;1,1,0)</f>
        <v>0</v>
      </c>
      <c r="J719" s="4" t="n">
        <v>46188</v>
      </c>
      <c r="K719" s="0" t="s">
        <v>14</v>
      </c>
      <c r="L719" s="0" t="s">
        <v>104</v>
      </c>
      <c r="M719" s="0" t="s">
        <v>226</v>
      </c>
      <c r="N719" s="0" t="s">
        <v>93</v>
      </c>
      <c r="O719" s="0" t="s">
        <v>558</v>
      </c>
      <c r="Q719" s="0" t="s">
        <v>228</v>
      </c>
      <c r="R719" s="0" t="n">
        <v>2</v>
      </c>
      <c r="S719" s="5" t="n">
        <v>928</v>
      </c>
      <c r="T719" s="0" t="s">
        <v>259</v>
      </c>
      <c r="U719" s="0" t="n">
        <v>1</v>
      </c>
      <c r="V719" s="0" t="s">
        <v>230</v>
      </c>
      <c r="W719" s="0" t="s">
        <v>244</v>
      </c>
      <c r="X719" s="0" t="s">
        <v>232</v>
      </c>
      <c r="Y719" s="0" t="s">
        <v>308</v>
      </c>
      <c r="Z719" s="0" t="s">
        <v>3310</v>
      </c>
      <c r="AA719" s="0" t="s">
        <v>235</v>
      </c>
      <c r="AB719" s="32" t="n">
        <v>4200</v>
      </c>
      <c r="AC719" s="32" t="n">
        <v>4350</v>
      </c>
      <c r="AD719" s="26" t="n">
        <f aca="false">IFERROR(AB719/B719,"")</f>
        <v>4.52586206896552</v>
      </c>
      <c r="AE719" s="26" t="n">
        <f aca="false">IFERROR(AC719/B719,"")</f>
        <v>4.6875</v>
      </c>
      <c r="AF719" s="0" t="s">
        <v>236</v>
      </c>
      <c r="AG719" s="0" t="s">
        <v>236</v>
      </c>
      <c r="AH719" s="0" t="s">
        <v>230</v>
      </c>
      <c r="AI719" s="0" t="s">
        <v>1556</v>
      </c>
      <c r="AJ719" s="0" t="s">
        <v>3311</v>
      </c>
      <c r="AK719" s="0" t="s">
        <v>3312</v>
      </c>
      <c r="AL719" s="0" t="s">
        <v>3313</v>
      </c>
      <c r="AM719" s="0" t="s">
        <v>94</v>
      </c>
      <c r="AN719" s="26" t="n">
        <f aca="false">IFERROR(E719*(1+IF(AM719="Apartment",Data_Summary!$C$3,0)),"")</f>
        <v>4.52586206896552</v>
      </c>
      <c r="AO719" s="4" t="n">
        <v>46195</v>
      </c>
    </row>
    <row r="720" customFormat="false" ht="15" hidden="false" customHeight="false" outlineLevel="0" collapsed="false">
      <c r="A720" s="0" t="n">
        <f aca="false">IF(AND(ISNUMBER(B720),B720&gt;0,ISNUMBER(AB720),AB720&gt;0,J720&gt;=Data_Summary!$C$1),1,0)</f>
        <v>1</v>
      </c>
      <c r="B720" s="30" t="n">
        <v>579</v>
      </c>
      <c r="C720" s="5" t="n">
        <f aca="false">IF(ISNUMBER(AB720),AB720,"")</f>
        <v>2680</v>
      </c>
      <c r="D720" s="0" t="n">
        <f aca="false">IF(ISNUMBER(C720),C720-U720*Data_Summary!$C$2,"")</f>
        <v>2530</v>
      </c>
      <c r="E720" s="31" t="n">
        <f aca="false">IFERROR(C720/B720,"")</f>
        <v>4.6286701208981</v>
      </c>
      <c r="F720" s="26" t="n">
        <f aca="false">IFERROR(D720/B720,"")</f>
        <v>4.36960276338515</v>
      </c>
      <c r="G720" s="0" t="str">
        <f aca="false">Q720</f>
        <v>1+1</v>
      </c>
      <c r="H720" s="0" t="str">
        <f aca="false">IFERROR(LEFT(G720,1),"")</f>
        <v>1</v>
      </c>
      <c r="I720" s="0" t="n">
        <f aca="false">IF(LEN(G720)&gt;1,1,0)</f>
        <v>1</v>
      </c>
      <c r="J720" s="4" t="n">
        <v>46182</v>
      </c>
      <c r="K720" s="0" t="s">
        <v>14</v>
      </c>
      <c r="L720" s="0" t="s">
        <v>104</v>
      </c>
      <c r="M720" s="0" t="s">
        <v>226</v>
      </c>
      <c r="N720" s="0" t="s">
        <v>93</v>
      </c>
      <c r="O720" s="0" t="s">
        <v>1995</v>
      </c>
      <c r="Q720" s="0" t="s">
        <v>270</v>
      </c>
      <c r="R720" s="0" t="n">
        <v>1</v>
      </c>
      <c r="S720" s="5" t="n">
        <v>579</v>
      </c>
      <c r="T720" s="0" t="s">
        <v>243</v>
      </c>
      <c r="U720" s="0" t="n">
        <v>1</v>
      </c>
      <c r="V720" s="0" t="s">
        <v>230</v>
      </c>
      <c r="W720" s="0" t="s">
        <v>244</v>
      </c>
      <c r="X720" s="0" t="s">
        <v>232</v>
      </c>
      <c r="Y720" s="0" t="s">
        <v>278</v>
      </c>
      <c r="Z720" s="0" t="s">
        <v>3310</v>
      </c>
      <c r="AA720" s="0" t="s">
        <v>235</v>
      </c>
      <c r="AB720" s="32" t="n">
        <v>2680</v>
      </c>
      <c r="AC720" s="32" t="n">
        <v>2680</v>
      </c>
      <c r="AD720" s="26" t="n">
        <f aca="false">IFERROR(AB720/B720,"")</f>
        <v>4.6286701208981</v>
      </c>
      <c r="AE720" s="26" t="n">
        <f aca="false">IFERROR(AC720/B720,"")</f>
        <v>4.6286701208981</v>
      </c>
      <c r="AF720" s="0" t="s">
        <v>236</v>
      </c>
      <c r="AG720" s="0" t="s">
        <v>236</v>
      </c>
      <c r="AH720" s="0" t="s">
        <v>230</v>
      </c>
      <c r="AI720" s="0" t="s">
        <v>279</v>
      </c>
      <c r="AJ720" s="0" t="s">
        <v>3314</v>
      </c>
      <c r="AK720" s="0" t="s">
        <v>3315</v>
      </c>
      <c r="AL720" s="0" t="s">
        <v>3316</v>
      </c>
      <c r="AM720" s="0" t="s">
        <v>94</v>
      </c>
      <c r="AN720" s="26" t="n">
        <f aca="false">IFERROR(E720*(1+IF(AM720="Apartment",Data_Summary!$C$3,0)),"")</f>
        <v>4.6286701208981</v>
      </c>
      <c r="AO720" s="4" t="n">
        <v>46195</v>
      </c>
    </row>
    <row r="721" customFormat="false" ht="15" hidden="false" customHeight="false" outlineLevel="0" collapsed="false">
      <c r="A721" s="0" t="n">
        <f aca="false">IF(AND(ISNUMBER(B721),B721&gt;0,ISNUMBER(AB721),AB721&gt;0,J721&gt;=Data_Summary!$C$1),1,0)</f>
        <v>1</v>
      </c>
      <c r="B721" s="30" t="n">
        <v>802</v>
      </c>
      <c r="C721" s="5" t="n">
        <f aca="false">IF(ISNUMBER(AB721),AB721,"")</f>
        <v>3600</v>
      </c>
      <c r="D721" s="0" t="n">
        <f aca="false">IF(ISNUMBER(C721),C721-U721*Data_Summary!$C$2,"")</f>
        <v>3450</v>
      </c>
      <c r="E721" s="31" t="n">
        <f aca="false">IFERROR(C721/B721,"")</f>
        <v>4.48877805486284</v>
      </c>
      <c r="F721" s="26" t="n">
        <f aca="false">IFERROR(D721/B721,"")</f>
        <v>4.30174563591022</v>
      </c>
      <c r="G721" s="0" t="str">
        <f aca="false">Q721</f>
        <v>2</v>
      </c>
      <c r="H721" s="0" t="str">
        <f aca="false">IFERROR(LEFT(G721,1),"")</f>
        <v>2</v>
      </c>
      <c r="I721" s="0" t="n">
        <f aca="false">IF(LEN(G721)&gt;1,1,0)</f>
        <v>0</v>
      </c>
      <c r="J721" s="4" t="n">
        <v>46180</v>
      </c>
      <c r="K721" s="0" t="s">
        <v>14</v>
      </c>
      <c r="L721" s="0" t="s">
        <v>104</v>
      </c>
      <c r="M721" s="0" t="s">
        <v>226</v>
      </c>
      <c r="N721" s="0" t="s">
        <v>93</v>
      </c>
      <c r="O721" s="0" t="s">
        <v>2629</v>
      </c>
      <c r="Q721" s="0" t="s">
        <v>251</v>
      </c>
      <c r="R721" s="0" t="n">
        <v>2</v>
      </c>
      <c r="S721" s="5" t="n">
        <v>802</v>
      </c>
      <c r="T721" s="0" t="s">
        <v>229</v>
      </c>
      <c r="U721" s="0" t="n">
        <v>1</v>
      </c>
      <c r="V721" s="0" t="s">
        <v>230</v>
      </c>
      <c r="X721" s="0" t="s">
        <v>232</v>
      </c>
      <c r="Y721" s="0" t="s">
        <v>308</v>
      </c>
      <c r="Z721" s="0" t="s">
        <v>3310</v>
      </c>
      <c r="AA721" s="0" t="s">
        <v>235</v>
      </c>
      <c r="AB721" s="32" t="n">
        <v>3600</v>
      </c>
      <c r="AC721" s="32" t="n">
        <v>3600</v>
      </c>
      <c r="AD721" s="26" t="n">
        <f aca="false">IFERROR(AB721/B721,"")</f>
        <v>4.48877805486284</v>
      </c>
      <c r="AE721" s="26" t="n">
        <f aca="false">IFERROR(AC721/B721,"")</f>
        <v>4.48877805486284</v>
      </c>
      <c r="AF721" s="0" t="s">
        <v>236</v>
      </c>
      <c r="AG721" s="0" t="s">
        <v>236</v>
      </c>
      <c r="AH721" s="0" t="s">
        <v>230</v>
      </c>
      <c r="AI721" s="0" t="s">
        <v>1570</v>
      </c>
      <c r="AJ721" s="0" t="s">
        <v>3317</v>
      </c>
      <c r="AK721" s="0" t="s">
        <v>3318</v>
      </c>
      <c r="AL721" s="0" t="s">
        <v>3319</v>
      </c>
      <c r="AM721" s="0" t="s">
        <v>94</v>
      </c>
      <c r="AN721" s="26" t="n">
        <f aca="false">IFERROR(E721*(1+IF(AM721="Apartment",Data_Summary!$C$3,0)),"")</f>
        <v>4.48877805486284</v>
      </c>
      <c r="AO721" s="4" t="n">
        <v>46195</v>
      </c>
    </row>
    <row r="722" customFormat="false" ht="15" hidden="false" customHeight="false" outlineLevel="0" collapsed="false">
      <c r="A722" s="0" t="n">
        <f aca="false">IF(AND(ISNUMBER(B722),B722&gt;0,ISNUMBER(AB722),AB722&gt;0,J722&gt;=Data_Summary!$C$1),1,0)</f>
        <v>1</v>
      </c>
      <c r="B722" s="30" t="n">
        <v>579</v>
      </c>
      <c r="C722" s="5" t="n">
        <f aca="false">IF(ISNUMBER(AB722),AB722,"")</f>
        <v>2400</v>
      </c>
      <c r="D722" s="0" t="n">
        <f aca="false">IF(ISNUMBER(C722),C722-U722*Data_Summary!$C$2,"")</f>
        <v>2400</v>
      </c>
      <c r="E722" s="31" t="n">
        <f aca="false">IFERROR(C722/B722,"")</f>
        <v>4.14507772020725</v>
      </c>
      <c r="F722" s="26" t="n">
        <f aca="false">IFERROR(D722/B722,"")</f>
        <v>4.14507772020725</v>
      </c>
      <c r="G722" s="0" t="str">
        <f aca="false">Q722</f>
        <v>1+1</v>
      </c>
      <c r="H722" s="0" t="str">
        <f aca="false">IFERROR(LEFT(G722,1),"")</f>
        <v>1</v>
      </c>
      <c r="I722" s="0" t="n">
        <f aca="false">IF(LEN(G722)&gt;1,1,0)</f>
        <v>1</v>
      </c>
      <c r="J722" s="4" t="n">
        <v>46179</v>
      </c>
      <c r="K722" s="0" t="s">
        <v>14</v>
      </c>
      <c r="L722" s="0" t="s">
        <v>104</v>
      </c>
      <c r="M722" s="0" t="s">
        <v>226</v>
      </c>
      <c r="N722" s="0" t="s">
        <v>93</v>
      </c>
      <c r="O722" s="0" t="s">
        <v>735</v>
      </c>
      <c r="Q722" s="0" t="s">
        <v>270</v>
      </c>
      <c r="R722" s="0" t="n">
        <v>1</v>
      </c>
      <c r="S722" s="5" t="n">
        <v>579</v>
      </c>
      <c r="T722" s="0" t="s">
        <v>243</v>
      </c>
      <c r="U722" s="0" t="n">
        <v>0</v>
      </c>
      <c r="V722" s="0" t="s">
        <v>230</v>
      </c>
      <c r="W722" s="0" t="s">
        <v>231</v>
      </c>
      <c r="X722" s="0" t="s">
        <v>232</v>
      </c>
      <c r="Y722" s="0" t="s">
        <v>278</v>
      </c>
      <c r="Z722" s="0" t="s">
        <v>3310</v>
      </c>
      <c r="AA722" s="0" t="s">
        <v>235</v>
      </c>
      <c r="AB722" s="32" t="n">
        <v>2400</v>
      </c>
      <c r="AC722" s="32" t="n">
        <v>2400</v>
      </c>
      <c r="AD722" s="26" t="n">
        <f aca="false">IFERROR(AB722/B722,"")</f>
        <v>4.14507772020725</v>
      </c>
      <c r="AE722" s="26" t="n">
        <f aca="false">IFERROR(AC722/B722,"")</f>
        <v>4.14507772020725</v>
      </c>
      <c r="AF722" s="0" t="s">
        <v>236</v>
      </c>
      <c r="AG722" s="0" t="s">
        <v>236</v>
      </c>
      <c r="AH722" s="0" t="s">
        <v>230</v>
      </c>
      <c r="AI722" s="0" t="s">
        <v>2678</v>
      </c>
      <c r="AJ722" s="0" t="s">
        <v>3320</v>
      </c>
      <c r="AK722" s="0" t="s">
        <v>3321</v>
      </c>
      <c r="AL722" s="0" t="s">
        <v>3322</v>
      </c>
      <c r="AM722" s="0" t="s">
        <v>94</v>
      </c>
      <c r="AN722" s="26" t="n">
        <f aca="false">IFERROR(E722*(1+IF(AM722="Apartment",Data_Summary!$C$3,0)),"")</f>
        <v>4.14507772020725</v>
      </c>
      <c r="AO722" s="4" t="n">
        <v>46195</v>
      </c>
    </row>
    <row r="723" customFormat="false" ht="15" hidden="false" customHeight="false" outlineLevel="0" collapsed="false">
      <c r="A723" s="0" t="n">
        <f aca="false">IF(AND(ISNUMBER(B723),B723&gt;0,ISNUMBER(AB723),AB723&gt;0,J723&gt;=Data_Summary!$C$1),1,0)</f>
        <v>1</v>
      </c>
      <c r="B723" s="30" t="n">
        <v>507</v>
      </c>
      <c r="C723" s="5" t="n">
        <f aca="false">IF(ISNUMBER(AB723),AB723,"")</f>
        <v>2250</v>
      </c>
      <c r="D723" s="0" t="n">
        <f aca="false">IF(ISNUMBER(C723),C723-U723*Data_Summary!$C$2,"")</f>
        <v>2250</v>
      </c>
      <c r="E723" s="31" t="n">
        <f aca="false">IFERROR(C723/B723,"")</f>
        <v>4.43786982248521</v>
      </c>
      <c r="F723" s="26" t="n">
        <f aca="false">IFERROR(D723/B723,"")</f>
        <v>4.43786982248521</v>
      </c>
      <c r="G723" s="0" t="str">
        <f aca="false">Q723</f>
        <v>1</v>
      </c>
      <c r="H723" s="0" t="str">
        <f aca="false">IFERROR(LEFT(G723,1),"")</f>
        <v>1</v>
      </c>
      <c r="I723" s="0" t="n">
        <f aca="false">IF(LEN(G723)&gt;1,1,0)</f>
        <v>0</v>
      </c>
      <c r="J723" s="4" t="n">
        <v>46178</v>
      </c>
      <c r="K723" s="0" t="s">
        <v>14</v>
      </c>
      <c r="L723" s="0" t="s">
        <v>104</v>
      </c>
      <c r="M723" s="0" t="s">
        <v>226</v>
      </c>
      <c r="N723" s="0" t="s">
        <v>93</v>
      </c>
      <c r="O723" s="0" t="s">
        <v>972</v>
      </c>
      <c r="Q723" s="0" t="s">
        <v>242</v>
      </c>
      <c r="R723" s="0" t="n">
        <v>1</v>
      </c>
      <c r="S723" s="5" t="n">
        <v>507</v>
      </c>
      <c r="T723" s="0" t="s">
        <v>243</v>
      </c>
      <c r="U723" s="0" t="n">
        <v>0</v>
      </c>
      <c r="V723" s="0" t="s">
        <v>230</v>
      </c>
      <c r="W723" s="0" t="s">
        <v>244</v>
      </c>
      <c r="X723" s="0" t="s">
        <v>232</v>
      </c>
      <c r="Y723" s="0" t="s">
        <v>245</v>
      </c>
      <c r="Z723" s="0" t="s">
        <v>3310</v>
      </c>
      <c r="AA723" s="0" t="s">
        <v>235</v>
      </c>
      <c r="AB723" s="32" t="n">
        <v>2250</v>
      </c>
      <c r="AC723" s="32" t="n">
        <v>2250</v>
      </c>
      <c r="AD723" s="26" t="n">
        <f aca="false">IFERROR(AB723/B723,"")</f>
        <v>4.43786982248521</v>
      </c>
      <c r="AE723" s="26" t="n">
        <f aca="false">IFERROR(AC723/B723,"")</f>
        <v>4.43786982248521</v>
      </c>
      <c r="AF723" s="0" t="s">
        <v>236</v>
      </c>
      <c r="AG723" s="0" t="s">
        <v>236</v>
      </c>
      <c r="AH723" s="0" t="s">
        <v>230</v>
      </c>
      <c r="AI723" s="0" t="s">
        <v>298</v>
      </c>
      <c r="AJ723" s="0" t="s">
        <v>3323</v>
      </c>
      <c r="AK723" s="0" t="s">
        <v>3324</v>
      </c>
      <c r="AL723" s="0" t="s">
        <v>3325</v>
      </c>
      <c r="AM723" s="0" t="s">
        <v>94</v>
      </c>
      <c r="AN723" s="26" t="n">
        <f aca="false">IFERROR(E723*(1+IF(AM723="Apartment",Data_Summary!$C$3,0)),"")</f>
        <v>4.43786982248521</v>
      </c>
      <c r="AO723" s="4" t="n">
        <v>46195</v>
      </c>
    </row>
    <row r="724" customFormat="false" ht="15" hidden="false" customHeight="false" outlineLevel="0" collapsed="false">
      <c r="A724" s="0" t="n">
        <f aca="false">IF(AND(ISNUMBER(B724),B724&gt;0,ISNUMBER(AB724),AB724&gt;0,J724&gt;=Data_Summary!$C$1),1,0)</f>
        <v>1</v>
      </c>
      <c r="B724" s="33" t="n">
        <v>500</v>
      </c>
      <c r="C724" s="5" t="n">
        <f aca="false">IF(ISNUMBER(AB724),AB724,"")</f>
        <v>2300</v>
      </c>
      <c r="D724" s="0" t="n">
        <f aca="false">IF(ISNUMBER(C724),C724-U724*Data_Summary!$C$2,"")</f>
        <v>2300</v>
      </c>
      <c r="E724" s="34" t="n">
        <f aca="false">IFERROR(C724/B724,"")</f>
        <v>4.6</v>
      </c>
      <c r="F724" s="26" t="n">
        <f aca="false">IFERROR(D724/B724,"")</f>
        <v>4.6</v>
      </c>
      <c r="G724" s="0" t="str">
        <f aca="false">Q724</f>
        <v>1</v>
      </c>
      <c r="H724" s="0" t="str">
        <f aca="false">IFERROR(LEFT(G724,1),"")</f>
        <v>1</v>
      </c>
      <c r="I724" s="0" t="n">
        <f aca="false">IF(LEN(G724)&gt;1,1,0)</f>
        <v>0</v>
      </c>
      <c r="J724" s="4" t="n">
        <v>46172</v>
      </c>
      <c r="K724" s="0" t="s">
        <v>14</v>
      </c>
      <c r="L724" s="0" t="s">
        <v>104</v>
      </c>
      <c r="M724" s="0" t="s">
        <v>226</v>
      </c>
      <c r="N724" s="0" t="s">
        <v>93</v>
      </c>
      <c r="O724" s="0" t="s">
        <v>539</v>
      </c>
      <c r="Q724" s="0" t="s">
        <v>242</v>
      </c>
      <c r="R724" s="0" t="n">
        <v>1</v>
      </c>
      <c r="S724" s="5" t="n">
        <v>500</v>
      </c>
      <c r="T724" s="0" t="s">
        <v>243</v>
      </c>
      <c r="U724" s="0" t="n">
        <v>0</v>
      </c>
      <c r="V724" s="0" t="s">
        <v>230</v>
      </c>
      <c r="W724" s="0" t="s">
        <v>244</v>
      </c>
      <c r="X724" s="0" t="s">
        <v>232</v>
      </c>
      <c r="Y724" s="0" t="s">
        <v>245</v>
      </c>
      <c r="Z724" s="0" t="s">
        <v>3310</v>
      </c>
      <c r="AA724" s="0" t="s">
        <v>235</v>
      </c>
      <c r="AB724" s="32" t="n">
        <v>2300</v>
      </c>
      <c r="AC724" s="32" t="n">
        <v>2300</v>
      </c>
      <c r="AD724" s="26" t="n">
        <f aca="false">IFERROR(AB724/B724,"")</f>
        <v>4.6</v>
      </c>
      <c r="AE724" s="26" t="n">
        <f aca="false">IFERROR(AC724/B724,"")</f>
        <v>4.6</v>
      </c>
      <c r="AF724" s="0" t="s">
        <v>230</v>
      </c>
      <c r="AG724" s="0" t="s">
        <v>236</v>
      </c>
      <c r="AH724" s="0" t="s">
        <v>230</v>
      </c>
      <c r="AI724" s="0" t="s">
        <v>327</v>
      </c>
      <c r="AJ724" s="0" t="s">
        <v>3326</v>
      </c>
      <c r="AK724" s="0" t="s">
        <v>3327</v>
      </c>
      <c r="AL724" s="0" t="s">
        <v>3328</v>
      </c>
      <c r="AM724" s="0" t="s">
        <v>94</v>
      </c>
      <c r="AN724" s="26" t="n">
        <f aca="false">IFERROR(E724*(1+IF(AM724="Apartment",Data_Summary!$C$3,0)),"")</f>
        <v>4.6</v>
      </c>
      <c r="AO724" s="4" t="n">
        <v>46195</v>
      </c>
    </row>
    <row r="725" customFormat="false" ht="15" hidden="false" customHeight="false" outlineLevel="0" collapsed="false">
      <c r="A725" s="0" t="n">
        <f aca="false">IF(AND(ISNUMBER(B725),B725&gt;0,ISNUMBER(AB725),AB725&gt;0,J725&gt;=Data_Summary!$C$1),1,0)</f>
        <v>1</v>
      </c>
      <c r="B725" s="30" t="n">
        <v>560</v>
      </c>
      <c r="C725" s="5" t="n">
        <f aca="false">IF(ISNUMBER(AB725),AB725,"")</f>
        <v>2400</v>
      </c>
      <c r="D725" s="0" t="n">
        <f aca="false">IF(ISNUMBER(C725),C725-U725*Data_Summary!$C$2,"")</f>
        <v>2400</v>
      </c>
      <c r="E725" s="31" t="n">
        <f aca="false">IFERROR(C725/B725,"")</f>
        <v>4.28571428571429</v>
      </c>
      <c r="F725" s="26" t="n">
        <f aca="false">IFERROR(D725/B725,"")</f>
        <v>4.28571428571429</v>
      </c>
      <c r="G725" s="0" t="str">
        <f aca="false">Q725</f>
        <v>1+1</v>
      </c>
      <c r="H725" s="0" t="str">
        <f aca="false">IFERROR(LEFT(G725,1),"")</f>
        <v>1</v>
      </c>
      <c r="I725" s="0" t="n">
        <f aca="false">IF(LEN(G725)&gt;1,1,0)</f>
        <v>1</v>
      </c>
      <c r="J725" s="4" t="n">
        <v>46171</v>
      </c>
      <c r="K725" s="0" t="s">
        <v>14</v>
      </c>
      <c r="L725" s="0" t="s">
        <v>104</v>
      </c>
      <c r="M725" s="0" t="s">
        <v>226</v>
      </c>
      <c r="N725" s="0" t="s">
        <v>93</v>
      </c>
      <c r="O725" s="0" t="s">
        <v>1896</v>
      </c>
      <c r="Q725" s="0" t="s">
        <v>270</v>
      </c>
      <c r="R725" s="0" t="n">
        <v>1</v>
      </c>
      <c r="S725" s="5" t="n">
        <v>560</v>
      </c>
      <c r="T725" s="0" t="s">
        <v>243</v>
      </c>
      <c r="U725" s="0" t="n">
        <v>0</v>
      </c>
      <c r="V725" s="0" t="s">
        <v>230</v>
      </c>
      <c r="W725" s="0" t="s">
        <v>244</v>
      </c>
      <c r="X725" s="0" t="s">
        <v>232</v>
      </c>
      <c r="Y725" s="0" t="s">
        <v>272</v>
      </c>
      <c r="Z725" s="0" t="s">
        <v>3310</v>
      </c>
      <c r="AA725" s="0" t="s">
        <v>235</v>
      </c>
      <c r="AB725" s="32" t="n">
        <v>2400</v>
      </c>
      <c r="AC725" s="32" t="n">
        <v>2400</v>
      </c>
      <c r="AD725" s="26" t="n">
        <f aca="false">IFERROR(AB725/B725,"")</f>
        <v>4.28571428571429</v>
      </c>
      <c r="AE725" s="26" t="n">
        <f aca="false">IFERROR(AC725/B725,"")</f>
        <v>4.28571428571429</v>
      </c>
      <c r="AF725" s="0" t="s">
        <v>236</v>
      </c>
      <c r="AG725" s="0" t="s">
        <v>236</v>
      </c>
      <c r="AH725" s="0" t="s">
        <v>236</v>
      </c>
      <c r="AI725" s="0" t="s">
        <v>344</v>
      </c>
      <c r="AJ725" s="0" t="s">
        <v>3329</v>
      </c>
      <c r="AK725" s="0" t="s">
        <v>3330</v>
      </c>
      <c r="AL725" s="0" t="s">
        <v>3331</v>
      </c>
      <c r="AM725" s="0" t="s">
        <v>94</v>
      </c>
      <c r="AN725" s="26" t="n">
        <f aca="false">IFERROR(E725*(1+IF(AM725="Apartment",Data_Summary!$C$3,0)),"")</f>
        <v>4.28571428571429</v>
      </c>
      <c r="AO725" s="4" t="n">
        <v>46195</v>
      </c>
    </row>
    <row r="726" customFormat="false" ht="15" hidden="false" customHeight="false" outlineLevel="0" collapsed="false">
      <c r="A726" s="0" t="n">
        <f aca="false">IF(AND(ISNUMBER(B726),B726&gt;0,ISNUMBER(AB726),AB726&gt;0,J726&gt;=Data_Summary!$C$1),1,0)</f>
        <v>1</v>
      </c>
      <c r="B726" s="30" t="n">
        <v>579</v>
      </c>
      <c r="C726" s="5" t="n">
        <f aca="false">IF(ISNUMBER(AB726),AB726,"")</f>
        <v>2650</v>
      </c>
      <c r="D726" s="0" t="n">
        <f aca="false">IF(ISNUMBER(C726),C726-U726*Data_Summary!$C$2,"")</f>
        <v>2500</v>
      </c>
      <c r="E726" s="31" t="n">
        <f aca="false">IFERROR(C726/B726,"")</f>
        <v>4.57685664939551</v>
      </c>
      <c r="F726" s="26" t="n">
        <f aca="false">IFERROR(D726/B726,"")</f>
        <v>4.31778929188256</v>
      </c>
      <c r="G726" s="0" t="str">
        <f aca="false">Q726</f>
        <v>1+1</v>
      </c>
      <c r="H726" s="0" t="str">
        <f aca="false">IFERROR(LEFT(G726,1),"")</f>
        <v>1</v>
      </c>
      <c r="I726" s="0" t="n">
        <f aca="false">IF(LEN(G726)&gt;1,1,0)</f>
        <v>1</v>
      </c>
      <c r="J726" s="4" t="n">
        <v>46168</v>
      </c>
      <c r="K726" s="0" t="s">
        <v>14</v>
      </c>
      <c r="L726" s="0" t="s">
        <v>104</v>
      </c>
      <c r="M726" s="0" t="s">
        <v>226</v>
      </c>
      <c r="N726" s="0" t="s">
        <v>93</v>
      </c>
      <c r="O726" s="0" t="s">
        <v>2351</v>
      </c>
      <c r="Q726" s="0" t="s">
        <v>270</v>
      </c>
      <c r="R726" s="0" t="n">
        <v>1</v>
      </c>
      <c r="S726" s="5" t="n">
        <v>579</v>
      </c>
      <c r="T726" s="0" t="s">
        <v>243</v>
      </c>
      <c r="U726" s="0" t="n">
        <v>1</v>
      </c>
      <c r="V726" s="0" t="s">
        <v>230</v>
      </c>
      <c r="W726" s="0" t="s">
        <v>231</v>
      </c>
      <c r="X726" s="0" t="s">
        <v>232</v>
      </c>
      <c r="Y726" s="0" t="s">
        <v>278</v>
      </c>
      <c r="Z726" s="0" t="s">
        <v>3310</v>
      </c>
      <c r="AA726" s="0" t="s">
        <v>235</v>
      </c>
      <c r="AB726" s="32" t="n">
        <v>2650</v>
      </c>
      <c r="AC726" s="32" t="n">
        <v>2650</v>
      </c>
      <c r="AD726" s="26" t="n">
        <f aca="false">IFERROR(AB726/B726,"")</f>
        <v>4.57685664939551</v>
      </c>
      <c r="AE726" s="26" t="n">
        <f aca="false">IFERROR(AC726/B726,"")</f>
        <v>4.57685664939551</v>
      </c>
      <c r="AF726" s="0" t="s">
        <v>236</v>
      </c>
      <c r="AG726" s="0" t="s">
        <v>236</v>
      </c>
      <c r="AH726" s="0" t="s">
        <v>230</v>
      </c>
      <c r="AI726" s="0" t="s">
        <v>358</v>
      </c>
      <c r="AJ726" s="0" t="s">
        <v>3332</v>
      </c>
      <c r="AK726" s="0" t="s">
        <v>3333</v>
      </c>
      <c r="AL726" s="0" t="s">
        <v>3334</v>
      </c>
      <c r="AM726" s="0" t="s">
        <v>94</v>
      </c>
      <c r="AN726" s="26" t="n">
        <f aca="false">IFERROR(E726*(1+IF(AM726="Apartment",Data_Summary!$C$3,0)),"")</f>
        <v>4.57685664939551</v>
      </c>
      <c r="AO726" s="4" t="n">
        <v>46195</v>
      </c>
    </row>
    <row r="727" customFormat="false" ht="15" hidden="false" customHeight="false" outlineLevel="0" collapsed="false">
      <c r="A727" s="0" t="n">
        <f aca="false">IF(AND(ISNUMBER(B727),B727&gt;0,ISNUMBER(AB727),AB727&gt;0,J727&gt;=Data_Summary!$C$1),1,0)</f>
        <v>1</v>
      </c>
      <c r="B727" s="30" t="n">
        <v>898</v>
      </c>
      <c r="C727" s="5" t="n">
        <f aca="false">IF(ISNUMBER(AB727),AB727,"")</f>
        <v>3700</v>
      </c>
      <c r="D727" s="0" t="n">
        <f aca="false">IF(ISNUMBER(C727),C727-U727*Data_Summary!$C$2,"")</f>
        <v>3550</v>
      </c>
      <c r="E727" s="31" t="n">
        <f aca="false">IFERROR(C727/B727,"")</f>
        <v>4.12026726057906</v>
      </c>
      <c r="F727" s="26" t="n">
        <f aca="false">IFERROR(D727/B727,"")</f>
        <v>3.9532293986637</v>
      </c>
      <c r="G727" s="0" t="str">
        <f aca="false">Q727</f>
        <v>2+1</v>
      </c>
      <c r="H727" s="0" t="str">
        <f aca="false">IFERROR(LEFT(G727,1),"")</f>
        <v>2</v>
      </c>
      <c r="I727" s="0" t="n">
        <f aca="false">IF(LEN(G727)&gt;1,1,0)</f>
        <v>1</v>
      </c>
      <c r="J727" s="4" t="n">
        <v>46167</v>
      </c>
      <c r="K727" s="0" t="s">
        <v>14</v>
      </c>
      <c r="L727" s="0" t="s">
        <v>104</v>
      </c>
      <c r="M727" s="0" t="s">
        <v>226</v>
      </c>
      <c r="N727" s="0" t="s">
        <v>93</v>
      </c>
      <c r="O727" s="0" t="s">
        <v>2468</v>
      </c>
      <c r="Q727" s="0" t="s">
        <v>451</v>
      </c>
      <c r="R727" s="0" t="n">
        <v>2</v>
      </c>
      <c r="S727" s="5" t="n">
        <v>898</v>
      </c>
      <c r="T727" s="0" t="s">
        <v>229</v>
      </c>
      <c r="U727" s="0" t="n">
        <v>1</v>
      </c>
      <c r="V727" s="0" t="s">
        <v>230</v>
      </c>
      <c r="W727" s="0" t="s">
        <v>231</v>
      </c>
      <c r="X727" s="0" t="s">
        <v>232</v>
      </c>
      <c r="Y727" s="0" t="s">
        <v>297</v>
      </c>
      <c r="Z727" s="0" t="s">
        <v>3310</v>
      </c>
      <c r="AA727" s="0" t="s">
        <v>235</v>
      </c>
      <c r="AB727" s="32" t="n">
        <v>3700</v>
      </c>
      <c r="AC727" s="32" t="n">
        <v>3900</v>
      </c>
      <c r="AD727" s="26" t="n">
        <f aca="false">IFERROR(AB727/B727,"")</f>
        <v>4.12026726057906</v>
      </c>
      <c r="AE727" s="26" t="n">
        <f aca="false">IFERROR(AC727/B727,"")</f>
        <v>4.34298440979956</v>
      </c>
      <c r="AF727" s="0" t="s">
        <v>236</v>
      </c>
      <c r="AG727" s="0" t="s">
        <v>236</v>
      </c>
      <c r="AH727" s="0" t="s">
        <v>230</v>
      </c>
      <c r="AI727" s="0" t="s">
        <v>363</v>
      </c>
      <c r="AJ727" s="0" t="s">
        <v>3335</v>
      </c>
      <c r="AK727" s="0" t="s">
        <v>3336</v>
      </c>
      <c r="AL727" s="0" t="s">
        <v>3337</v>
      </c>
      <c r="AM727" s="0" t="s">
        <v>94</v>
      </c>
      <c r="AN727" s="26" t="n">
        <f aca="false">IFERROR(E727*(1+IF(AM727="Apartment",Data_Summary!$C$3,0)),"")</f>
        <v>4.12026726057906</v>
      </c>
      <c r="AO727" s="4" t="n">
        <v>46195</v>
      </c>
    </row>
    <row r="728" customFormat="false" ht="15" hidden="false" customHeight="false" outlineLevel="0" collapsed="false">
      <c r="A728" s="0" t="n">
        <f aca="false">IF(AND(ISNUMBER(B728),B728&gt;0,ISNUMBER(AB728),AB728&gt;0,J728&gt;=Data_Summary!$C$1),1,0)</f>
        <v>1</v>
      </c>
      <c r="B728" s="30" t="n">
        <v>898</v>
      </c>
      <c r="C728" s="5" t="n">
        <f aca="false">IF(ISNUMBER(AB728),AB728,"")</f>
        <v>3700</v>
      </c>
      <c r="D728" s="0" t="n">
        <f aca="false">IF(ISNUMBER(C728),C728-U728*Data_Summary!$C$2,"")</f>
        <v>3550</v>
      </c>
      <c r="E728" s="31" t="n">
        <f aca="false">IFERROR(C728/B728,"")</f>
        <v>4.12026726057906</v>
      </c>
      <c r="F728" s="26" t="n">
        <f aca="false">IFERROR(D728/B728,"")</f>
        <v>3.9532293986637</v>
      </c>
      <c r="G728" s="0" t="str">
        <f aca="false">Q728</f>
        <v>3</v>
      </c>
      <c r="H728" s="0" t="str">
        <f aca="false">IFERROR(LEFT(G728,1),"")</f>
        <v>3</v>
      </c>
      <c r="I728" s="0" t="n">
        <f aca="false">IF(LEN(G728)&gt;1,1,0)</f>
        <v>0</v>
      </c>
      <c r="J728" s="4" t="n">
        <v>46167</v>
      </c>
      <c r="K728" s="0" t="s">
        <v>14</v>
      </c>
      <c r="L728" s="0" t="s">
        <v>104</v>
      </c>
      <c r="M728" s="0" t="s">
        <v>226</v>
      </c>
      <c r="N728" s="0" t="s">
        <v>93</v>
      </c>
      <c r="O728" s="0" t="s">
        <v>1863</v>
      </c>
      <c r="Q728" s="0" t="s">
        <v>228</v>
      </c>
      <c r="R728" s="0" t="n">
        <v>2</v>
      </c>
      <c r="S728" s="5" t="n">
        <v>898</v>
      </c>
      <c r="T728" s="0" t="s">
        <v>229</v>
      </c>
      <c r="U728" s="0" t="n">
        <v>1</v>
      </c>
      <c r="V728" s="0" t="s">
        <v>230</v>
      </c>
      <c r="W728" s="0" t="s">
        <v>244</v>
      </c>
      <c r="X728" s="0" t="s">
        <v>232</v>
      </c>
      <c r="Y728" s="0" t="s">
        <v>297</v>
      </c>
      <c r="Z728" s="0" t="s">
        <v>3310</v>
      </c>
      <c r="AA728" s="0" t="s">
        <v>235</v>
      </c>
      <c r="AB728" s="32" t="n">
        <v>3700</v>
      </c>
      <c r="AC728" s="32" t="n">
        <v>3700</v>
      </c>
      <c r="AD728" s="26" t="n">
        <f aca="false">IFERROR(AB728/B728,"")</f>
        <v>4.12026726057906</v>
      </c>
      <c r="AE728" s="26" t="n">
        <f aca="false">IFERROR(AC728/B728,"")</f>
        <v>4.12026726057906</v>
      </c>
      <c r="AF728" s="0" t="s">
        <v>236</v>
      </c>
      <c r="AG728" s="0" t="s">
        <v>236</v>
      </c>
      <c r="AH728" s="0" t="s">
        <v>230</v>
      </c>
      <c r="AI728" s="0" t="s">
        <v>363</v>
      </c>
      <c r="AJ728" s="0" t="s">
        <v>3338</v>
      </c>
      <c r="AK728" s="0" t="s">
        <v>3339</v>
      </c>
      <c r="AL728" s="0" t="s">
        <v>3337</v>
      </c>
      <c r="AM728" s="0" t="s">
        <v>94</v>
      </c>
      <c r="AN728" s="26" t="n">
        <f aca="false">IFERROR(E728*(1+IF(AM728="Apartment",Data_Summary!$C$3,0)),"")</f>
        <v>4.12026726057906</v>
      </c>
      <c r="AO728" s="4" t="n">
        <v>46195</v>
      </c>
    </row>
    <row r="729" customFormat="false" ht="15" hidden="false" customHeight="false" outlineLevel="0" collapsed="false">
      <c r="A729" s="0" t="n">
        <f aca="false">IF(AND(ISNUMBER(B729),B729&gt;0,ISNUMBER(AB729),AB729&gt;0,J729&gt;=Data_Summary!$C$1),1,0)</f>
        <v>1</v>
      </c>
      <c r="B729" s="30" t="n">
        <v>1038</v>
      </c>
      <c r="C729" s="5" t="n">
        <f aca="false">IF(ISNUMBER(AB729),AB729,"")</f>
        <v>3900</v>
      </c>
      <c r="D729" s="0" t="n">
        <f aca="false">IF(ISNUMBER(C729),C729-U729*Data_Summary!$C$2,"")</f>
        <v>3750</v>
      </c>
      <c r="E729" s="31" t="n">
        <f aca="false">IFERROR(C729/B729,"")</f>
        <v>3.75722543352601</v>
      </c>
      <c r="F729" s="26" t="n">
        <f aca="false">IFERROR(D729/B729,"")</f>
        <v>3.61271676300578</v>
      </c>
      <c r="G729" s="0" t="str">
        <f aca="false">Q729</f>
        <v>3</v>
      </c>
      <c r="H729" s="0" t="str">
        <f aca="false">IFERROR(LEFT(G729,1),"")</f>
        <v>3</v>
      </c>
      <c r="I729" s="0" t="n">
        <f aca="false">IF(LEN(G729)&gt;1,1,0)</f>
        <v>0</v>
      </c>
      <c r="J729" s="4" t="n">
        <v>46164</v>
      </c>
      <c r="K729" s="0" t="s">
        <v>14</v>
      </c>
      <c r="L729" s="0" t="s">
        <v>104</v>
      </c>
      <c r="M729" s="0" t="s">
        <v>226</v>
      </c>
      <c r="N729" s="0" t="s">
        <v>93</v>
      </c>
      <c r="O729" s="0" t="s">
        <v>2219</v>
      </c>
      <c r="Q729" s="0" t="s">
        <v>228</v>
      </c>
      <c r="R729" s="0" t="n">
        <v>2</v>
      </c>
      <c r="S729" s="5" t="n">
        <v>1038</v>
      </c>
      <c r="T729" s="0" t="s">
        <v>265</v>
      </c>
      <c r="U729" s="0" t="n">
        <v>1</v>
      </c>
      <c r="V729" s="0" t="s">
        <v>230</v>
      </c>
      <c r="W729" s="0" t="s">
        <v>231</v>
      </c>
      <c r="X729" s="0" t="s">
        <v>232</v>
      </c>
      <c r="Y729" s="0" t="s">
        <v>260</v>
      </c>
      <c r="Z729" s="0" t="s">
        <v>3310</v>
      </c>
      <c r="AA729" s="0" t="s">
        <v>235</v>
      </c>
      <c r="AB729" s="32" t="n">
        <v>3900</v>
      </c>
      <c r="AC729" s="32" t="n">
        <v>3900</v>
      </c>
      <c r="AD729" s="26" t="n">
        <f aca="false">IFERROR(AB729/B729,"")</f>
        <v>3.75722543352601</v>
      </c>
      <c r="AE729" s="26" t="n">
        <f aca="false">IFERROR(AC729/B729,"")</f>
        <v>3.75722543352601</v>
      </c>
      <c r="AF729" s="0" t="s">
        <v>236</v>
      </c>
      <c r="AG729" s="0" t="s">
        <v>236</v>
      </c>
      <c r="AH729" s="0" t="s">
        <v>230</v>
      </c>
      <c r="AI729" s="0" t="s">
        <v>3340</v>
      </c>
      <c r="AJ729" s="0" t="s">
        <v>3341</v>
      </c>
      <c r="AK729" s="0" t="s">
        <v>3342</v>
      </c>
      <c r="AL729" s="0" t="s">
        <v>3343</v>
      </c>
      <c r="AM729" s="0" t="s">
        <v>94</v>
      </c>
      <c r="AN729" s="26" t="n">
        <f aca="false">IFERROR(E729*(1+IF(AM729="Apartment",Data_Summary!$C$3,0)),"")</f>
        <v>3.75722543352601</v>
      </c>
      <c r="AO729" s="4" t="n">
        <v>46195</v>
      </c>
    </row>
    <row r="730" customFormat="false" ht="15" hidden="false" customHeight="false" outlineLevel="0" collapsed="false">
      <c r="A730" s="0" t="n">
        <f aca="false">IF(AND(ISNUMBER(B730),B730&gt;0,ISNUMBER(AB730),AB730&gt;0,J730&gt;=Data_Summary!$C$1),1,0)</f>
        <v>1</v>
      </c>
      <c r="B730" s="30" t="n">
        <v>705</v>
      </c>
      <c r="C730" s="5" t="n">
        <f aca="false">IF(ISNUMBER(AB730),AB730,"")</f>
        <v>2850</v>
      </c>
      <c r="D730" s="0" t="n">
        <f aca="false">IF(ISNUMBER(C730),C730-U730*Data_Summary!$C$2,"")</f>
        <v>2850</v>
      </c>
      <c r="E730" s="31" t="n">
        <f aca="false">IFERROR(C730/B730,"")</f>
        <v>4.04255319148936</v>
      </c>
      <c r="F730" s="26" t="n">
        <f aca="false">IFERROR(D730/B730,"")</f>
        <v>4.04255319148936</v>
      </c>
      <c r="G730" s="0" t="str">
        <f aca="false">Q730</f>
        <v>2</v>
      </c>
      <c r="H730" s="0" t="str">
        <f aca="false">IFERROR(LEFT(G730,1),"")</f>
        <v>2</v>
      </c>
      <c r="I730" s="0" t="n">
        <f aca="false">IF(LEN(G730)&gt;1,1,0)</f>
        <v>0</v>
      </c>
      <c r="J730" s="4" t="n">
        <v>46158</v>
      </c>
      <c r="K730" s="0" t="s">
        <v>14</v>
      </c>
      <c r="L730" s="0" t="s">
        <v>104</v>
      </c>
      <c r="M730" s="0" t="s">
        <v>226</v>
      </c>
      <c r="N730" s="0" t="s">
        <v>93</v>
      </c>
      <c r="O730" s="0" t="s">
        <v>1574</v>
      </c>
      <c r="Q730" s="0" t="s">
        <v>251</v>
      </c>
      <c r="R730" s="0" t="n">
        <v>1</v>
      </c>
      <c r="S730" s="5" t="n">
        <v>705</v>
      </c>
      <c r="T730" s="0" t="s">
        <v>252</v>
      </c>
      <c r="U730" s="0" t="n">
        <v>0</v>
      </c>
      <c r="V730" s="0" t="s">
        <v>230</v>
      </c>
      <c r="W730" s="0" t="s">
        <v>244</v>
      </c>
      <c r="X730" s="0" t="s">
        <v>232</v>
      </c>
      <c r="Y730" s="0" t="s">
        <v>233</v>
      </c>
      <c r="Z730" s="0" t="s">
        <v>3310</v>
      </c>
      <c r="AA730" s="0" t="s">
        <v>235</v>
      </c>
      <c r="AB730" s="32" t="n">
        <v>2850</v>
      </c>
      <c r="AC730" s="32" t="n">
        <v>2800</v>
      </c>
      <c r="AD730" s="26" t="n">
        <f aca="false">IFERROR(AB730/B730,"")</f>
        <v>4.04255319148936</v>
      </c>
      <c r="AE730" s="26" t="n">
        <f aca="false">IFERROR(AC730/B730,"")</f>
        <v>3.97163120567376</v>
      </c>
      <c r="AF730" s="0" t="s">
        <v>236</v>
      </c>
      <c r="AG730" s="0" t="s">
        <v>236</v>
      </c>
      <c r="AH730" s="0" t="s">
        <v>230</v>
      </c>
      <c r="AI730" s="0" t="s">
        <v>3344</v>
      </c>
      <c r="AJ730" s="0" t="s">
        <v>3345</v>
      </c>
      <c r="AK730" s="0" t="s">
        <v>3346</v>
      </c>
      <c r="AL730" s="0" t="s">
        <v>3347</v>
      </c>
      <c r="AM730" s="0" t="s">
        <v>94</v>
      </c>
      <c r="AN730" s="26" t="n">
        <f aca="false">IFERROR(E730*(1+IF(AM730="Apartment",Data_Summary!$C$3,0)),"")</f>
        <v>4.04255319148936</v>
      </c>
      <c r="AO730" s="4" t="n">
        <v>46195</v>
      </c>
    </row>
    <row r="731" customFormat="false" ht="15" hidden="false" customHeight="false" outlineLevel="0" collapsed="false">
      <c r="A731" s="0" t="n">
        <f aca="false">IF(AND(ISNUMBER(B731),B731&gt;0,ISNUMBER(AB731),AB731&gt;0,J731&gt;=Data_Summary!$C$1),1,0)</f>
        <v>1</v>
      </c>
      <c r="B731" s="30" t="n">
        <v>570</v>
      </c>
      <c r="C731" s="5" t="n">
        <f aca="false">IF(ISNUMBER(AB731),AB731,"")</f>
        <v>2500</v>
      </c>
      <c r="D731" s="0" t="n">
        <f aca="false">IF(ISNUMBER(C731),C731-U731*Data_Summary!$C$2,"")</f>
        <v>2350</v>
      </c>
      <c r="E731" s="31" t="n">
        <f aca="false">IFERROR(C731/B731,"")</f>
        <v>4.3859649122807</v>
      </c>
      <c r="F731" s="26" t="n">
        <f aca="false">IFERROR(D731/B731,"")</f>
        <v>4.12280701754386</v>
      </c>
      <c r="G731" s="0" t="str">
        <f aca="false">Q731</f>
        <v>1+1</v>
      </c>
      <c r="H731" s="0" t="str">
        <f aca="false">IFERROR(LEFT(G731,1),"")</f>
        <v>1</v>
      </c>
      <c r="I731" s="0" t="n">
        <f aca="false">IF(LEN(G731)&gt;1,1,0)</f>
        <v>1</v>
      </c>
      <c r="J731" s="4" t="n">
        <v>46157</v>
      </c>
      <c r="K731" s="0" t="s">
        <v>14</v>
      </c>
      <c r="L731" s="0" t="s">
        <v>104</v>
      </c>
      <c r="M731" s="0" t="s">
        <v>226</v>
      </c>
      <c r="N731" s="0" t="s">
        <v>93</v>
      </c>
      <c r="O731" s="0" t="s">
        <v>3348</v>
      </c>
      <c r="Q731" s="0" t="s">
        <v>270</v>
      </c>
      <c r="R731" s="0" t="n">
        <v>1</v>
      </c>
      <c r="S731" s="5" t="n">
        <v>570</v>
      </c>
      <c r="T731" s="0" t="s">
        <v>243</v>
      </c>
      <c r="U731" s="0" t="n">
        <v>1</v>
      </c>
      <c r="V731" s="0" t="s">
        <v>230</v>
      </c>
      <c r="W731" s="0" t="s">
        <v>244</v>
      </c>
      <c r="X731" s="0" t="s">
        <v>232</v>
      </c>
      <c r="Y731" s="0" t="s">
        <v>245</v>
      </c>
      <c r="Z731" s="0" t="s">
        <v>3310</v>
      </c>
      <c r="AA731" s="0" t="s">
        <v>235</v>
      </c>
      <c r="AB731" s="32" t="n">
        <v>2500</v>
      </c>
      <c r="AC731" s="32" t="n">
        <v>2500</v>
      </c>
      <c r="AD731" s="26" t="n">
        <f aca="false">IFERROR(AB731/B731,"")</f>
        <v>4.3859649122807</v>
      </c>
      <c r="AE731" s="26" t="n">
        <f aca="false">IFERROR(AC731/B731,"")</f>
        <v>4.3859649122807</v>
      </c>
      <c r="AF731" s="0" t="s">
        <v>236</v>
      </c>
      <c r="AG731" s="0" t="s">
        <v>236</v>
      </c>
      <c r="AH731" s="0" t="s">
        <v>236</v>
      </c>
      <c r="AI731" s="0" t="s">
        <v>3349</v>
      </c>
      <c r="AJ731" s="0" t="s">
        <v>3350</v>
      </c>
      <c r="AK731" s="0" t="s">
        <v>3351</v>
      </c>
      <c r="AL731" s="0" t="s">
        <v>3352</v>
      </c>
      <c r="AM731" s="0" t="s">
        <v>94</v>
      </c>
      <c r="AN731" s="26" t="n">
        <f aca="false">IFERROR(E731*(1+IF(AM731="Apartment",Data_Summary!$C$3,0)),"")</f>
        <v>4.3859649122807</v>
      </c>
      <c r="AO731" s="4" t="n">
        <v>46195</v>
      </c>
    </row>
    <row r="732" customFormat="false" ht="15" hidden="false" customHeight="false" outlineLevel="0" collapsed="false">
      <c r="A732" s="0" t="n">
        <f aca="false">IF(AND(ISNUMBER(B732),B732&gt;0,ISNUMBER(AB732),AB732&gt;0,J732&gt;=Data_Summary!$C$1),1,0)</f>
        <v>1</v>
      </c>
      <c r="B732" s="30" t="n">
        <v>535</v>
      </c>
      <c r="C732" s="5" t="n">
        <f aca="false">IF(ISNUMBER(AB732),AB732,"")</f>
        <v>2295</v>
      </c>
      <c r="D732" s="0" t="n">
        <f aca="false">IF(ISNUMBER(C732),C732-U732*Data_Summary!$C$2,"")</f>
        <v>2295</v>
      </c>
      <c r="E732" s="31" t="n">
        <f aca="false">IFERROR(C732/B732,"")</f>
        <v>4.28971962616823</v>
      </c>
      <c r="F732" s="26" t="n">
        <f aca="false">IFERROR(D732/B732,"")</f>
        <v>4.28971962616823</v>
      </c>
      <c r="G732" s="0" t="str">
        <f aca="false">Q732</f>
        <v>1</v>
      </c>
      <c r="H732" s="0" t="str">
        <f aca="false">IFERROR(LEFT(G732,1),"")</f>
        <v>1</v>
      </c>
      <c r="I732" s="0" t="n">
        <f aca="false">IF(LEN(G732)&gt;1,1,0)</f>
        <v>0</v>
      </c>
      <c r="J732" s="4" t="n">
        <v>46156</v>
      </c>
      <c r="K732" s="0" t="s">
        <v>14</v>
      </c>
      <c r="L732" s="0" t="s">
        <v>104</v>
      </c>
      <c r="M732" s="0" t="s">
        <v>226</v>
      </c>
      <c r="N732" s="0" t="s">
        <v>93</v>
      </c>
      <c r="O732" s="0" t="s">
        <v>692</v>
      </c>
      <c r="Q732" s="0" t="s">
        <v>242</v>
      </c>
      <c r="R732" s="0" t="n">
        <v>1</v>
      </c>
      <c r="S732" s="5" t="n">
        <v>535</v>
      </c>
      <c r="T732" s="0" t="s">
        <v>243</v>
      </c>
      <c r="U732" s="0" t="n">
        <v>0</v>
      </c>
      <c r="V732" s="0" t="s">
        <v>230</v>
      </c>
      <c r="W732" s="0" t="s">
        <v>244</v>
      </c>
      <c r="X732" s="0" t="s">
        <v>232</v>
      </c>
      <c r="Y732" s="0" t="s">
        <v>245</v>
      </c>
      <c r="Z732" s="0" t="s">
        <v>3310</v>
      </c>
      <c r="AA732" s="0" t="s">
        <v>235</v>
      </c>
      <c r="AB732" s="32" t="n">
        <v>2295</v>
      </c>
      <c r="AC732" s="32" t="n">
        <v>2295</v>
      </c>
      <c r="AD732" s="26" t="n">
        <f aca="false">IFERROR(AB732/B732,"")</f>
        <v>4.28971962616823</v>
      </c>
      <c r="AE732" s="26" t="n">
        <f aca="false">IFERROR(AC732/B732,"")</f>
        <v>4.28971962616823</v>
      </c>
      <c r="AF732" s="0" t="s">
        <v>236</v>
      </c>
      <c r="AG732" s="0" t="s">
        <v>236</v>
      </c>
      <c r="AH732" s="0" t="s">
        <v>230</v>
      </c>
      <c r="AI732" s="0" t="s">
        <v>2706</v>
      </c>
      <c r="AJ732" s="0" t="s">
        <v>3353</v>
      </c>
      <c r="AK732" s="0" t="s">
        <v>3354</v>
      </c>
      <c r="AL732" s="0" t="s">
        <v>3355</v>
      </c>
      <c r="AM732" s="0" t="s">
        <v>94</v>
      </c>
      <c r="AN732" s="26" t="n">
        <f aca="false">IFERROR(E732*(1+IF(AM732="Apartment",Data_Summary!$C$3,0)),"")</f>
        <v>4.28971962616823</v>
      </c>
      <c r="AO732" s="4" t="n">
        <v>46195</v>
      </c>
    </row>
    <row r="733" customFormat="false" ht="15" hidden="false" customHeight="false" outlineLevel="0" collapsed="false">
      <c r="A733" s="0" t="n">
        <f aca="false">IF(AND(ISNUMBER(B733),B733&gt;0,ISNUMBER(AB733),AB733&gt;0,J733&gt;=Data_Summary!$C$1),1,0)</f>
        <v>1</v>
      </c>
      <c r="B733" s="30" t="n">
        <v>500</v>
      </c>
      <c r="C733" s="5" t="n">
        <f aca="false">IF(ISNUMBER(AB733),AB733,"")</f>
        <v>2200</v>
      </c>
      <c r="D733" s="0" t="n">
        <f aca="false">IF(ISNUMBER(C733),C733-U733*Data_Summary!$C$2,"")</f>
        <v>2200</v>
      </c>
      <c r="E733" s="31" t="n">
        <f aca="false">IFERROR(C733/B733,"")</f>
        <v>4.4</v>
      </c>
      <c r="F733" s="26" t="n">
        <f aca="false">IFERROR(D733/B733,"")</f>
        <v>4.4</v>
      </c>
      <c r="G733" s="0" t="str">
        <f aca="false">Q733</f>
        <v>1</v>
      </c>
      <c r="H733" s="0" t="str">
        <f aca="false">IFERROR(LEFT(G733,1),"")</f>
        <v>1</v>
      </c>
      <c r="I733" s="0" t="n">
        <f aca="false">IF(LEN(G733)&gt;1,1,0)</f>
        <v>0</v>
      </c>
      <c r="J733" s="4" t="n">
        <v>46155</v>
      </c>
      <c r="K733" s="0" t="s">
        <v>14</v>
      </c>
      <c r="L733" s="0" t="s">
        <v>104</v>
      </c>
      <c r="M733" s="0" t="s">
        <v>226</v>
      </c>
      <c r="N733" s="0" t="s">
        <v>93</v>
      </c>
      <c r="O733" s="0" t="s">
        <v>1581</v>
      </c>
      <c r="Q733" s="0" t="s">
        <v>242</v>
      </c>
      <c r="R733" s="0" t="n">
        <v>1</v>
      </c>
      <c r="S733" s="5" t="n">
        <v>500</v>
      </c>
      <c r="T733" s="0" t="s">
        <v>243</v>
      </c>
      <c r="U733" s="0" t="n">
        <v>0</v>
      </c>
      <c r="V733" s="0" t="s">
        <v>230</v>
      </c>
      <c r="W733" s="0" t="s">
        <v>244</v>
      </c>
      <c r="X733" s="0" t="s">
        <v>232</v>
      </c>
      <c r="Y733" s="0" t="s">
        <v>297</v>
      </c>
      <c r="Z733" s="0" t="s">
        <v>3310</v>
      </c>
      <c r="AA733" s="0" t="s">
        <v>235</v>
      </c>
      <c r="AB733" s="32" t="n">
        <v>2200</v>
      </c>
      <c r="AC733" s="32" t="n">
        <v>2300</v>
      </c>
      <c r="AD733" s="26" t="n">
        <f aca="false">IFERROR(AB733/B733,"")</f>
        <v>4.4</v>
      </c>
      <c r="AE733" s="26" t="n">
        <f aca="false">IFERROR(AC733/B733,"")</f>
        <v>4.6</v>
      </c>
      <c r="AF733" s="0" t="s">
        <v>236</v>
      </c>
      <c r="AG733" s="0" t="s">
        <v>236</v>
      </c>
      <c r="AH733" s="0" t="s">
        <v>230</v>
      </c>
      <c r="AI733" s="0" t="s">
        <v>386</v>
      </c>
      <c r="AJ733" s="0" t="s">
        <v>3356</v>
      </c>
      <c r="AK733" s="0" t="s">
        <v>3357</v>
      </c>
      <c r="AL733" s="0" t="s">
        <v>3358</v>
      </c>
      <c r="AM733" s="0" t="s">
        <v>94</v>
      </c>
      <c r="AN733" s="26" t="n">
        <f aca="false">IFERROR(E733*(1+IF(AM733="Apartment",Data_Summary!$C$3,0)),"")</f>
        <v>4.4</v>
      </c>
      <c r="AO733" s="4" t="n">
        <v>46195</v>
      </c>
    </row>
    <row r="734" customFormat="false" ht="15" hidden="false" customHeight="false" outlineLevel="0" collapsed="false">
      <c r="A734" s="0" t="n">
        <f aca="false">IF(AND(ISNUMBER(B734),B734&gt;0,ISNUMBER(AB734),AB734&gt;0,J734&gt;=Data_Summary!$C$1),1,0)</f>
        <v>1</v>
      </c>
      <c r="B734" s="30" t="n">
        <v>645</v>
      </c>
      <c r="C734" s="5" t="n">
        <f aca="false">IF(ISNUMBER(AB734),AB734,"")</f>
        <v>2400</v>
      </c>
      <c r="D734" s="0" t="n">
        <f aca="false">IF(ISNUMBER(C734),C734-U734*Data_Summary!$C$2,"")</f>
        <v>2400</v>
      </c>
      <c r="E734" s="31" t="n">
        <f aca="false">IFERROR(C734/B734,"")</f>
        <v>3.72093023255814</v>
      </c>
      <c r="F734" s="26" t="n">
        <f aca="false">IFERROR(D734/B734,"")</f>
        <v>3.72093023255814</v>
      </c>
      <c r="G734" s="0" t="str">
        <f aca="false">Q734</f>
        <v>1+1</v>
      </c>
      <c r="H734" s="0" t="str">
        <f aca="false">IFERROR(LEFT(G734,1),"")</f>
        <v>1</v>
      </c>
      <c r="I734" s="0" t="n">
        <f aca="false">IF(LEN(G734)&gt;1,1,0)</f>
        <v>1</v>
      </c>
      <c r="J734" s="4" t="n">
        <v>46155</v>
      </c>
      <c r="K734" s="0" t="s">
        <v>14</v>
      </c>
      <c r="L734" s="0" t="s">
        <v>104</v>
      </c>
      <c r="M734" s="0" t="s">
        <v>226</v>
      </c>
      <c r="N734" s="0" t="s">
        <v>93</v>
      </c>
      <c r="O734" s="0" t="s">
        <v>2315</v>
      </c>
      <c r="Q734" s="0" t="s">
        <v>270</v>
      </c>
      <c r="R734" s="0" t="n">
        <v>1</v>
      </c>
      <c r="S734" s="5" t="n">
        <v>645</v>
      </c>
      <c r="T734" s="0" t="s">
        <v>271</v>
      </c>
      <c r="U734" s="0" t="n">
        <v>0</v>
      </c>
      <c r="V734" s="0" t="s">
        <v>230</v>
      </c>
      <c r="W734" s="0" t="s">
        <v>244</v>
      </c>
      <c r="X734" s="0" t="s">
        <v>232</v>
      </c>
      <c r="Y734" s="0" t="s">
        <v>278</v>
      </c>
      <c r="Z734" s="0" t="s">
        <v>3310</v>
      </c>
      <c r="AA734" s="0" t="s">
        <v>235</v>
      </c>
      <c r="AB734" s="32" t="n">
        <v>2400</v>
      </c>
      <c r="AC734" s="32" t="n">
        <v>2450</v>
      </c>
      <c r="AD734" s="26" t="n">
        <f aca="false">IFERROR(AB734/B734,"")</f>
        <v>3.72093023255814</v>
      </c>
      <c r="AE734" s="26" t="n">
        <f aca="false">IFERROR(AC734/B734,"")</f>
        <v>3.7984496124031</v>
      </c>
      <c r="AF734" s="0" t="s">
        <v>236</v>
      </c>
      <c r="AG734" s="0" t="s">
        <v>236</v>
      </c>
      <c r="AH734" s="0" t="s">
        <v>230</v>
      </c>
      <c r="AI734" s="0" t="s">
        <v>386</v>
      </c>
      <c r="AJ734" s="0" t="s">
        <v>3359</v>
      </c>
      <c r="AK734" s="0" t="s">
        <v>3360</v>
      </c>
      <c r="AL734" s="0" t="s">
        <v>3361</v>
      </c>
      <c r="AM734" s="0" t="s">
        <v>94</v>
      </c>
      <c r="AN734" s="26" t="n">
        <f aca="false">IFERROR(E734*(1+IF(AM734="Apartment",Data_Summary!$C$3,0)),"")</f>
        <v>3.72093023255814</v>
      </c>
      <c r="AO734" s="4" t="n">
        <v>46195</v>
      </c>
    </row>
    <row r="735" customFormat="false" ht="15" hidden="false" customHeight="false" outlineLevel="0" collapsed="false">
      <c r="A735" s="0" t="n">
        <f aca="false">IF(AND(ISNUMBER(B735),B735&gt;0,ISNUMBER(AB735),AB735&gt;0,J735&gt;=Data_Summary!$C$1),1,0)</f>
        <v>1</v>
      </c>
      <c r="B735" s="30" t="n">
        <v>577</v>
      </c>
      <c r="C735" s="5" t="n">
        <f aca="false">IF(ISNUMBER(AB735),AB735,"")</f>
        <v>2600</v>
      </c>
      <c r="D735" s="0" t="n">
        <f aca="false">IF(ISNUMBER(C735),C735-U735*Data_Summary!$C$2,"")</f>
        <v>2450</v>
      </c>
      <c r="E735" s="31" t="n">
        <f aca="false">IFERROR(C735/B735,"")</f>
        <v>4.50606585788562</v>
      </c>
      <c r="F735" s="26" t="n">
        <f aca="false">IFERROR(D735/B735,"")</f>
        <v>4.24610051993068</v>
      </c>
      <c r="G735" s="0" t="str">
        <f aca="false">Q735</f>
        <v>1+1</v>
      </c>
      <c r="H735" s="0" t="str">
        <f aca="false">IFERROR(LEFT(G735,1),"")</f>
        <v>1</v>
      </c>
      <c r="I735" s="0" t="n">
        <f aca="false">IF(LEN(G735)&gt;1,1,0)</f>
        <v>1</v>
      </c>
      <c r="J735" s="4" t="n">
        <v>46150</v>
      </c>
      <c r="K735" s="0" t="s">
        <v>14</v>
      </c>
      <c r="L735" s="0" t="s">
        <v>104</v>
      </c>
      <c r="M735" s="0" t="s">
        <v>226</v>
      </c>
      <c r="N735" s="0" t="s">
        <v>93</v>
      </c>
      <c r="O735" s="0" t="s">
        <v>2154</v>
      </c>
      <c r="Q735" s="0" t="s">
        <v>270</v>
      </c>
      <c r="R735" s="0" t="n">
        <v>1</v>
      </c>
      <c r="S735" s="5" t="n">
        <v>577</v>
      </c>
      <c r="T735" s="0" t="s">
        <v>243</v>
      </c>
      <c r="U735" s="0" t="n">
        <v>1</v>
      </c>
      <c r="V735" s="0" t="s">
        <v>230</v>
      </c>
      <c r="X735" s="0" t="s">
        <v>232</v>
      </c>
      <c r="Y735" s="0" t="s">
        <v>272</v>
      </c>
      <c r="Z735" s="0" t="s">
        <v>3310</v>
      </c>
      <c r="AA735" s="0" t="s">
        <v>235</v>
      </c>
      <c r="AB735" s="32" t="n">
        <v>2600</v>
      </c>
      <c r="AC735" s="32" t="n">
        <v>2600</v>
      </c>
      <c r="AD735" s="26" t="n">
        <f aca="false">IFERROR(AB735/B735,"")</f>
        <v>4.50606585788562</v>
      </c>
      <c r="AE735" s="26" t="n">
        <f aca="false">IFERROR(AC735/B735,"")</f>
        <v>4.50606585788562</v>
      </c>
      <c r="AF735" s="0" t="s">
        <v>236</v>
      </c>
      <c r="AG735" s="0" t="s">
        <v>236</v>
      </c>
      <c r="AH735" s="0" t="s">
        <v>230</v>
      </c>
      <c r="AI735" s="0" t="s">
        <v>401</v>
      </c>
      <c r="AJ735" s="0" t="s">
        <v>3362</v>
      </c>
      <c r="AK735" s="0" t="s">
        <v>3363</v>
      </c>
      <c r="AL735" s="0" t="s">
        <v>3364</v>
      </c>
      <c r="AM735" s="0" t="s">
        <v>94</v>
      </c>
      <c r="AN735" s="26" t="n">
        <f aca="false">IFERROR(E735*(1+IF(AM735="Apartment",Data_Summary!$C$3,0)),"")</f>
        <v>4.50606585788562</v>
      </c>
      <c r="AO735" s="4" t="n">
        <v>46195</v>
      </c>
    </row>
    <row r="736" customFormat="false" ht="15" hidden="false" customHeight="false" outlineLevel="0" collapsed="false">
      <c r="A736" s="0" t="n">
        <f aca="false">IF(AND(ISNUMBER(B736),B736&gt;0,ISNUMBER(AB736),AB736&gt;0,J736&gt;=Data_Summary!$C$1),1,0)</f>
        <v>1</v>
      </c>
      <c r="B736" s="30" t="n">
        <v>802</v>
      </c>
      <c r="C736" s="5" t="n">
        <f aca="false">IF(ISNUMBER(AB736),AB736,"")</f>
        <v>3500</v>
      </c>
      <c r="D736" s="0" t="n">
        <f aca="false">IF(ISNUMBER(C736),C736-U736*Data_Summary!$C$2,"")</f>
        <v>3350</v>
      </c>
      <c r="E736" s="31" t="n">
        <f aca="false">IFERROR(C736/B736,"")</f>
        <v>4.3640897755611</v>
      </c>
      <c r="F736" s="26" t="n">
        <f aca="false">IFERROR(D736/B736,"")</f>
        <v>4.17705735660848</v>
      </c>
      <c r="G736" s="0" t="str">
        <f aca="false">Q736</f>
        <v>2</v>
      </c>
      <c r="H736" s="0" t="str">
        <f aca="false">IFERROR(LEFT(G736,1),"")</f>
        <v>2</v>
      </c>
      <c r="I736" s="0" t="n">
        <f aca="false">IF(LEN(G736)&gt;1,1,0)</f>
        <v>0</v>
      </c>
      <c r="J736" s="4" t="n">
        <v>46149</v>
      </c>
      <c r="K736" s="0" t="s">
        <v>14</v>
      </c>
      <c r="L736" s="0" t="s">
        <v>104</v>
      </c>
      <c r="M736" s="0" t="s">
        <v>226</v>
      </c>
      <c r="N736" s="0" t="s">
        <v>93</v>
      </c>
      <c r="O736" s="0" t="s">
        <v>3018</v>
      </c>
      <c r="Q736" s="0" t="s">
        <v>251</v>
      </c>
      <c r="R736" s="0" t="n">
        <v>2</v>
      </c>
      <c r="S736" s="5" t="n">
        <v>802</v>
      </c>
      <c r="T736" s="0" t="s">
        <v>229</v>
      </c>
      <c r="U736" s="0" t="n">
        <v>1</v>
      </c>
      <c r="V736" s="0" t="s">
        <v>230</v>
      </c>
      <c r="W736" s="0" t="s">
        <v>244</v>
      </c>
      <c r="X736" s="0" t="s">
        <v>232</v>
      </c>
      <c r="Y736" s="0" t="s">
        <v>308</v>
      </c>
      <c r="Z736" s="0" t="s">
        <v>3310</v>
      </c>
      <c r="AA736" s="0" t="s">
        <v>235</v>
      </c>
      <c r="AB736" s="32" t="n">
        <v>3500</v>
      </c>
      <c r="AC736" s="32" t="n">
        <v>3500</v>
      </c>
      <c r="AD736" s="26" t="n">
        <f aca="false">IFERROR(AB736/B736,"")</f>
        <v>4.3640897755611</v>
      </c>
      <c r="AE736" s="26" t="n">
        <f aca="false">IFERROR(AC736/B736,"")</f>
        <v>4.3640897755611</v>
      </c>
      <c r="AF736" s="0" t="s">
        <v>236</v>
      </c>
      <c r="AG736" s="0" t="s">
        <v>236</v>
      </c>
      <c r="AH736" s="0" t="s">
        <v>230</v>
      </c>
      <c r="AI736" s="0" t="s">
        <v>1617</v>
      </c>
      <c r="AJ736" s="0" t="s">
        <v>3365</v>
      </c>
      <c r="AK736" s="0" t="s">
        <v>3366</v>
      </c>
      <c r="AL736" s="0" t="s">
        <v>3367</v>
      </c>
      <c r="AM736" s="0" t="s">
        <v>94</v>
      </c>
      <c r="AN736" s="26" t="n">
        <f aca="false">IFERROR(E736*(1+IF(AM736="Apartment",Data_Summary!$C$3,0)),"")</f>
        <v>4.3640897755611</v>
      </c>
      <c r="AO736" s="4" t="n">
        <v>46195</v>
      </c>
    </row>
    <row r="737" customFormat="false" ht="15" hidden="false" customHeight="false" outlineLevel="0" collapsed="false">
      <c r="A737" s="0" t="n">
        <f aca="false">IF(AND(ISNUMBER(B737),B737&gt;0,ISNUMBER(AB737),AB737&gt;0,J737&gt;=Data_Summary!$C$1),1,0)</f>
        <v>1</v>
      </c>
      <c r="B737" s="30" t="n">
        <v>675</v>
      </c>
      <c r="C737" s="5" t="n">
        <f aca="false">IF(ISNUMBER(AB737),AB737,"")</f>
        <v>2400</v>
      </c>
      <c r="D737" s="0" t="n">
        <f aca="false">IF(ISNUMBER(C737),C737-U737*Data_Summary!$C$2,"")</f>
        <v>2400</v>
      </c>
      <c r="E737" s="31" t="n">
        <f aca="false">IFERROR(C737/B737,"")</f>
        <v>3.55555555555556</v>
      </c>
      <c r="F737" s="26" t="n">
        <f aca="false">IFERROR(D737/B737,"")</f>
        <v>3.55555555555556</v>
      </c>
      <c r="G737" s="0" t="str">
        <f aca="false">Q737</f>
        <v>1+1</v>
      </c>
      <c r="H737" s="0" t="str">
        <f aca="false">IFERROR(LEFT(G737,1),"")</f>
        <v>1</v>
      </c>
      <c r="I737" s="0" t="n">
        <f aca="false">IF(LEN(G737)&gt;1,1,0)</f>
        <v>1</v>
      </c>
      <c r="J737" s="4" t="n">
        <v>46146</v>
      </c>
      <c r="K737" s="0" t="s">
        <v>14</v>
      </c>
      <c r="L737" s="0" t="s">
        <v>104</v>
      </c>
      <c r="M737" s="0" t="s">
        <v>226</v>
      </c>
      <c r="N737" s="0" t="s">
        <v>93</v>
      </c>
      <c r="O737" s="0" t="s">
        <v>1638</v>
      </c>
      <c r="Q737" s="0" t="s">
        <v>270</v>
      </c>
      <c r="R737" s="0" t="n">
        <v>1</v>
      </c>
      <c r="S737" s="5" t="n">
        <v>675</v>
      </c>
      <c r="T737" s="0" t="s">
        <v>271</v>
      </c>
      <c r="U737" s="0" t="n">
        <v>0</v>
      </c>
      <c r="V737" s="0" t="s">
        <v>230</v>
      </c>
      <c r="W737" s="0" t="s">
        <v>231</v>
      </c>
      <c r="X737" s="0" t="s">
        <v>232</v>
      </c>
      <c r="Y737" s="0" t="s">
        <v>278</v>
      </c>
      <c r="Z737" s="0" t="s">
        <v>3310</v>
      </c>
      <c r="AA737" s="0" t="s">
        <v>235</v>
      </c>
      <c r="AB737" s="32" t="n">
        <v>2400</v>
      </c>
      <c r="AC737" s="32" t="n">
        <v>2500</v>
      </c>
      <c r="AD737" s="26" t="n">
        <f aca="false">IFERROR(AB737/B737,"")</f>
        <v>3.55555555555556</v>
      </c>
      <c r="AE737" s="26" t="n">
        <f aca="false">IFERROR(AC737/B737,"")</f>
        <v>3.7037037037037</v>
      </c>
      <c r="AF737" s="0" t="s">
        <v>236</v>
      </c>
      <c r="AG737" s="0" t="s">
        <v>236</v>
      </c>
      <c r="AH737" s="0" t="s">
        <v>230</v>
      </c>
      <c r="AI737" s="0" t="s">
        <v>416</v>
      </c>
      <c r="AJ737" s="0" t="s">
        <v>3368</v>
      </c>
      <c r="AK737" s="0" t="s">
        <v>3369</v>
      </c>
      <c r="AL737" s="0" t="s">
        <v>3370</v>
      </c>
      <c r="AM737" s="0" t="s">
        <v>94</v>
      </c>
      <c r="AN737" s="26" t="n">
        <f aca="false">IFERROR(E737*(1+IF(AM737="Apartment",Data_Summary!$C$3,0)),"")</f>
        <v>3.55555555555556</v>
      </c>
      <c r="AO737" s="4" t="n">
        <v>46195</v>
      </c>
    </row>
    <row r="738" customFormat="false" ht="15" hidden="false" customHeight="false" outlineLevel="0" collapsed="false">
      <c r="A738" s="0" t="n">
        <f aca="false">IF(AND(ISNUMBER(B738),B738&gt;0,ISNUMBER(AB738),AB738&gt;0,J738&gt;=Data_Summary!$C$1),1,0)</f>
        <v>1</v>
      </c>
      <c r="B738" s="30" t="n">
        <v>577</v>
      </c>
      <c r="C738" s="5" t="n">
        <f aca="false">IF(ISNUMBER(AB738),AB738,"")</f>
        <v>2400</v>
      </c>
      <c r="D738" s="0" t="n">
        <f aca="false">IF(ISNUMBER(C738),C738-U738*Data_Summary!$C$2,"")</f>
        <v>2400</v>
      </c>
      <c r="E738" s="31" t="n">
        <f aca="false">IFERROR(C738/B738,"")</f>
        <v>4.15944540727903</v>
      </c>
      <c r="F738" s="26" t="n">
        <f aca="false">IFERROR(D738/B738,"")</f>
        <v>4.15944540727903</v>
      </c>
      <c r="G738" s="0" t="str">
        <f aca="false">Q738</f>
        <v>1+1</v>
      </c>
      <c r="H738" s="0" t="str">
        <f aca="false">IFERROR(LEFT(G738,1),"")</f>
        <v>1</v>
      </c>
      <c r="I738" s="0" t="n">
        <f aca="false">IF(LEN(G738)&gt;1,1,0)</f>
        <v>1</v>
      </c>
      <c r="J738" s="4" t="n">
        <v>46142</v>
      </c>
      <c r="K738" s="0" t="s">
        <v>14</v>
      </c>
      <c r="L738" s="0" t="s">
        <v>104</v>
      </c>
      <c r="M738" s="0" t="s">
        <v>226</v>
      </c>
      <c r="N738" s="0" t="s">
        <v>93</v>
      </c>
      <c r="O738" s="0" t="s">
        <v>3018</v>
      </c>
      <c r="Q738" s="0" t="s">
        <v>270</v>
      </c>
      <c r="R738" s="0" t="n">
        <v>1</v>
      </c>
      <c r="S738" s="5" t="n">
        <v>577</v>
      </c>
      <c r="T738" s="0" t="s">
        <v>243</v>
      </c>
      <c r="U738" s="0" t="n">
        <v>0</v>
      </c>
      <c r="V738" s="0" t="s">
        <v>230</v>
      </c>
      <c r="W738" s="0" t="s">
        <v>244</v>
      </c>
      <c r="X738" s="0" t="s">
        <v>232</v>
      </c>
      <c r="Y738" s="0" t="s">
        <v>272</v>
      </c>
      <c r="Z738" s="0" t="s">
        <v>3310</v>
      </c>
      <c r="AA738" s="0" t="s">
        <v>235</v>
      </c>
      <c r="AB738" s="32" t="n">
        <v>2400</v>
      </c>
      <c r="AC738" s="32" t="n">
        <v>2350</v>
      </c>
      <c r="AD738" s="26" t="n">
        <f aca="false">IFERROR(AB738/B738,"")</f>
        <v>4.15944540727903</v>
      </c>
      <c r="AE738" s="26" t="n">
        <f aca="false">IFERROR(AC738/B738,"")</f>
        <v>4.07279029462738</v>
      </c>
      <c r="AF738" s="0" t="s">
        <v>236</v>
      </c>
      <c r="AG738" s="0" t="s">
        <v>236</v>
      </c>
      <c r="AH738" s="0" t="s">
        <v>236</v>
      </c>
      <c r="AI738" s="0" t="s">
        <v>422</v>
      </c>
      <c r="AJ738" s="0" t="s">
        <v>3371</v>
      </c>
      <c r="AK738" s="0" t="s">
        <v>3372</v>
      </c>
      <c r="AL738" s="0" t="s">
        <v>3373</v>
      </c>
      <c r="AM738" s="0" t="s">
        <v>94</v>
      </c>
      <c r="AN738" s="26" t="n">
        <f aca="false">IFERROR(E738*(1+IF(AM738="Apartment",Data_Summary!$C$3,0)),"")</f>
        <v>4.15944540727903</v>
      </c>
      <c r="AO738" s="4" t="n">
        <v>46195</v>
      </c>
    </row>
    <row r="739" customFormat="false" ht="15" hidden="false" customHeight="false" outlineLevel="0" collapsed="false">
      <c r="A739" s="0" t="n">
        <f aca="false">IF(AND(ISNUMBER(B739),B739&gt;0,ISNUMBER(AB739),AB739&gt;0,J739&gt;=Data_Summary!$C$1),1,0)</f>
        <v>1</v>
      </c>
      <c r="B739" s="30" t="n">
        <v>579</v>
      </c>
      <c r="C739" s="5" t="n">
        <f aca="false">IF(ISNUMBER(AB739),AB739,"")</f>
        <v>2450</v>
      </c>
      <c r="D739" s="0" t="n">
        <f aca="false">IF(ISNUMBER(C739),C739-U739*Data_Summary!$C$2,"")</f>
        <v>2450</v>
      </c>
      <c r="E739" s="31" t="n">
        <f aca="false">IFERROR(C739/B739,"")</f>
        <v>4.23143350604491</v>
      </c>
      <c r="F739" s="26" t="n">
        <f aca="false">IFERROR(D739/B739,"")</f>
        <v>4.23143350604491</v>
      </c>
      <c r="G739" s="0" t="str">
        <f aca="false">Q739</f>
        <v>1+1</v>
      </c>
      <c r="H739" s="0" t="str">
        <f aca="false">IFERROR(LEFT(G739,1),"")</f>
        <v>1</v>
      </c>
      <c r="I739" s="0" t="n">
        <f aca="false">IF(LEN(G739)&gt;1,1,0)</f>
        <v>1</v>
      </c>
      <c r="J739" s="4" t="n">
        <v>46140</v>
      </c>
      <c r="K739" s="0" t="s">
        <v>14</v>
      </c>
      <c r="L739" s="0" t="s">
        <v>104</v>
      </c>
      <c r="M739" s="0" t="s">
        <v>226</v>
      </c>
      <c r="N739" s="0" t="s">
        <v>93</v>
      </c>
      <c r="O739" s="0" t="s">
        <v>1326</v>
      </c>
      <c r="Q739" s="0" t="s">
        <v>270</v>
      </c>
      <c r="R739" s="0" t="n">
        <v>1</v>
      </c>
      <c r="S739" s="5" t="n">
        <v>579</v>
      </c>
      <c r="T739" s="0" t="s">
        <v>243</v>
      </c>
      <c r="U739" s="0" t="n">
        <v>0</v>
      </c>
      <c r="V739" s="0" t="s">
        <v>230</v>
      </c>
      <c r="W739" s="0" t="s">
        <v>231</v>
      </c>
      <c r="X739" s="0" t="s">
        <v>232</v>
      </c>
      <c r="Y739" s="0" t="s">
        <v>278</v>
      </c>
      <c r="Z739" s="0" t="s">
        <v>3310</v>
      </c>
      <c r="AA739" s="0" t="s">
        <v>235</v>
      </c>
      <c r="AB739" s="32" t="n">
        <v>2450</v>
      </c>
      <c r="AC739" s="32" t="n">
        <v>2450</v>
      </c>
      <c r="AD739" s="26" t="n">
        <f aca="false">IFERROR(AB739/B739,"")</f>
        <v>4.23143350604491</v>
      </c>
      <c r="AE739" s="26" t="n">
        <f aca="false">IFERROR(AC739/B739,"")</f>
        <v>4.23143350604491</v>
      </c>
      <c r="AF739" s="0" t="s">
        <v>236</v>
      </c>
      <c r="AG739" s="0" t="s">
        <v>236</v>
      </c>
      <c r="AH739" s="0" t="s">
        <v>230</v>
      </c>
      <c r="AI739" s="0" t="s">
        <v>1639</v>
      </c>
      <c r="AJ739" s="0" t="s">
        <v>3374</v>
      </c>
      <c r="AK739" s="0" t="s">
        <v>3375</v>
      </c>
      <c r="AL739" s="0" t="s">
        <v>3376</v>
      </c>
      <c r="AM739" s="0" t="s">
        <v>94</v>
      </c>
      <c r="AN739" s="26" t="n">
        <f aca="false">IFERROR(E739*(1+IF(AM739="Apartment",Data_Summary!$C$3,0)),"")</f>
        <v>4.23143350604491</v>
      </c>
      <c r="AO739" s="4" t="n">
        <v>46195</v>
      </c>
    </row>
    <row r="740" customFormat="false" ht="15" hidden="false" customHeight="false" outlineLevel="0" collapsed="false">
      <c r="A740" s="0" t="n">
        <f aca="false">IF(AND(ISNUMBER(B740),B740&gt;0,ISNUMBER(AB740),AB740&gt;0,J740&gt;=Data_Summary!$C$1),1,0)</f>
        <v>1</v>
      </c>
      <c r="B740" s="30" t="n">
        <v>500</v>
      </c>
      <c r="C740" s="5" t="n">
        <f aca="false">IF(ISNUMBER(AB740),AB740,"")</f>
        <v>2100</v>
      </c>
      <c r="D740" s="0" t="n">
        <f aca="false">IF(ISNUMBER(C740),C740-U740*Data_Summary!$C$2,"")</f>
        <v>2100</v>
      </c>
      <c r="E740" s="31" t="n">
        <f aca="false">IFERROR(C740/B740,"")</f>
        <v>4.2</v>
      </c>
      <c r="F740" s="26" t="n">
        <f aca="false">IFERROR(D740/B740,"")</f>
        <v>4.2</v>
      </c>
      <c r="G740" s="0" t="str">
        <f aca="false">Q740</f>
        <v>1</v>
      </c>
      <c r="H740" s="0" t="str">
        <f aca="false">IFERROR(LEFT(G740,1),"")</f>
        <v>1</v>
      </c>
      <c r="I740" s="0" t="n">
        <f aca="false">IF(LEN(G740)&gt;1,1,0)</f>
        <v>0</v>
      </c>
      <c r="J740" s="4" t="n">
        <v>46140</v>
      </c>
      <c r="K740" s="0" t="s">
        <v>14</v>
      </c>
      <c r="L740" s="0" t="s">
        <v>104</v>
      </c>
      <c r="M740" s="0" t="s">
        <v>226</v>
      </c>
      <c r="N740" s="0" t="s">
        <v>93</v>
      </c>
      <c r="O740" s="0" t="s">
        <v>3377</v>
      </c>
      <c r="Q740" s="0" t="s">
        <v>242</v>
      </c>
      <c r="R740" s="0" t="n">
        <v>1</v>
      </c>
      <c r="S740" s="5" t="n">
        <v>500</v>
      </c>
      <c r="T740" s="0" t="s">
        <v>243</v>
      </c>
      <c r="U740" s="0" t="n">
        <v>0</v>
      </c>
      <c r="V740" s="0" t="s">
        <v>230</v>
      </c>
      <c r="W740" s="0" t="s">
        <v>244</v>
      </c>
      <c r="X740" s="0" t="s">
        <v>232</v>
      </c>
      <c r="Y740" s="0" t="s">
        <v>245</v>
      </c>
      <c r="Z740" s="0" t="s">
        <v>3310</v>
      </c>
      <c r="AA740" s="0" t="s">
        <v>235</v>
      </c>
      <c r="AB740" s="32" t="n">
        <v>2100</v>
      </c>
      <c r="AC740" s="32" t="n">
        <v>2200</v>
      </c>
      <c r="AD740" s="26" t="n">
        <f aca="false">IFERROR(AB740/B740,"")</f>
        <v>4.2</v>
      </c>
      <c r="AE740" s="26" t="n">
        <f aca="false">IFERROR(AC740/B740,"")</f>
        <v>4.4</v>
      </c>
      <c r="AF740" s="0" t="s">
        <v>236</v>
      </c>
      <c r="AG740" s="0" t="s">
        <v>236</v>
      </c>
      <c r="AH740" s="0" t="s">
        <v>230</v>
      </c>
      <c r="AI740" s="0" t="s">
        <v>1639</v>
      </c>
      <c r="AJ740" s="0" t="s">
        <v>3378</v>
      </c>
      <c r="AK740" s="0" t="s">
        <v>3379</v>
      </c>
      <c r="AL740" s="0" t="s">
        <v>3380</v>
      </c>
      <c r="AM740" s="0" t="s">
        <v>94</v>
      </c>
      <c r="AN740" s="26" t="n">
        <f aca="false">IFERROR(E740*(1+IF(AM740="Apartment",Data_Summary!$C$3,0)),"")</f>
        <v>4.2</v>
      </c>
      <c r="AO740" s="4" t="n">
        <v>46195</v>
      </c>
    </row>
    <row r="741" customFormat="false" ht="15" hidden="false" customHeight="false" outlineLevel="0" collapsed="false">
      <c r="A741" s="0" t="n">
        <f aca="false">IF(AND(ISNUMBER(B741),B741&gt;0,ISNUMBER(AB741),AB741&gt;0,J741&gt;=Data_Summary!$C$1),1,0)</f>
        <v>1</v>
      </c>
      <c r="B741" s="30" t="n">
        <v>560</v>
      </c>
      <c r="C741" s="5" t="n">
        <f aca="false">IF(ISNUMBER(AB741),AB741,"")</f>
        <v>2600</v>
      </c>
      <c r="D741" s="0" t="n">
        <f aca="false">IF(ISNUMBER(C741),C741-U741*Data_Summary!$C$2,"")</f>
        <v>2450</v>
      </c>
      <c r="E741" s="31" t="n">
        <f aca="false">IFERROR(C741/B741,"")</f>
        <v>4.64285714285714</v>
      </c>
      <c r="F741" s="26" t="n">
        <f aca="false">IFERROR(D741/B741,"")</f>
        <v>4.375</v>
      </c>
      <c r="G741" s="0" t="str">
        <f aca="false">Q741</f>
        <v>1+1</v>
      </c>
      <c r="H741" s="0" t="str">
        <f aca="false">IFERROR(LEFT(G741,1),"")</f>
        <v>1</v>
      </c>
      <c r="I741" s="0" t="n">
        <f aca="false">IF(LEN(G741)&gt;1,1,0)</f>
        <v>1</v>
      </c>
      <c r="J741" s="4" t="n">
        <v>46139</v>
      </c>
      <c r="K741" s="0" t="s">
        <v>14</v>
      </c>
      <c r="L741" s="0" t="s">
        <v>104</v>
      </c>
      <c r="M741" s="0" t="s">
        <v>226</v>
      </c>
      <c r="N741" s="0" t="s">
        <v>93</v>
      </c>
      <c r="O741" s="0" t="s">
        <v>3381</v>
      </c>
      <c r="Q741" s="0" t="s">
        <v>270</v>
      </c>
      <c r="R741" s="0" t="n">
        <v>1</v>
      </c>
      <c r="S741" s="5" t="n">
        <v>560</v>
      </c>
      <c r="T741" s="0" t="s">
        <v>243</v>
      </c>
      <c r="U741" s="0" t="n">
        <v>1</v>
      </c>
      <c r="V741" s="0" t="s">
        <v>230</v>
      </c>
      <c r="W741" s="0" t="s">
        <v>231</v>
      </c>
      <c r="X741" s="0" t="s">
        <v>232</v>
      </c>
      <c r="Y741" s="0" t="s">
        <v>272</v>
      </c>
      <c r="Z741" s="0" t="s">
        <v>3310</v>
      </c>
      <c r="AA741" s="0" t="s">
        <v>235</v>
      </c>
      <c r="AB741" s="32" t="n">
        <v>2600</v>
      </c>
      <c r="AC741" s="32" t="n">
        <v>2650</v>
      </c>
      <c r="AD741" s="26" t="n">
        <f aca="false">IFERROR(AB741/B741,"")</f>
        <v>4.64285714285714</v>
      </c>
      <c r="AE741" s="26" t="n">
        <f aca="false">IFERROR(AC741/B741,"")</f>
        <v>4.73214285714286</v>
      </c>
      <c r="AF741" s="0" t="s">
        <v>236</v>
      </c>
      <c r="AG741" s="0" t="s">
        <v>236</v>
      </c>
      <c r="AH741" s="0" t="s">
        <v>230</v>
      </c>
      <c r="AI741" s="0" t="s">
        <v>427</v>
      </c>
      <c r="AJ741" s="0" t="s">
        <v>3382</v>
      </c>
      <c r="AK741" s="0" t="s">
        <v>3383</v>
      </c>
      <c r="AL741" s="0" t="s">
        <v>3384</v>
      </c>
      <c r="AM741" s="0" t="s">
        <v>94</v>
      </c>
      <c r="AN741" s="26" t="n">
        <f aca="false">IFERROR(E741*(1+IF(AM741="Apartment",Data_Summary!$C$3,0)),"")</f>
        <v>4.64285714285714</v>
      </c>
      <c r="AO741" s="4" t="n">
        <v>46195</v>
      </c>
    </row>
    <row r="742" customFormat="false" ht="15" hidden="false" customHeight="false" outlineLevel="0" collapsed="false">
      <c r="A742" s="0" t="n">
        <f aca="false">IF(AND(ISNUMBER(B742),B742&gt;0,ISNUMBER(AB742),AB742&gt;0,J742&gt;=Data_Summary!$C$1),1,0)</f>
        <v>1</v>
      </c>
      <c r="B742" s="30" t="n">
        <v>650</v>
      </c>
      <c r="C742" s="5" t="n">
        <f aca="false">IF(ISNUMBER(AB742),AB742,"")</f>
        <v>2650</v>
      </c>
      <c r="D742" s="0" t="n">
        <f aca="false">IF(ISNUMBER(C742),C742-U742*Data_Summary!$C$2,"")</f>
        <v>2500</v>
      </c>
      <c r="E742" s="31" t="n">
        <f aca="false">IFERROR(C742/B742,"")</f>
        <v>4.07692307692308</v>
      </c>
      <c r="F742" s="26" t="n">
        <f aca="false">IFERROR(D742/B742,"")</f>
        <v>3.84615384615385</v>
      </c>
      <c r="G742" s="0" t="str">
        <f aca="false">Q742</f>
        <v>1+1</v>
      </c>
      <c r="H742" s="0" t="str">
        <f aca="false">IFERROR(LEFT(G742,1),"")</f>
        <v>1</v>
      </c>
      <c r="I742" s="0" t="n">
        <f aca="false">IF(LEN(G742)&gt;1,1,0)</f>
        <v>1</v>
      </c>
      <c r="J742" s="4" t="n">
        <v>46130</v>
      </c>
      <c r="K742" s="0" t="s">
        <v>14</v>
      </c>
      <c r="L742" s="0" t="s">
        <v>104</v>
      </c>
      <c r="M742" s="0" t="s">
        <v>226</v>
      </c>
      <c r="N742" s="0" t="s">
        <v>93</v>
      </c>
      <c r="O742" s="0" t="s">
        <v>3385</v>
      </c>
      <c r="Q742" s="0" t="s">
        <v>270</v>
      </c>
      <c r="R742" s="0" t="n">
        <v>1</v>
      </c>
      <c r="S742" s="5" t="n">
        <v>650</v>
      </c>
      <c r="T742" s="0" t="s">
        <v>271</v>
      </c>
      <c r="U742" s="0" t="n">
        <v>1</v>
      </c>
      <c r="V742" s="0" t="s">
        <v>230</v>
      </c>
      <c r="W742" s="0" t="s">
        <v>231</v>
      </c>
      <c r="X742" s="0" t="s">
        <v>232</v>
      </c>
      <c r="Y742" s="0" t="s">
        <v>233</v>
      </c>
      <c r="Z742" s="0" t="s">
        <v>3310</v>
      </c>
      <c r="AA742" s="0" t="s">
        <v>235</v>
      </c>
      <c r="AB742" s="32" t="n">
        <v>2650</v>
      </c>
      <c r="AC742" s="32" t="n">
        <v>2650</v>
      </c>
      <c r="AD742" s="26" t="n">
        <f aca="false">IFERROR(AB742/B742,"")</f>
        <v>4.07692307692308</v>
      </c>
      <c r="AE742" s="26" t="n">
        <f aca="false">IFERROR(AC742/B742,"")</f>
        <v>4.07692307692308</v>
      </c>
      <c r="AF742" s="0" t="s">
        <v>236</v>
      </c>
      <c r="AG742" s="0" t="s">
        <v>236</v>
      </c>
      <c r="AH742" s="0" t="s">
        <v>230</v>
      </c>
      <c r="AI742" s="0" t="s">
        <v>452</v>
      </c>
      <c r="AJ742" s="0" t="s">
        <v>3386</v>
      </c>
      <c r="AK742" s="0" t="s">
        <v>3387</v>
      </c>
      <c r="AL742" s="0" t="s">
        <v>3388</v>
      </c>
      <c r="AM742" s="0" t="s">
        <v>94</v>
      </c>
      <c r="AN742" s="26" t="n">
        <f aca="false">IFERROR(E742*(1+IF(AM742="Apartment",Data_Summary!$C$3,0)),"")</f>
        <v>4.07692307692308</v>
      </c>
      <c r="AO742" s="4" t="n">
        <v>46195</v>
      </c>
    </row>
    <row r="743" customFormat="false" ht="15" hidden="false" customHeight="false" outlineLevel="0" collapsed="false">
      <c r="A743" s="0" t="n">
        <f aca="false">IF(AND(ISNUMBER(B743),B743&gt;0,ISNUMBER(AB743),AB743&gt;0,J743&gt;=Data_Summary!$C$1),1,0)</f>
        <v>1</v>
      </c>
      <c r="B743" s="30" t="n">
        <v>525</v>
      </c>
      <c r="C743" s="5" t="n">
        <f aca="false">IF(ISNUMBER(AB743),AB743,"")</f>
        <v>2400</v>
      </c>
      <c r="D743" s="0" t="n">
        <f aca="false">IF(ISNUMBER(C743),C743-U743*Data_Summary!$C$2,"")</f>
        <v>2250</v>
      </c>
      <c r="E743" s="31" t="n">
        <f aca="false">IFERROR(C743/B743,"")</f>
        <v>4.57142857142857</v>
      </c>
      <c r="F743" s="26" t="n">
        <f aca="false">IFERROR(D743/B743,"")</f>
        <v>4.28571428571429</v>
      </c>
      <c r="G743" s="0" t="str">
        <f aca="false">Q743</f>
        <v>1</v>
      </c>
      <c r="H743" s="0" t="str">
        <f aca="false">IFERROR(LEFT(G743,1),"")</f>
        <v>1</v>
      </c>
      <c r="I743" s="0" t="n">
        <f aca="false">IF(LEN(G743)&gt;1,1,0)</f>
        <v>0</v>
      </c>
      <c r="J743" s="4" t="n">
        <v>46126</v>
      </c>
      <c r="K743" s="0" t="s">
        <v>14</v>
      </c>
      <c r="L743" s="0" t="s">
        <v>104</v>
      </c>
      <c r="M743" s="0" t="s">
        <v>226</v>
      </c>
      <c r="N743" s="0" t="s">
        <v>93</v>
      </c>
      <c r="O743" s="0" t="s">
        <v>3192</v>
      </c>
      <c r="Q743" s="0" t="s">
        <v>242</v>
      </c>
      <c r="R743" s="0" t="n">
        <v>1</v>
      </c>
      <c r="S743" s="5" t="n">
        <v>525</v>
      </c>
      <c r="T743" s="0" t="s">
        <v>243</v>
      </c>
      <c r="U743" s="0" t="n">
        <v>1</v>
      </c>
      <c r="V743" s="0" t="s">
        <v>230</v>
      </c>
      <c r="W743" s="0" t="s">
        <v>231</v>
      </c>
      <c r="X743" s="0" t="s">
        <v>232</v>
      </c>
      <c r="Y743" s="0" t="s">
        <v>233</v>
      </c>
      <c r="Z743" s="0" t="s">
        <v>3310</v>
      </c>
      <c r="AA743" s="0" t="s">
        <v>235</v>
      </c>
      <c r="AB743" s="32" t="n">
        <v>2400</v>
      </c>
      <c r="AC743" s="32" t="n">
        <v>2350</v>
      </c>
      <c r="AD743" s="26" t="n">
        <f aca="false">IFERROR(AB743/B743,"")</f>
        <v>4.57142857142857</v>
      </c>
      <c r="AE743" s="26" t="n">
        <f aca="false">IFERROR(AC743/B743,"")</f>
        <v>4.47619047619048</v>
      </c>
      <c r="AF743" s="0" t="s">
        <v>236</v>
      </c>
      <c r="AG743" s="0" t="s">
        <v>236</v>
      </c>
      <c r="AH743" s="0" t="s">
        <v>230</v>
      </c>
      <c r="AI743" s="0" t="s">
        <v>1692</v>
      </c>
      <c r="AJ743" s="0" t="s">
        <v>3389</v>
      </c>
      <c r="AK743" s="0" t="s">
        <v>3390</v>
      </c>
      <c r="AL743" s="0" t="s">
        <v>3391</v>
      </c>
      <c r="AM743" s="0" t="s">
        <v>94</v>
      </c>
      <c r="AN743" s="26" t="n">
        <f aca="false">IFERROR(E743*(1+IF(AM743="Apartment",Data_Summary!$C$3,0)),"")</f>
        <v>4.57142857142857</v>
      </c>
      <c r="AO743" s="4" t="n">
        <v>46195</v>
      </c>
    </row>
    <row r="744" customFormat="false" ht="15" hidden="false" customHeight="false" outlineLevel="0" collapsed="false">
      <c r="A744" s="0" t="n">
        <f aca="false">IF(AND(ISNUMBER(B744),B744&gt;0,ISNUMBER(AB744),AB744&gt;0,J744&gt;=Data_Summary!$C$1),1,0)</f>
        <v>1</v>
      </c>
      <c r="B744" s="33" t="n">
        <v>505</v>
      </c>
      <c r="C744" s="5" t="n">
        <f aca="false">IF(ISNUMBER(AB744),AB744,"")</f>
        <v>2300</v>
      </c>
      <c r="D744" s="0" t="n">
        <f aca="false">IF(ISNUMBER(C744),C744-U744*Data_Summary!$C$2,"")</f>
        <v>2300</v>
      </c>
      <c r="E744" s="34" t="n">
        <f aca="false">IFERROR(C744/B744,"")</f>
        <v>4.55445544554455</v>
      </c>
      <c r="F744" s="26" t="n">
        <f aca="false">IFERROR(D744/B744,"")</f>
        <v>4.55445544554455</v>
      </c>
      <c r="G744" s="0" t="str">
        <f aca="false">Q744</f>
        <v>1</v>
      </c>
      <c r="H744" s="0" t="str">
        <f aca="false">IFERROR(LEFT(G744,1),"")</f>
        <v>1</v>
      </c>
      <c r="I744" s="0" t="n">
        <f aca="false">IF(LEN(G744)&gt;1,1,0)</f>
        <v>0</v>
      </c>
      <c r="J744" s="4" t="n">
        <v>46126</v>
      </c>
      <c r="K744" s="0" t="s">
        <v>14</v>
      </c>
      <c r="L744" s="0" t="s">
        <v>104</v>
      </c>
      <c r="M744" s="0" t="s">
        <v>226</v>
      </c>
      <c r="N744" s="0" t="s">
        <v>93</v>
      </c>
      <c r="O744" s="0" t="s">
        <v>3392</v>
      </c>
      <c r="Q744" s="0" t="s">
        <v>242</v>
      </c>
      <c r="R744" s="0" t="n">
        <v>1</v>
      </c>
      <c r="S744" s="5" t="n">
        <v>505</v>
      </c>
      <c r="T744" s="0" t="s">
        <v>243</v>
      </c>
      <c r="U744" s="0" t="n">
        <v>0</v>
      </c>
      <c r="V744" s="0" t="s">
        <v>230</v>
      </c>
      <c r="W744" s="0" t="s">
        <v>244</v>
      </c>
      <c r="X744" s="0" t="s">
        <v>232</v>
      </c>
      <c r="Y744" s="0" t="s">
        <v>245</v>
      </c>
      <c r="Z744" s="0" t="s">
        <v>3310</v>
      </c>
      <c r="AA744" s="0" t="s">
        <v>235</v>
      </c>
      <c r="AB744" s="32" t="n">
        <v>2300</v>
      </c>
      <c r="AC744" s="32" t="n">
        <v>2400</v>
      </c>
      <c r="AD744" s="26" t="n">
        <f aca="false">IFERROR(AB744/B744,"")</f>
        <v>4.55445544554455</v>
      </c>
      <c r="AE744" s="26" t="n">
        <f aca="false">IFERROR(AC744/B744,"")</f>
        <v>4.75247524752475</v>
      </c>
      <c r="AF744" s="0" t="s">
        <v>230</v>
      </c>
      <c r="AG744" s="0" t="s">
        <v>236</v>
      </c>
      <c r="AH744" s="0" t="s">
        <v>230</v>
      </c>
      <c r="AI744" s="0" t="s">
        <v>1692</v>
      </c>
      <c r="AJ744" s="0" t="s">
        <v>3393</v>
      </c>
      <c r="AK744" s="0" t="s">
        <v>3394</v>
      </c>
      <c r="AL744" s="0" t="s">
        <v>3395</v>
      </c>
      <c r="AM744" s="0" t="s">
        <v>94</v>
      </c>
      <c r="AN744" s="26" t="n">
        <f aca="false">IFERROR(E744*(1+IF(AM744="Apartment",Data_Summary!$C$3,0)),"")</f>
        <v>4.55445544554455</v>
      </c>
      <c r="AO744" s="4" t="n">
        <v>46195</v>
      </c>
    </row>
    <row r="745" customFormat="false" ht="15" hidden="false" customHeight="false" outlineLevel="0" collapsed="false">
      <c r="A745" s="0" t="n">
        <f aca="false">IF(AND(ISNUMBER(B745),B745&gt;0,ISNUMBER(AB745),AB745&gt;0,J745&gt;=Data_Summary!$C$1),1,0)</f>
        <v>1</v>
      </c>
      <c r="B745" s="30" t="n">
        <v>577</v>
      </c>
      <c r="C745" s="5" t="n">
        <f aca="false">IF(ISNUMBER(AB745),AB745,"")</f>
        <v>2350</v>
      </c>
      <c r="D745" s="0" t="n">
        <f aca="false">IF(ISNUMBER(C745),C745-U745*Data_Summary!$C$2,"")</f>
        <v>2350</v>
      </c>
      <c r="E745" s="31" t="n">
        <f aca="false">IFERROR(C745/B745,"")</f>
        <v>4.07279029462738</v>
      </c>
      <c r="F745" s="26" t="n">
        <f aca="false">IFERROR(D745/B745,"")</f>
        <v>4.07279029462738</v>
      </c>
      <c r="G745" s="0" t="str">
        <f aca="false">Q745</f>
        <v>1</v>
      </c>
      <c r="H745" s="0" t="str">
        <f aca="false">IFERROR(LEFT(G745,1),"")</f>
        <v>1</v>
      </c>
      <c r="I745" s="0" t="n">
        <f aca="false">IF(LEN(G745)&gt;1,1,0)</f>
        <v>0</v>
      </c>
      <c r="J745" s="4" t="n">
        <v>46125</v>
      </c>
      <c r="K745" s="0" t="s">
        <v>14</v>
      </c>
      <c r="L745" s="0" t="s">
        <v>104</v>
      </c>
      <c r="M745" s="0" t="s">
        <v>226</v>
      </c>
      <c r="N745" s="0" t="s">
        <v>93</v>
      </c>
      <c r="O745" s="0" t="s">
        <v>2705</v>
      </c>
      <c r="Q745" s="0" t="s">
        <v>242</v>
      </c>
      <c r="R745" s="0" t="n">
        <v>1</v>
      </c>
      <c r="S745" s="5" t="n">
        <v>577</v>
      </c>
      <c r="T745" s="0" t="s">
        <v>243</v>
      </c>
      <c r="U745" s="0" t="n">
        <v>0</v>
      </c>
      <c r="V745" s="0" t="s">
        <v>230</v>
      </c>
      <c r="W745" s="0" t="s">
        <v>244</v>
      </c>
      <c r="X745" s="0" t="s">
        <v>232</v>
      </c>
      <c r="Y745" s="0" t="s">
        <v>278</v>
      </c>
      <c r="Z745" s="0" t="s">
        <v>3310</v>
      </c>
      <c r="AA745" s="0" t="s">
        <v>235</v>
      </c>
      <c r="AB745" s="32" t="n">
        <v>2350</v>
      </c>
      <c r="AC745" s="32" t="n">
        <v>2350</v>
      </c>
      <c r="AD745" s="26" t="n">
        <f aca="false">IFERROR(AB745/B745,"")</f>
        <v>4.07279029462738</v>
      </c>
      <c r="AE745" s="26" t="n">
        <f aca="false">IFERROR(AC745/B745,"")</f>
        <v>4.07279029462738</v>
      </c>
      <c r="AF745" s="0" t="s">
        <v>236</v>
      </c>
      <c r="AG745" s="0" t="s">
        <v>236</v>
      </c>
      <c r="AH745" s="0" t="s">
        <v>236</v>
      </c>
      <c r="AI745" s="0" t="s">
        <v>462</v>
      </c>
      <c r="AJ745" s="0" t="s">
        <v>3396</v>
      </c>
      <c r="AK745" s="0" t="s">
        <v>3397</v>
      </c>
      <c r="AL745" s="0" t="s">
        <v>3398</v>
      </c>
      <c r="AM745" s="0" t="s">
        <v>94</v>
      </c>
      <c r="AN745" s="26" t="n">
        <f aca="false">IFERROR(E745*(1+IF(AM745="Apartment",Data_Summary!$C$3,0)),"")</f>
        <v>4.07279029462738</v>
      </c>
      <c r="AO745" s="4" t="n">
        <v>46195</v>
      </c>
    </row>
    <row r="746" customFormat="false" ht="15" hidden="false" customHeight="false" outlineLevel="0" collapsed="false">
      <c r="A746" s="0" t="n">
        <f aca="false">IF(AND(ISNUMBER(B746),B746&gt;0,ISNUMBER(AB746),AB746&gt;0,J746&gt;=Data_Summary!$C$1),1,0)</f>
        <v>1</v>
      </c>
      <c r="B746" s="30" t="n">
        <v>505</v>
      </c>
      <c r="C746" s="5" t="n">
        <f aca="false">IF(ISNUMBER(AB746),AB746,"")</f>
        <v>2300</v>
      </c>
      <c r="D746" s="0" t="n">
        <f aca="false">IF(ISNUMBER(C746),C746-U746*Data_Summary!$C$2,"")</f>
        <v>2300</v>
      </c>
      <c r="E746" s="31" t="n">
        <f aca="false">IFERROR(C746/B746,"")</f>
        <v>4.55445544554455</v>
      </c>
      <c r="F746" s="26" t="n">
        <f aca="false">IFERROR(D746/B746,"")</f>
        <v>4.55445544554455</v>
      </c>
      <c r="G746" s="0" t="str">
        <f aca="false">Q746</f>
        <v>1</v>
      </c>
      <c r="H746" s="0" t="str">
        <f aca="false">IFERROR(LEFT(G746,1),"")</f>
        <v>1</v>
      </c>
      <c r="I746" s="0" t="n">
        <f aca="false">IF(LEN(G746)&gt;1,1,0)</f>
        <v>0</v>
      </c>
      <c r="J746" s="4" t="n">
        <v>46125</v>
      </c>
      <c r="K746" s="0" t="s">
        <v>14</v>
      </c>
      <c r="L746" s="0" t="s">
        <v>104</v>
      </c>
      <c r="M746" s="0" t="s">
        <v>226</v>
      </c>
      <c r="N746" s="0" t="s">
        <v>93</v>
      </c>
      <c r="O746" s="0" t="s">
        <v>1355</v>
      </c>
      <c r="Q746" s="0" t="s">
        <v>242</v>
      </c>
      <c r="R746" s="0" t="n">
        <v>1</v>
      </c>
      <c r="S746" s="5" t="n">
        <v>505</v>
      </c>
      <c r="T746" s="0" t="s">
        <v>243</v>
      </c>
      <c r="U746" s="0" t="n">
        <v>0</v>
      </c>
      <c r="V746" s="0" t="s">
        <v>230</v>
      </c>
      <c r="W746" s="0" t="s">
        <v>244</v>
      </c>
      <c r="X746" s="0" t="s">
        <v>232</v>
      </c>
      <c r="Y746" s="0" t="s">
        <v>253</v>
      </c>
      <c r="Z746" s="0" t="s">
        <v>3310</v>
      </c>
      <c r="AA746" s="0" t="s">
        <v>235</v>
      </c>
      <c r="AB746" s="32" t="n">
        <v>2300</v>
      </c>
      <c r="AC746" s="32" t="n">
        <v>2300</v>
      </c>
      <c r="AD746" s="26" t="n">
        <f aca="false">IFERROR(AB746/B746,"")</f>
        <v>4.55445544554455</v>
      </c>
      <c r="AE746" s="26" t="n">
        <f aca="false">IFERROR(AC746/B746,"")</f>
        <v>4.55445544554455</v>
      </c>
      <c r="AF746" s="0" t="s">
        <v>236</v>
      </c>
      <c r="AG746" s="0" t="s">
        <v>236</v>
      </c>
      <c r="AH746" s="0" t="s">
        <v>230</v>
      </c>
      <c r="AI746" s="0" t="s">
        <v>462</v>
      </c>
      <c r="AJ746" s="0" t="s">
        <v>3399</v>
      </c>
      <c r="AK746" s="0" t="s">
        <v>3400</v>
      </c>
      <c r="AL746" s="0" t="s">
        <v>3401</v>
      </c>
      <c r="AM746" s="0" t="s">
        <v>94</v>
      </c>
      <c r="AN746" s="26" t="n">
        <f aca="false">IFERROR(E746*(1+IF(AM746="Apartment",Data_Summary!$C$3,0)),"")</f>
        <v>4.55445544554455</v>
      </c>
      <c r="AO746" s="4" t="n">
        <v>46195</v>
      </c>
    </row>
    <row r="747" customFormat="false" ht="15" hidden="false" customHeight="false" outlineLevel="0" collapsed="false">
      <c r="A747" s="0" t="n">
        <f aca="false">IF(AND(ISNUMBER(B747),B747&gt;0,ISNUMBER(AB747),AB747&gt;0,J747&gt;=Data_Summary!$C$1),1,0)</f>
        <v>1</v>
      </c>
      <c r="B747" s="30" t="n">
        <v>505</v>
      </c>
      <c r="C747" s="5" t="n">
        <f aca="false">IF(ISNUMBER(AB747),AB747,"")</f>
        <v>2200</v>
      </c>
      <c r="D747" s="0" t="n">
        <f aca="false">IF(ISNUMBER(C747),C747-U747*Data_Summary!$C$2,"")</f>
        <v>2200</v>
      </c>
      <c r="E747" s="31" t="n">
        <f aca="false">IFERROR(C747/B747,"")</f>
        <v>4.35643564356436</v>
      </c>
      <c r="F747" s="26" t="n">
        <f aca="false">IFERROR(D747/B747,"")</f>
        <v>4.35643564356436</v>
      </c>
      <c r="G747" s="0" t="str">
        <f aca="false">Q747</f>
        <v>1</v>
      </c>
      <c r="H747" s="0" t="str">
        <f aca="false">IFERROR(LEFT(G747,1),"")</f>
        <v>1</v>
      </c>
      <c r="I747" s="0" t="n">
        <f aca="false">IF(LEN(G747)&gt;1,1,0)</f>
        <v>0</v>
      </c>
      <c r="J747" s="4" t="n">
        <v>46122</v>
      </c>
      <c r="K747" s="0" t="s">
        <v>14</v>
      </c>
      <c r="L747" s="0" t="s">
        <v>104</v>
      </c>
      <c r="M747" s="0" t="s">
        <v>226</v>
      </c>
      <c r="N747" s="0" t="s">
        <v>93</v>
      </c>
      <c r="O747" s="0" t="s">
        <v>1365</v>
      </c>
      <c r="Q747" s="0" t="s">
        <v>242</v>
      </c>
      <c r="R747" s="0" t="n">
        <v>1</v>
      </c>
      <c r="S747" s="5" t="n">
        <v>505</v>
      </c>
      <c r="T747" s="0" t="s">
        <v>243</v>
      </c>
      <c r="U747" s="0" t="n">
        <v>0</v>
      </c>
      <c r="V747" s="0" t="s">
        <v>230</v>
      </c>
      <c r="W747" s="0" t="s">
        <v>244</v>
      </c>
      <c r="X747" s="0" t="s">
        <v>232</v>
      </c>
      <c r="Y747" s="0" t="s">
        <v>253</v>
      </c>
      <c r="Z747" s="0" t="s">
        <v>3310</v>
      </c>
      <c r="AA747" s="0" t="s">
        <v>235</v>
      </c>
      <c r="AB747" s="32" t="n">
        <v>2200</v>
      </c>
      <c r="AC747" s="32" t="n">
        <v>2350</v>
      </c>
      <c r="AD747" s="26" t="n">
        <f aca="false">IFERROR(AB747/B747,"")</f>
        <v>4.35643564356436</v>
      </c>
      <c r="AE747" s="26" t="n">
        <f aca="false">IFERROR(AC747/B747,"")</f>
        <v>4.65346534653465</v>
      </c>
      <c r="AF747" s="0" t="s">
        <v>236</v>
      </c>
      <c r="AG747" s="0" t="s">
        <v>236</v>
      </c>
      <c r="AH747" s="0" t="s">
        <v>230</v>
      </c>
      <c r="AI747" s="0" t="s">
        <v>1701</v>
      </c>
      <c r="AJ747" s="0" t="s">
        <v>3402</v>
      </c>
      <c r="AK747" s="0" t="s">
        <v>3403</v>
      </c>
      <c r="AL747" s="0" t="s">
        <v>3404</v>
      </c>
      <c r="AM747" s="0" t="s">
        <v>94</v>
      </c>
      <c r="AN747" s="26" t="n">
        <f aca="false">IFERROR(E747*(1+IF(AM747="Apartment",Data_Summary!$C$3,0)),"")</f>
        <v>4.35643564356436</v>
      </c>
      <c r="AO747" s="4" t="n">
        <v>46195</v>
      </c>
    </row>
    <row r="748" customFormat="false" ht="15" hidden="false" customHeight="false" outlineLevel="0" collapsed="false">
      <c r="A748" s="0" t="n">
        <f aca="false">IF(AND(ISNUMBER(B748),B748&gt;0,ISNUMBER(AB748),AB748&gt;0,J748&gt;=Data_Summary!$C$1),1,0)</f>
        <v>1</v>
      </c>
      <c r="B748" s="30" t="n">
        <v>579</v>
      </c>
      <c r="C748" s="5" t="n">
        <f aca="false">IF(ISNUMBER(AB748),AB748,"")</f>
        <v>2350</v>
      </c>
      <c r="D748" s="0" t="n">
        <f aca="false">IF(ISNUMBER(C748),C748-U748*Data_Summary!$C$2,"")</f>
        <v>2350</v>
      </c>
      <c r="E748" s="31" t="n">
        <f aca="false">IFERROR(C748/B748,"")</f>
        <v>4.0587219343696</v>
      </c>
      <c r="F748" s="26" t="n">
        <f aca="false">IFERROR(D748/B748,"")</f>
        <v>4.0587219343696</v>
      </c>
      <c r="G748" s="0" t="str">
        <f aca="false">Q748</f>
        <v>1+1</v>
      </c>
      <c r="H748" s="0" t="str">
        <f aca="false">IFERROR(LEFT(G748,1),"")</f>
        <v>1</v>
      </c>
      <c r="I748" s="0" t="n">
        <f aca="false">IF(LEN(G748)&gt;1,1,0)</f>
        <v>1</v>
      </c>
      <c r="J748" s="4" t="n">
        <v>46122</v>
      </c>
      <c r="K748" s="0" t="s">
        <v>14</v>
      </c>
      <c r="L748" s="0" t="s">
        <v>104</v>
      </c>
      <c r="M748" s="0" t="s">
        <v>226</v>
      </c>
      <c r="N748" s="0" t="s">
        <v>93</v>
      </c>
      <c r="O748" s="0" t="s">
        <v>3405</v>
      </c>
      <c r="Q748" s="0" t="s">
        <v>270</v>
      </c>
      <c r="R748" s="0" t="n">
        <v>1</v>
      </c>
      <c r="S748" s="5" t="n">
        <v>579</v>
      </c>
      <c r="T748" s="0" t="s">
        <v>243</v>
      </c>
      <c r="U748" s="0" t="n">
        <v>0</v>
      </c>
      <c r="V748" s="0" t="s">
        <v>230</v>
      </c>
      <c r="W748" s="0" t="s">
        <v>244</v>
      </c>
      <c r="X748" s="0" t="s">
        <v>232</v>
      </c>
      <c r="Y748" s="0" t="s">
        <v>278</v>
      </c>
      <c r="Z748" s="0" t="s">
        <v>3310</v>
      </c>
      <c r="AA748" s="0" t="s">
        <v>235</v>
      </c>
      <c r="AB748" s="32" t="n">
        <v>2350</v>
      </c>
      <c r="AC748" s="32" t="n">
        <v>2350</v>
      </c>
      <c r="AD748" s="26" t="n">
        <f aca="false">IFERROR(AB748/B748,"")</f>
        <v>4.0587219343696</v>
      </c>
      <c r="AE748" s="26" t="n">
        <f aca="false">IFERROR(AC748/B748,"")</f>
        <v>4.0587219343696</v>
      </c>
      <c r="AF748" s="0" t="s">
        <v>236</v>
      </c>
      <c r="AG748" s="0" t="s">
        <v>236</v>
      </c>
      <c r="AH748" s="0" t="s">
        <v>230</v>
      </c>
      <c r="AI748" s="0" t="s">
        <v>1701</v>
      </c>
      <c r="AJ748" s="0" t="s">
        <v>3406</v>
      </c>
      <c r="AK748" s="0" t="s">
        <v>3407</v>
      </c>
      <c r="AL748" s="0" t="s">
        <v>3408</v>
      </c>
      <c r="AM748" s="0" t="s">
        <v>94</v>
      </c>
      <c r="AN748" s="26" t="n">
        <f aca="false">IFERROR(E748*(1+IF(AM748="Apartment",Data_Summary!$C$3,0)),"")</f>
        <v>4.0587219343696</v>
      </c>
      <c r="AO748" s="4" t="n">
        <v>46195</v>
      </c>
    </row>
    <row r="749" customFormat="false" ht="15" hidden="false" customHeight="false" outlineLevel="0" collapsed="false">
      <c r="A749" s="0" t="n">
        <f aca="false">IF(AND(ISNUMBER(B749),B749&gt;0,ISNUMBER(AB749),AB749&gt;0,J749&gt;=Data_Summary!$C$1),1,0)</f>
        <v>1</v>
      </c>
      <c r="B749" s="30" t="n">
        <v>570</v>
      </c>
      <c r="C749" s="5" t="n">
        <f aca="false">IF(ISNUMBER(AB749),AB749,"")</f>
        <v>2300</v>
      </c>
      <c r="D749" s="0" t="n">
        <f aca="false">IF(ISNUMBER(C749),C749-U749*Data_Summary!$C$2,"")</f>
        <v>2300</v>
      </c>
      <c r="E749" s="31" t="n">
        <f aca="false">IFERROR(C749/B749,"")</f>
        <v>4.03508771929825</v>
      </c>
      <c r="F749" s="26" t="n">
        <f aca="false">IFERROR(D749/B749,"")</f>
        <v>4.03508771929825</v>
      </c>
      <c r="G749" s="0" t="str">
        <f aca="false">Q749</f>
        <v>1+1</v>
      </c>
      <c r="H749" s="0" t="str">
        <f aca="false">IFERROR(LEFT(G749,1),"")</f>
        <v>1</v>
      </c>
      <c r="I749" s="0" t="n">
        <f aca="false">IF(LEN(G749)&gt;1,1,0)</f>
        <v>1</v>
      </c>
      <c r="J749" s="4" t="n">
        <v>46122</v>
      </c>
      <c r="K749" s="0" t="s">
        <v>14</v>
      </c>
      <c r="L749" s="0" t="s">
        <v>104</v>
      </c>
      <c r="M749" s="0" t="s">
        <v>226</v>
      </c>
      <c r="N749" s="0" t="s">
        <v>93</v>
      </c>
      <c r="O749" s="0" t="s">
        <v>2013</v>
      </c>
      <c r="Q749" s="0" t="s">
        <v>270</v>
      </c>
      <c r="R749" s="0" t="n">
        <v>1</v>
      </c>
      <c r="S749" s="5" t="n">
        <v>570</v>
      </c>
      <c r="T749" s="0" t="s">
        <v>243</v>
      </c>
      <c r="U749" s="0" t="n">
        <v>0</v>
      </c>
      <c r="V749" s="0" t="s">
        <v>230</v>
      </c>
      <c r="W749" s="0" t="s">
        <v>244</v>
      </c>
      <c r="X749" s="0" t="s">
        <v>232</v>
      </c>
      <c r="Y749" s="0" t="s">
        <v>245</v>
      </c>
      <c r="Z749" s="0" t="s">
        <v>3310</v>
      </c>
      <c r="AA749" s="0" t="s">
        <v>235</v>
      </c>
      <c r="AB749" s="32" t="n">
        <v>2300</v>
      </c>
      <c r="AC749" s="32" t="n">
        <v>2400</v>
      </c>
      <c r="AD749" s="26" t="n">
        <f aca="false">IFERROR(AB749/B749,"")</f>
        <v>4.03508771929825</v>
      </c>
      <c r="AE749" s="26" t="n">
        <f aca="false">IFERROR(AC749/B749,"")</f>
        <v>4.21052631578947</v>
      </c>
      <c r="AF749" s="0" t="s">
        <v>236</v>
      </c>
      <c r="AG749" s="0" t="s">
        <v>236</v>
      </c>
      <c r="AH749" s="0" t="s">
        <v>230</v>
      </c>
      <c r="AI749" s="0" t="s">
        <v>1701</v>
      </c>
      <c r="AJ749" s="0" t="s">
        <v>3409</v>
      </c>
      <c r="AK749" s="0" t="s">
        <v>3410</v>
      </c>
      <c r="AL749" s="0" t="s">
        <v>3411</v>
      </c>
      <c r="AM749" s="0" t="s">
        <v>94</v>
      </c>
      <c r="AN749" s="26" t="n">
        <f aca="false">IFERROR(E749*(1+IF(AM749="Apartment",Data_Summary!$C$3,0)),"")</f>
        <v>4.03508771929825</v>
      </c>
      <c r="AO749" s="4" t="n">
        <v>46195</v>
      </c>
    </row>
    <row r="750" customFormat="false" ht="15" hidden="false" customHeight="false" outlineLevel="0" collapsed="false">
      <c r="A750" s="0" t="n">
        <f aca="false">IF(AND(ISNUMBER(B750),B750&gt;0,ISNUMBER(AB750),AB750&gt;0,J750&gt;=Data_Summary!$C$1),1,0)</f>
        <v>1</v>
      </c>
      <c r="B750" s="30" t="n">
        <v>705</v>
      </c>
      <c r="C750" s="5" t="n">
        <f aca="false">IF(ISNUMBER(AB750),AB750,"")</f>
        <v>3000</v>
      </c>
      <c r="D750" s="0" t="n">
        <f aca="false">IF(ISNUMBER(C750),C750-U750*Data_Summary!$C$2,"")</f>
        <v>3000</v>
      </c>
      <c r="E750" s="31" t="n">
        <f aca="false">IFERROR(C750/B750,"")</f>
        <v>4.25531914893617</v>
      </c>
      <c r="F750" s="26" t="n">
        <f aca="false">IFERROR(D750/B750,"")</f>
        <v>4.25531914893617</v>
      </c>
      <c r="G750" s="0" t="str">
        <f aca="false">Q750</f>
        <v>2+1</v>
      </c>
      <c r="H750" s="0" t="str">
        <f aca="false">IFERROR(LEFT(G750,1),"")</f>
        <v>2</v>
      </c>
      <c r="I750" s="0" t="n">
        <f aca="false">IF(LEN(G750)&gt;1,1,0)</f>
        <v>1</v>
      </c>
      <c r="J750" s="4" t="n">
        <v>46118</v>
      </c>
      <c r="K750" s="0" t="s">
        <v>14</v>
      </c>
      <c r="L750" s="0" t="s">
        <v>104</v>
      </c>
      <c r="M750" s="0" t="s">
        <v>226</v>
      </c>
      <c r="N750" s="0" t="s">
        <v>93</v>
      </c>
      <c r="O750" s="0" t="s">
        <v>1264</v>
      </c>
      <c r="Q750" s="0" t="s">
        <v>451</v>
      </c>
      <c r="R750" s="0" t="n">
        <v>1</v>
      </c>
      <c r="S750" s="5" t="n">
        <v>705</v>
      </c>
      <c r="T750" s="0" t="s">
        <v>252</v>
      </c>
      <c r="U750" s="0" t="n">
        <v>0</v>
      </c>
      <c r="V750" s="0" t="s">
        <v>230</v>
      </c>
      <c r="W750" s="0" t="s">
        <v>244</v>
      </c>
      <c r="X750" s="0" t="s">
        <v>232</v>
      </c>
      <c r="Y750" s="0" t="s">
        <v>297</v>
      </c>
      <c r="Z750" s="0" t="s">
        <v>3310</v>
      </c>
      <c r="AA750" s="0" t="s">
        <v>235</v>
      </c>
      <c r="AB750" s="32" t="n">
        <v>3000</v>
      </c>
      <c r="AC750" s="32" t="n">
        <v>2800</v>
      </c>
      <c r="AD750" s="26" t="n">
        <f aca="false">IFERROR(AB750/B750,"")</f>
        <v>4.25531914893617</v>
      </c>
      <c r="AE750" s="26" t="n">
        <f aca="false">IFERROR(AC750/B750,"")</f>
        <v>3.97163120567376</v>
      </c>
      <c r="AF750" s="0" t="s">
        <v>236</v>
      </c>
      <c r="AG750" s="0" t="s">
        <v>236</v>
      </c>
      <c r="AH750" s="0" t="s">
        <v>236</v>
      </c>
      <c r="AI750" s="0" t="s">
        <v>1710</v>
      </c>
      <c r="AJ750" s="0" t="s">
        <v>3412</v>
      </c>
      <c r="AK750" s="0" t="s">
        <v>3413</v>
      </c>
      <c r="AL750" s="0" t="s">
        <v>3414</v>
      </c>
      <c r="AM750" s="0" t="s">
        <v>94</v>
      </c>
      <c r="AN750" s="26" t="n">
        <f aca="false">IFERROR(E750*(1+IF(AM750="Apartment",Data_Summary!$C$3,0)),"")</f>
        <v>4.25531914893617</v>
      </c>
      <c r="AO750" s="4" t="n">
        <v>46195</v>
      </c>
    </row>
    <row r="751" customFormat="false" ht="15" hidden="false" customHeight="false" outlineLevel="0" collapsed="false">
      <c r="A751" s="0" t="n">
        <f aca="false">IF(AND(ISNUMBER(B751),B751&gt;0,ISNUMBER(AB751),AB751&gt;0,J751&gt;=Data_Summary!$C$1),1,0)</f>
        <v>1</v>
      </c>
      <c r="B751" s="30" t="n">
        <v>537</v>
      </c>
      <c r="C751" s="5" t="n">
        <f aca="false">IF(ISNUMBER(AB751),AB751,"")</f>
        <v>2300</v>
      </c>
      <c r="D751" s="0" t="n">
        <f aca="false">IF(ISNUMBER(C751),C751-U751*Data_Summary!$C$2,"")</f>
        <v>2300</v>
      </c>
      <c r="E751" s="31" t="n">
        <f aca="false">IFERROR(C751/B751,"")</f>
        <v>4.2830540037244</v>
      </c>
      <c r="F751" s="26" t="n">
        <f aca="false">IFERROR(D751/B751,"")</f>
        <v>4.2830540037244</v>
      </c>
      <c r="G751" s="0" t="str">
        <f aca="false">Q751</f>
        <v>1</v>
      </c>
      <c r="H751" s="0" t="str">
        <f aca="false">IFERROR(LEFT(G751,1),"")</f>
        <v>1</v>
      </c>
      <c r="I751" s="0" t="n">
        <f aca="false">IF(LEN(G751)&gt;1,1,0)</f>
        <v>0</v>
      </c>
      <c r="J751" s="4" t="n">
        <v>46117</v>
      </c>
      <c r="K751" s="0" t="s">
        <v>14</v>
      </c>
      <c r="L751" s="0" t="s">
        <v>104</v>
      </c>
      <c r="M751" s="0" t="s">
        <v>226</v>
      </c>
      <c r="N751" s="0" t="s">
        <v>93</v>
      </c>
      <c r="O751" s="0" t="s">
        <v>302</v>
      </c>
      <c r="Q751" s="0" t="s">
        <v>242</v>
      </c>
      <c r="R751" s="0" t="n">
        <v>1</v>
      </c>
      <c r="S751" s="5" t="n">
        <v>537</v>
      </c>
      <c r="T751" s="0" t="s">
        <v>243</v>
      </c>
      <c r="U751" s="0" t="n">
        <v>0</v>
      </c>
      <c r="V751" s="0" t="s">
        <v>230</v>
      </c>
      <c r="W751" s="0" t="s">
        <v>244</v>
      </c>
      <c r="X751" s="0" t="s">
        <v>232</v>
      </c>
      <c r="Y751" s="0" t="s">
        <v>245</v>
      </c>
      <c r="Z751" s="0" t="s">
        <v>3310</v>
      </c>
      <c r="AA751" s="0" t="s">
        <v>235</v>
      </c>
      <c r="AB751" s="32" t="n">
        <v>2300</v>
      </c>
      <c r="AC751" s="32" t="n">
        <v>2300</v>
      </c>
      <c r="AD751" s="26" t="n">
        <f aca="false">IFERROR(AB751/B751,"")</f>
        <v>4.2830540037244</v>
      </c>
      <c r="AE751" s="26" t="n">
        <f aca="false">IFERROR(AC751/B751,"")</f>
        <v>4.2830540037244</v>
      </c>
      <c r="AF751" s="0" t="s">
        <v>236</v>
      </c>
      <c r="AG751" s="0" t="s">
        <v>236</v>
      </c>
      <c r="AH751" s="0" t="s">
        <v>230</v>
      </c>
      <c r="AI751" s="0" t="s">
        <v>3415</v>
      </c>
      <c r="AJ751" s="0" t="s">
        <v>3416</v>
      </c>
      <c r="AK751" s="0" t="s">
        <v>3417</v>
      </c>
      <c r="AL751" s="0" t="s">
        <v>3418</v>
      </c>
      <c r="AM751" s="0" t="s">
        <v>94</v>
      </c>
      <c r="AN751" s="26" t="n">
        <f aca="false">IFERROR(E751*(1+IF(AM751="Apartment",Data_Summary!$C$3,0)),"")</f>
        <v>4.2830540037244</v>
      </c>
      <c r="AO751" s="4" t="n">
        <v>46195</v>
      </c>
    </row>
    <row r="752" customFormat="false" ht="15" hidden="false" customHeight="false" outlineLevel="0" collapsed="false">
      <c r="A752" s="0" t="n">
        <f aca="false">IF(AND(ISNUMBER(B752),B752&gt;0,ISNUMBER(AB752),AB752&gt;0,J752&gt;=Data_Summary!$C$1),1,0)</f>
        <v>1</v>
      </c>
      <c r="B752" s="30" t="n">
        <v>802</v>
      </c>
      <c r="C752" s="5" t="n">
        <f aca="false">IF(ISNUMBER(AB752),AB752,"")</f>
        <v>3500</v>
      </c>
      <c r="D752" s="0" t="n">
        <f aca="false">IF(ISNUMBER(C752),C752-U752*Data_Summary!$C$2,"")</f>
        <v>3350</v>
      </c>
      <c r="E752" s="31" t="n">
        <f aca="false">IFERROR(C752/B752,"")</f>
        <v>4.3640897755611</v>
      </c>
      <c r="F752" s="26" t="n">
        <f aca="false">IFERROR(D752/B752,"")</f>
        <v>4.17705735660848</v>
      </c>
      <c r="G752" s="0" t="str">
        <f aca="false">Q752</f>
        <v>2</v>
      </c>
      <c r="H752" s="0" t="str">
        <f aca="false">IFERROR(LEFT(G752,1),"")</f>
        <v>2</v>
      </c>
      <c r="I752" s="0" t="n">
        <f aca="false">IF(LEN(G752)&gt;1,1,0)</f>
        <v>0</v>
      </c>
      <c r="J752" s="4" t="n">
        <v>46116</v>
      </c>
      <c r="K752" s="0" t="s">
        <v>14</v>
      </c>
      <c r="L752" s="0" t="s">
        <v>104</v>
      </c>
      <c r="M752" s="0" t="s">
        <v>226</v>
      </c>
      <c r="N752" s="0" t="s">
        <v>93</v>
      </c>
      <c r="O752" s="0" t="s">
        <v>3419</v>
      </c>
      <c r="Q752" s="0" t="s">
        <v>251</v>
      </c>
      <c r="R752" s="0" t="n">
        <v>2</v>
      </c>
      <c r="S752" s="5" t="n">
        <v>802</v>
      </c>
      <c r="T752" s="0" t="s">
        <v>229</v>
      </c>
      <c r="U752" s="0" t="n">
        <v>1</v>
      </c>
      <c r="V752" s="0" t="s">
        <v>230</v>
      </c>
      <c r="W752" s="0" t="s">
        <v>231</v>
      </c>
      <c r="X752" s="0" t="s">
        <v>232</v>
      </c>
      <c r="Y752" s="0" t="s">
        <v>308</v>
      </c>
      <c r="Z752" s="0" t="s">
        <v>3310</v>
      </c>
      <c r="AA752" s="0" t="s">
        <v>235</v>
      </c>
      <c r="AB752" s="32" t="n">
        <v>3500</v>
      </c>
      <c r="AC752" s="32" t="n">
        <v>3500</v>
      </c>
      <c r="AD752" s="26" t="n">
        <f aca="false">IFERROR(AB752/B752,"")</f>
        <v>4.3640897755611</v>
      </c>
      <c r="AE752" s="26" t="n">
        <f aca="false">IFERROR(AC752/B752,"")</f>
        <v>4.3640897755611</v>
      </c>
      <c r="AF752" s="0" t="s">
        <v>236</v>
      </c>
      <c r="AG752" s="0" t="s">
        <v>236</v>
      </c>
      <c r="AH752" s="0" t="s">
        <v>236</v>
      </c>
      <c r="AI752" s="0" t="s">
        <v>2757</v>
      </c>
      <c r="AJ752" s="0" t="s">
        <v>3420</v>
      </c>
      <c r="AK752" s="0" t="s">
        <v>3421</v>
      </c>
      <c r="AL752" s="0" t="s">
        <v>3422</v>
      </c>
      <c r="AM752" s="0" t="s">
        <v>94</v>
      </c>
      <c r="AN752" s="26" t="n">
        <f aca="false">IFERROR(E752*(1+IF(AM752="Apartment",Data_Summary!$C$3,0)),"")</f>
        <v>4.3640897755611</v>
      </c>
      <c r="AO752" s="4" t="n">
        <v>46195</v>
      </c>
    </row>
    <row r="753" customFormat="false" ht="15" hidden="false" customHeight="false" outlineLevel="0" collapsed="false">
      <c r="A753" s="0" t="n">
        <f aca="false">IF(AND(ISNUMBER(B753),B753&gt;0,ISNUMBER(AB753),AB753&gt;0,J753&gt;=Data_Summary!$C$1),1,0)</f>
        <v>1</v>
      </c>
      <c r="B753" s="30" t="n">
        <v>833</v>
      </c>
      <c r="C753" s="5" t="n">
        <f aca="false">IF(ISNUMBER(AB753),AB753,"")</f>
        <v>3100</v>
      </c>
      <c r="D753" s="0" t="n">
        <f aca="false">IF(ISNUMBER(C753),C753-U753*Data_Summary!$C$2,"")</f>
        <v>3100</v>
      </c>
      <c r="E753" s="31" t="n">
        <f aca="false">IFERROR(C753/B753,"")</f>
        <v>3.72148859543818</v>
      </c>
      <c r="F753" s="26" t="n">
        <f aca="false">IFERROR(D753/B753,"")</f>
        <v>3.72148859543818</v>
      </c>
      <c r="G753" s="0" t="str">
        <f aca="false">Q753</f>
        <v>2+1</v>
      </c>
      <c r="H753" s="0" t="str">
        <f aca="false">IFERROR(LEFT(G753,1),"")</f>
        <v>2</v>
      </c>
      <c r="I753" s="0" t="n">
        <f aca="false">IF(LEN(G753)&gt;1,1,0)</f>
        <v>1</v>
      </c>
      <c r="J753" s="4" t="n">
        <v>46106</v>
      </c>
      <c r="K753" s="0" t="s">
        <v>14</v>
      </c>
      <c r="L753" s="0" t="s">
        <v>104</v>
      </c>
      <c r="M753" s="0" t="s">
        <v>226</v>
      </c>
      <c r="N753" s="0" t="s">
        <v>93</v>
      </c>
      <c r="O753" s="0" t="s">
        <v>721</v>
      </c>
      <c r="Q753" s="0" t="s">
        <v>451</v>
      </c>
      <c r="R753" s="0" t="n">
        <v>2</v>
      </c>
      <c r="S753" s="5" t="n">
        <v>833</v>
      </c>
      <c r="T753" s="0" t="s">
        <v>229</v>
      </c>
      <c r="U753" s="0" t="n">
        <v>0</v>
      </c>
      <c r="V753" s="0" t="s">
        <v>230</v>
      </c>
      <c r="W753" s="0" t="s">
        <v>231</v>
      </c>
      <c r="X753" s="0" t="s">
        <v>232</v>
      </c>
      <c r="Y753" s="0" t="s">
        <v>308</v>
      </c>
      <c r="Z753" s="0" t="s">
        <v>3310</v>
      </c>
      <c r="AA753" s="0" t="s">
        <v>235</v>
      </c>
      <c r="AB753" s="32" t="n">
        <v>3100</v>
      </c>
      <c r="AC753" s="32" t="n">
        <v>3100</v>
      </c>
      <c r="AD753" s="26" t="n">
        <f aca="false">IFERROR(AB753/B753,"")</f>
        <v>3.72148859543818</v>
      </c>
      <c r="AE753" s="26" t="n">
        <f aca="false">IFERROR(AC753/B753,"")</f>
        <v>3.72148859543818</v>
      </c>
      <c r="AF753" s="0" t="s">
        <v>236</v>
      </c>
      <c r="AG753" s="0" t="s">
        <v>236</v>
      </c>
      <c r="AH753" s="0" t="s">
        <v>236</v>
      </c>
      <c r="AI753" s="0" t="s">
        <v>498</v>
      </c>
      <c r="AJ753" s="0" t="s">
        <v>3423</v>
      </c>
      <c r="AK753" s="0" t="s">
        <v>3424</v>
      </c>
      <c r="AL753" s="0" t="s">
        <v>3425</v>
      </c>
      <c r="AM753" s="0" t="s">
        <v>94</v>
      </c>
      <c r="AN753" s="26" t="n">
        <f aca="false">IFERROR(E753*(1+IF(AM753="Apartment",Data_Summary!$C$3,0)),"")</f>
        <v>3.72148859543818</v>
      </c>
      <c r="AO753" s="4" t="n">
        <v>46195</v>
      </c>
    </row>
    <row r="754" customFormat="false" ht="15" hidden="false" customHeight="false" outlineLevel="0" collapsed="false">
      <c r="A754" s="0" t="n">
        <f aca="false">IF(AND(ISNUMBER(B754),B754&gt;0,ISNUMBER(AB754),AB754&gt;0,J754&gt;=Data_Summary!$C$1),1,0)</f>
        <v>1</v>
      </c>
      <c r="B754" s="30" t="n">
        <v>975</v>
      </c>
      <c r="C754" s="5" t="n">
        <f aca="false">IF(ISNUMBER(AB754),AB754,"")</f>
        <v>4300</v>
      </c>
      <c r="D754" s="0" t="n">
        <f aca="false">IF(ISNUMBER(C754),C754-U754*Data_Summary!$C$2,"")</f>
        <v>4150</v>
      </c>
      <c r="E754" s="31" t="n">
        <f aca="false">IFERROR(C754/B754,"")</f>
        <v>4.41025641025641</v>
      </c>
      <c r="F754" s="26" t="n">
        <f aca="false">IFERROR(D754/B754,"")</f>
        <v>4.25641025641026</v>
      </c>
      <c r="G754" s="0" t="str">
        <f aca="false">Q754</f>
        <v>3</v>
      </c>
      <c r="H754" s="0" t="str">
        <f aca="false">IFERROR(LEFT(G754,1),"")</f>
        <v>3</v>
      </c>
      <c r="I754" s="0" t="n">
        <f aca="false">IF(LEN(G754)&gt;1,1,0)</f>
        <v>0</v>
      </c>
      <c r="J754" s="4" t="n">
        <v>46105</v>
      </c>
      <c r="K754" s="0" t="s">
        <v>14</v>
      </c>
      <c r="L754" s="0" t="s">
        <v>104</v>
      </c>
      <c r="M754" s="0" t="s">
        <v>226</v>
      </c>
      <c r="N754" s="0" t="s">
        <v>93</v>
      </c>
      <c r="O754" s="0" t="s">
        <v>3426</v>
      </c>
      <c r="Q754" s="0" t="s">
        <v>228</v>
      </c>
      <c r="R754" s="0" t="n">
        <v>2</v>
      </c>
      <c r="S754" s="5" t="n">
        <v>975</v>
      </c>
      <c r="T754" s="0" t="s">
        <v>259</v>
      </c>
      <c r="U754" s="0" t="n">
        <v>1</v>
      </c>
      <c r="V754" s="0" t="s">
        <v>230</v>
      </c>
      <c r="W754" s="0" t="s">
        <v>244</v>
      </c>
      <c r="X754" s="0" t="s">
        <v>232</v>
      </c>
      <c r="Y754" s="0" t="s">
        <v>233</v>
      </c>
      <c r="Z754" s="0" t="s">
        <v>3310</v>
      </c>
      <c r="AA754" s="0" t="s">
        <v>235</v>
      </c>
      <c r="AB754" s="32" t="n">
        <v>4300</v>
      </c>
      <c r="AC754" s="32" t="n">
        <v>4380</v>
      </c>
      <c r="AD754" s="26" t="n">
        <f aca="false">IFERROR(AB754/B754,"")</f>
        <v>4.41025641025641</v>
      </c>
      <c r="AE754" s="26" t="n">
        <f aca="false">IFERROR(AC754/B754,"")</f>
        <v>4.49230769230769</v>
      </c>
      <c r="AF754" s="0" t="s">
        <v>236</v>
      </c>
      <c r="AG754" s="0" t="s">
        <v>236</v>
      </c>
      <c r="AH754" s="0" t="s">
        <v>230</v>
      </c>
      <c r="AI754" s="0" t="s">
        <v>1736</v>
      </c>
      <c r="AJ754" s="0" t="s">
        <v>3427</v>
      </c>
      <c r="AK754" s="0" t="s">
        <v>3428</v>
      </c>
      <c r="AL754" s="0" t="s">
        <v>3429</v>
      </c>
      <c r="AM754" s="0" t="s">
        <v>94</v>
      </c>
      <c r="AN754" s="26" t="n">
        <f aca="false">IFERROR(E754*(1+IF(AM754="Apartment",Data_Summary!$C$3,0)),"")</f>
        <v>4.41025641025641</v>
      </c>
      <c r="AO754" s="4" t="n">
        <v>46195</v>
      </c>
    </row>
    <row r="755" customFormat="false" ht="15" hidden="false" customHeight="false" outlineLevel="0" collapsed="false">
      <c r="A755" s="0" t="n">
        <f aca="false">IF(AND(ISNUMBER(B755),B755&gt;0,ISNUMBER(AB755),AB755&gt;0,J755&gt;=Data_Summary!$C$1),1,0)</f>
        <v>1</v>
      </c>
      <c r="B755" s="30" t="n">
        <v>645</v>
      </c>
      <c r="C755" s="5" t="n">
        <f aca="false">IF(ISNUMBER(AB755),AB755,"")</f>
        <v>2400</v>
      </c>
      <c r="D755" s="0" t="n">
        <f aca="false">IF(ISNUMBER(C755),C755-U755*Data_Summary!$C$2,"")</f>
        <v>2400</v>
      </c>
      <c r="E755" s="31" t="n">
        <f aca="false">IFERROR(C755/B755,"")</f>
        <v>3.72093023255814</v>
      </c>
      <c r="F755" s="26" t="n">
        <f aca="false">IFERROR(D755/B755,"")</f>
        <v>3.72093023255814</v>
      </c>
      <c r="G755" s="0" t="str">
        <f aca="false">Q755</f>
        <v>1+1</v>
      </c>
      <c r="H755" s="0" t="str">
        <f aca="false">IFERROR(LEFT(G755,1),"")</f>
        <v>1</v>
      </c>
      <c r="I755" s="0" t="n">
        <f aca="false">IF(LEN(G755)&gt;1,1,0)</f>
        <v>1</v>
      </c>
      <c r="J755" s="4" t="n">
        <v>46097</v>
      </c>
      <c r="K755" s="0" t="s">
        <v>14</v>
      </c>
      <c r="L755" s="0" t="s">
        <v>104</v>
      </c>
      <c r="M755" s="0" t="s">
        <v>226</v>
      </c>
      <c r="N755" s="0" t="s">
        <v>93</v>
      </c>
      <c r="O755" s="0" t="s">
        <v>3430</v>
      </c>
      <c r="Q755" s="0" t="s">
        <v>270</v>
      </c>
      <c r="R755" s="0" t="n">
        <v>1</v>
      </c>
      <c r="S755" s="5" t="n">
        <v>645</v>
      </c>
      <c r="T755" s="0" t="s">
        <v>271</v>
      </c>
      <c r="U755" s="0" t="n">
        <v>0</v>
      </c>
      <c r="V755" s="0" t="s">
        <v>230</v>
      </c>
      <c r="W755" s="0" t="s">
        <v>231</v>
      </c>
      <c r="X755" s="0" t="s">
        <v>232</v>
      </c>
      <c r="Y755" s="0" t="s">
        <v>278</v>
      </c>
      <c r="Z755" s="0" t="s">
        <v>3310</v>
      </c>
      <c r="AA755" s="0" t="s">
        <v>235</v>
      </c>
      <c r="AB755" s="32" t="n">
        <v>2400</v>
      </c>
      <c r="AC755" s="32" t="n">
        <v>2500</v>
      </c>
      <c r="AD755" s="26" t="n">
        <f aca="false">IFERROR(AB755/B755,"")</f>
        <v>3.72093023255814</v>
      </c>
      <c r="AE755" s="26" t="n">
        <f aca="false">IFERROR(AC755/B755,"")</f>
        <v>3.87596899224806</v>
      </c>
      <c r="AF755" s="0" t="s">
        <v>236</v>
      </c>
      <c r="AG755" s="0" t="s">
        <v>236</v>
      </c>
      <c r="AH755" s="0" t="s">
        <v>236</v>
      </c>
      <c r="AI755" s="0" t="s">
        <v>2488</v>
      </c>
      <c r="AJ755" s="0" t="s">
        <v>3431</v>
      </c>
      <c r="AK755" s="0" t="s">
        <v>3432</v>
      </c>
      <c r="AL755" s="0" t="s">
        <v>3433</v>
      </c>
      <c r="AM755" s="0" t="s">
        <v>94</v>
      </c>
      <c r="AN755" s="26" t="n">
        <f aca="false">IFERROR(E755*(1+IF(AM755="Apartment",Data_Summary!$C$3,0)),"")</f>
        <v>3.72093023255814</v>
      </c>
      <c r="AO755" s="4" t="n">
        <v>46195</v>
      </c>
    </row>
    <row r="756" customFormat="false" ht="15" hidden="false" customHeight="false" outlineLevel="0" collapsed="false">
      <c r="A756" s="0" t="n">
        <f aca="false">IF(AND(ISNUMBER(B756),B756&gt;0,ISNUMBER(AB756),AB756&gt;0,J756&gt;=Data_Summary!$C$1),1,0)</f>
        <v>1</v>
      </c>
      <c r="B756" s="33" t="n">
        <v>579</v>
      </c>
      <c r="C756" s="5" t="n">
        <f aca="false">IF(ISNUMBER(AB756),AB756,"")</f>
        <v>2200</v>
      </c>
      <c r="D756" s="0" t="n">
        <f aca="false">IF(ISNUMBER(C756),C756-U756*Data_Summary!$C$2,"")</f>
        <v>2200</v>
      </c>
      <c r="E756" s="34" t="n">
        <f aca="false">IFERROR(C756/B756,"")</f>
        <v>3.79965457685665</v>
      </c>
      <c r="F756" s="26" t="n">
        <f aca="false">IFERROR(D756/B756,"")</f>
        <v>3.79965457685665</v>
      </c>
      <c r="G756" s="0" t="str">
        <f aca="false">Q756</f>
        <v>1+1</v>
      </c>
      <c r="H756" s="0" t="str">
        <f aca="false">IFERROR(LEFT(G756,1),"")</f>
        <v>1</v>
      </c>
      <c r="I756" s="0" t="n">
        <f aca="false">IF(LEN(G756)&gt;1,1,0)</f>
        <v>1</v>
      </c>
      <c r="J756" s="4" t="n">
        <v>46094</v>
      </c>
      <c r="K756" s="0" t="s">
        <v>14</v>
      </c>
      <c r="L756" s="0" t="s">
        <v>104</v>
      </c>
      <c r="M756" s="0" t="s">
        <v>226</v>
      </c>
      <c r="N756" s="0" t="s">
        <v>93</v>
      </c>
      <c r="O756" s="0" t="s">
        <v>882</v>
      </c>
      <c r="Q756" s="0" t="s">
        <v>270</v>
      </c>
      <c r="R756" s="0" t="n">
        <v>1</v>
      </c>
      <c r="S756" s="5" t="n">
        <v>579</v>
      </c>
      <c r="T756" s="0" t="s">
        <v>243</v>
      </c>
      <c r="U756" s="0" t="n">
        <v>0</v>
      </c>
      <c r="V756" s="0" t="s">
        <v>230</v>
      </c>
      <c r="W756" s="0" t="s">
        <v>244</v>
      </c>
      <c r="X756" s="0" t="s">
        <v>232</v>
      </c>
      <c r="Y756" s="0" t="s">
        <v>278</v>
      </c>
      <c r="Z756" s="0" t="s">
        <v>3310</v>
      </c>
      <c r="AA756" s="0" t="s">
        <v>235</v>
      </c>
      <c r="AB756" s="32" t="n">
        <v>2200</v>
      </c>
      <c r="AC756" s="32" t="n">
        <v>2250</v>
      </c>
      <c r="AD756" s="26" t="n">
        <f aca="false">IFERROR(AB756/B756,"")</f>
        <v>3.79965457685665</v>
      </c>
      <c r="AE756" s="26" t="n">
        <f aca="false">IFERROR(AC756/B756,"")</f>
        <v>3.8860103626943</v>
      </c>
      <c r="AF756" s="0" t="s">
        <v>230</v>
      </c>
      <c r="AG756" s="0" t="s">
        <v>236</v>
      </c>
      <c r="AH756" s="0" t="s">
        <v>230</v>
      </c>
      <c r="AI756" s="0" t="s">
        <v>2791</v>
      </c>
      <c r="AJ756" s="0" t="s">
        <v>3434</v>
      </c>
      <c r="AK756" s="0" t="s">
        <v>3435</v>
      </c>
      <c r="AL756" s="0" t="s">
        <v>3436</v>
      </c>
      <c r="AM756" s="0" t="s">
        <v>94</v>
      </c>
      <c r="AN756" s="26" t="n">
        <f aca="false">IFERROR(E756*(1+IF(AM756="Apartment",Data_Summary!$C$3,0)),"")</f>
        <v>3.79965457685665</v>
      </c>
      <c r="AO756" s="4" t="n">
        <v>46195</v>
      </c>
    </row>
    <row r="757" customFormat="false" ht="15" hidden="false" customHeight="false" outlineLevel="0" collapsed="false">
      <c r="A757" s="0" t="n">
        <f aca="false">IF(AND(ISNUMBER(B757),B757&gt;0,ISNUMBER(AB757),AB757&gt;0,J757&gt;=Data_Summary!$C$1),1,0)</f>
        <v>1</v>
      </c>
      <c r="B757" s="30" t="n">
        <v>575</v>
      </c>
      <c r="C757" s="5" t="n">
        <f aca="false">IF(ISNUMBER(AB757),AB757,"")</f>
        <v>2700</v>
      </c>
      <c r="D757" s="0" t="n">
        <f aca="false">IF(ISNUMBER(C757),C757-U757*Data_Summary!$C$2,"")</f>
        <v>2550</v>
      </c>
      <c r="E757" s="31" t="n">
        <f aca="false">IFERROR(C757/B757,"")</f>
        <v>4.69565217391304</v>
      </c>
      <c r="F757" s="26" t="n">
        <f aca="false">IFERROR(D757/B757,"")</f>
        <v>4.43478260869565</v>
      </c>
      <c r="G757" s="0" t="str">
        <f aca="false">Q757</f>
        <v>1+1</v>
      </c>
      <c r="H757" s="0" t="str">
        <f aca="false">IFERROR(LEFT(G757,1),"")</f>
        <v>1</v>
      </c>
      <c r="I757" s="0" t="n">
        <f aca="false">IF(LEN(G757)&gt;1,1,0)</f>
        <v>1</v>
      </c>
      <c r="J757" s="4" t="n">
        <v>46087</v>
      </c>
      <c r="K757" s="0" t="s">
        <v>14</v>
      </c>
      <c r="L757" s="0" t="s">
        <v>104</v>
      </c>
      <c r="M757" s="0" t="s">
        <v>226</v>
      </c>
      <c r="N757" s="0" t="s">
        <v>93</v>
      </c>
      <c r="O757" s="0" t="s">
        <v>3437</v>
      </c>
      <c r="Q757" s="0" t="s">
        <v>270</v>
      </c>
      <c r="R757" s="0" t="n">
        <v>1</v>
      </c>
      <c r="S757" s="5" t="n">
        <v>575</v>
      </c>
      <c r="T757" s="0" t="s">
        <v>243</v>
      </c>
      <c r="U757" s="0" t="n">
        <v>1</v>
      </c>
      <c r="V757" s="0" t="s">
        <v>230</v>
      </c>
      <c r="W757" s="0" t="s">
        <v>231</v>
      </c>
      <c r="X757" s="0" t="s">
        <v>232</v>
      </c>
      <c r="Y757" s="0" t="s">
        <v>278</v>
      </c>
      <c r="Z757" s="0" t="s">
        <v>3310</v>
      </c>
      <c r="AA757" s="0" t="s">
        <v>235</v>
      </c>
      <c r="AB757" s="32" t="n">
        <v>2700</v>
      </c>
      <c r="AC757" s="32" t="n">
        <v>2700</v>
      </c>
      <c r="AD757" s="26" t="n">
        <f aca="false">IFERROR(AB757/B757,"")</f>
        <v>4.69565217391304</v>
      </c>
      <c r="AE757" s="26" t="n">
        <f aca="false">IFERROR(AC757/B757,"")</f>
        <v>4.69565217391304</v>
      </c>
      <c r="AF757" s="0" t="s">
        <v>236</v>
      </c>
      <c r="AG757" s="0" t="s">
        <v>236</v>
      </c>
      <c r="AH757" s="0" t="s">
        <v>236</v>
      </c>
      <c r="AI757" s="0" t="s">
        <v>2500</v>
      </c>
      <c r="AJ757" s="0" t="s">
        <v>3438</v>
      </c>
      <c r="AK757" s="0" t="s">
        <v>3439</v>
      </c>
      <c r="AL757" s="0" t="s">
        <v>3440</v>
      </c>
      <c r="AM757" s="0" t="s">
        <v>94</v>
      </c>
      <c r="AN757" s="26" t="n">
        <f aca="false">IFERROR(E757*(1+IF(AM757="Apartment",Data_Summary!$C$3,0)),"")</f>
        <v>4.69565217391304</v>
      </c>
      <c r="AO757" s="4" t="n">
        <v>46195</v>
      </c>
    </row>
    <row r="758" customFormat="false" ht="15" hidden="false" customHeight="false" outlineLevel="0" collapsed="false">
      <c r="A758" s="0" t="n">
        <f aca="false">IF(AND(ISNUMBER(B758),B758&gt;0,ISNUMBER(AB758),AB758&gt;0,J758&gt;=Data_Summary!$C$1),1,0)</f>
        <v>1</v>
      </c>
      <c r="B758" s="30" t="n">
        <v>579</v>
      </c>
      <c r="C758" s="5" t="n">
        <f aca="false">IF(ISNUMBER(AB758),AB758,"")</f>
        <v>2650</v>
      </c>
      <c r="D758" s="0" t="n">
        <f aca="false">IF(ISNUMBER(C758),C758-U758*Data_Summary!$C$2,"")</f>
        <v>2500</v>
      </c>
      <c r="E758" s="31" t="n">
        <f aca="false">IFERROR(C758/B758,"")</f>
        <v>4.57685664939551</v>
      </c>
      <c r="F758" s="26" t="n">
        <f aca="false">IFERROR(D758/B758,"")</f>
        <v>4.31778929188256</v>
      </c>
      <c r="G758" s="0" t="str">
        <f aca="false">Q758</f>
        <v>1+1</v>
      </c>
      <c r="H758" s="0" t="str">
        <f aca="false">IFERROR(LEFT(G758,1),"")</f>
        <v>1</v>
      </c>
      <c r="I758" s="0" t="n">
        <f aca="false">IF(LEN(G758)&gt;1,1,0)</f>
        <v>1</v>
      </c>
      <c r="J758" s="4" t="n">
        <v>46085</v>
      </c>
      <c r="K758" s="0" t="s">
        <v>14</v>
      </c>
      <c r="L758" s="0" t="s">
        <v>104</v>
      </c>
      <c r="M758" s="0" t="s">
        <v>226</v>
      </c>
      <c r="N758" s="0" t="s">
        <v>93</v>
      </c>
      <c r="O758" s="0" t="s">
        <v>1039</v>
      </c>
      <c r="Q758" s="0" t="s">
        <v>270</v>
      </c>
      <c r="R758" s="0" t="n">
        <v>1</v>
      </c>
      <c r="S758" s="5" t="n">
        <v>579</v>
      </c>
      <c r="T758" s="0" t="s">
        <v>243</v>
      </c>
      <c r="U758" s="0" t="n">
        <v>1</v>
      </c>
      <c r="V758" s="0" t="s">
        <v>230</v>
      </c>
      <c r="W758" s="0" t="s">
        <v>231</v>
      </c>
      <c r="X758" s="0" t="s">
        <v>232</v>
      </c>
      <c r="Y758" s="0" t="s">
        <v>278</v>
      </c>
      <c r="Z758" s="0" t="s">
        <v>3310</v>
      </c>
      <c r="AA758" s="0" t="s">
        <v>235</v>
      </c>
      <c r="AB758" s="32" t="n">
        <v>2650</v>
      </c>
      <c r="AC758" s="32" t="n">
        <v>2675</v>
      </c>
      <c r="AD758" s="26" t="n">
        <f aca="false">IFERROR(AB758/B758,"")</f>
        <v>4.57685664939551</v>
      </c>
      <c r="AE758" s="26" t="n">
        <f aca="false">IFERROR(AC758/B758,"")</f>
        <v>4.62003454231434</v>
      </c>
      <c r="AF758" s="0" t="s">
        <v>236</v>
      </c>
      <c r="AG758" s="0" t="s">
        <v>236</v>
      </c>
      <c r="AH758" s="0" t="s">
        <v>230</v>
      </c>
      <c r="AI758" s="0" t="s">
        <v>570</v>
      </c>
      <c r="AJ758" s="0" t="s">
        <v>3441</v>
      </c>
      <c r="AK758" s="0" t="s">
        <v>3442</v>
      </c>
      <c r="AL758" s="0" t="s">
        <v>3443</v>
      </c>
      <c r="AM758" s="0" t="s">
        <v>94</v>
      </c>
      <c r="AN758" s="26" t="n">
        <f aca="false">IFERROR(E758*(1+IF(AM758="Apartment",Data_Summary!$C$3,0)),"")</f>
        <v>4.57685664939551</v>
      </c>
      <c r="AO758" s="4" t="n">
        <v>46195</v>
      </c>
    </row>
    <row r="759" customFormat="false" ht="15" hidden="false" customHeight="false" outlineLevel="0" collapsed="false">
      <c r="A759" s="0" t="n">
        <f aca="false">IF(AND(ISNUMBER(B759),B759&gt;0,ISNUMBER(AB759),AB759&gt;0,J759&gt;=Data_Summary!$C$1),1,0)</f>
        <v>1</v>
      </c>
      <c r="B759" s="33" t="n">
        <v>537</v>
      </c>
      <c r="C759" s="5" t="n">
        <f aca="false">IF(ISNUMBER(AB759),AB759,"")</f>
        <v>2400</v>
      </c>
      <c r="D759" s="0" t="n">
        <f aca="false">IF(ISNUMBER(C759),C759-U759*Data_Summary!$C$2,"")</f>
        <v>2250</v>
      </c>
      <c r="E759" s="34" t="n">
        <f aca="false">IFERROR(C759/B759,"")</f>
        <v>4.46927374301676</v>
      </c>
      <c r="F759" s="26" t="n">
        <f aca="false">IFERROR(D759/B759,"")</f>
        <v>4.18994413407821</v>
      </c>
      <c r="G759" s="0" t="str">
        <f aca="false">Q759</f>
        <v>1</v>
      </c>
      <c r="H759" s="0" t="str">
        <f aca="false">IFERROR(LEFT(G759,1),"")</f>
        <v>1</v>
      </c>
      <c r="I759" s="0" t="n">
        <f aca="false">IF(LEN(G759)&gt;1,1,0)</f>
        <v>0</v>
      </c>
      <c r="J759" s="4" t="n">
        <v>46085</v>
      </c>
      <c r="K759" s="0" t="s">
        <v>14</v>
      </c>
      <c r="L759" s="0" t="s">
        <v>104</v>
      </c>
      <c r="M759" s="0" t="s">
        <v>226</v>
      </c>
      <c r="N759" s="0" t="s">
        <v>93</v>
      </c>
      <c r="O759" s="0" t="s">
        <v>754</v>
      </c>
      <c r="Q759" s="0" t="s">
        <v>242</v>
      </c>
      <c r="R759" s="0" t="n">
        <v>1</v>
      </c>
      <c r="S759" s="5" t="n">
        <v>537</v>
      </c>
      <c r="T759" s="0" t="s">
        <v>243</v>
      </c>
      <c r="U759" s="0" t="n">
        <v>1</v>
      </c>
      <c r="V759" s="0" t="s">
        <v>230</v>
      </c>
      <c r="W759" s="0" t="s">
        <v>244</v>
      </c>
      <c r="X759" s="0" t="s">
        <v>232</v>
      </c>
      <c r="Y759" s="0" t="s">
        <v>297</v>
      </c>
      <c r="Z759" s="0" t="s">
        <v>3310</v>
      </c>
      <c r="AA759" s="0" t="s">
        <v>235</v>
      </c>
      <c r="AB759" s="32" t="n">
        <v>2400</v>
      </c>
      <c r="AC759" s="32" t="n">
        <v>2400</v>
      </c>
      <c r="AD759" s="26" t="n">
        <f aca="false">IFERROR(AB759/B759,"")</f>
        <v>4.46927374301676</v>
      </c>
      <c r="AE759" s="26" t="n">
        <f aca="false">IFERROR(AC759/B759,"")</f>
        <v>4.46927374301676</v>
      </c>
      <c r="AF759" s="0" t="s">
        <v>230</v>
      </c>
      <c r="AG759" s="0" t="s">
        <v>236</v>
      </c>
      <c r="AH759" s="0" t="s">
        <v>230</v>
      </c>
      <c r="AI759" s="0" t="s">
        <v>570</v>
      </c>
      <c r="AJ759" s="0" t="s">
        <v>3444</v>
      </c>
      <c r="AK759" s="0" t="s">
        <v>3445</v>
      </c>
      <c r="AL759" s="0" t="s">
        <v>3446</v>
      </c>
      <c r="AM759" s="0" t="s">
        <v>94</v>
      </c>
      <c r="AN759" s="26" t="n">
        <f aca="false">IFERROR(E759*(1+IF(AM759="Apartment",Data_Summary!$C$3,0)),"")</f>
        <v>4.46927374301676</v>
      </c>
      <c r="AO759" s="4" t="n">
        <v>46195</v>
      </c>
    </row>
    <row r="760" customFormat="false" ht="15" hidden="false" customHeight="false" outlineLevel="0" collapsed="false">
      <c r="A760" s="0" t="n">
        <f aca="false">IF(AND(ISNUMBER(B760),B760&gt;0,ISNUMBER(AB760),AB760&gt;0,J760&gt;=Data_Summary!$C$1),1,0)</f>
        <v>1</v>
      </c>
      <c r="B760" s="33" t="n">
        <v>507</v>
      </c>
      <c r="C760" s="5" t="n">
        <f aca="false">IF(ISNUMBER(AB760),AB760,"")</f>
        <v>2300</v>
      </c>
      <c r="D760" s="0" t="n">
        <f aca="false">IF(ISNUMBER(C760),C760-U760*Data_Summary!$C$2,"")</f>
        <v>2300</v>
      </c>
      <c r="E760" s="34" t="n">
        <f aca="false">IFERROR(C760/B760,"")</f>
        <v>4.53648915187377</v>
      </c>
      <c r="F760" s="26" t="n">
        <f aca="false">IFERROR(D760/B760,"")</f>
        <v>4.53648915187377</v>
      </c>
      <c r="G760" s="0" t="str">
        <f aca="false">Q760</f>
        <v>1</v>
      </c>
      <c r="H760" s="0" t="str">
        <f aca="false">IFERROR(LEFT(G760,1),"")</f>
        <v>1</v>
      </c>
      <c r="I760" s="0" t="n">
        <f aca="false">IF(LEN(G760)&gt;1,1,0)</f>
        <v>0</v>
      </c>
      <c r="J760" s="4" t="n">
        <v>46083</v>
      </c>
      <c r="K760" s="0" t="s">
        <v>14</v>
      </c>
      <c r="L760" s="0" t="s">
        <v>104</v>
      </c>
      <c r="M760" s="0" t="s">
        <v>226</v>
      </c>
      <c r="N760" s="0" t="s">
        <v>93</v>
      </c>
      <c r="O760" s="0" t="s">
        <v>1004</v>
      </c>
      <c r="Q760" s="0" t="s">
        <v>242</v>
      </c>
      <c r="R760" s="0" t="n">
        <v>1</v>
      </c>
      <c r="S760" s="5" t="n">
        <v>507</v>
      </c>
      <c r="T760" s="0" t="s">
        <v>243</v>
      </c>
      <c r="U760" s="0" t="n">
        <v>0</v>
      </c>
      <c r="V760" s="0" t="s">
        <v>230</v>
      </c>
      <c r="W760" s="0" t="s">
        <v>244</v>
      </c>
      <c r="X760" s="0" t="s">
        <v>232</v>
      </c>
      <c r="Y760" s="0" t="s">
        <v>233</v>
      </c>
      <c r="Z760" s="0" t="s">
        <v>3310</v>
      </c>
      <c r="AA760" s="0" t="s">
        <v>235</v>
      </c>
      <c r="AB760" s="32" t="n">
        <v>2300</v>
      </c>
      <c r="AC760" s="32" t="n">
        <v>2300</v>
      </c>
      <c r="AD760" s="26" t="n">
        <f aca="false">IFERROR(AB760/B760,"")</f>
        <v>4.53648915187377</v>
      </c>
      <c r="AE760" s="26" t="n">
        <f aca="false">IFERROR(AC760/B760,"")</f>
        <v>4.53648915187377</v>
      </c>
      <c r="AF760" s="0" t="s">
        <v>230</v>
      </c>
      <c r="AG760" s="0" t="s">
        <v>236</v>
      </c>
      <c r="AH760" s="0" t="s">
        <v>236</v>
      </c>
      <c r="AI760" s="0" t="s">
        <v>575</v>
      </c>
      <c r="AJ760" s="0" t="s">
        <v>3447</v>
      </c>
      <c r="AK760" s="0" t="s">
        <v>3448</v>
      </c>
      <c r="AL760" s="0" t="s">
        <v>3449</v>
      </c>
      <c r="AM760" s="0" t="s">
        <v>94</v>
      </c>
      <c r="AN760" s="26" t="n">
        <f aca="false">IFERROR(E760*(1+IF(AM760="Apartment",Data_Summary!$C$3,0)),"")</f>
        <v>4.53648915187377</v>
      </c>
      <c r="AO760" s="4" t="n">
        <v>46195</v>
      </c>
    </row>
    <row r="761" customFormat="false" ht="15" hidden="false" customHeight="false" outlineLevel="0" collapsed="false">
      <c r="A761" s="0" t="n">
        <f aca="false">IF(AND(ISNUMBER(B761),B761&gt;0,ISNUMBER(AB761),AB761&gt;0,J761&gt;=Data_Summary!$C$1),1,0)</f>
        <v>1</v>
      </c>
      <c r="B761" s="30" t="n">
        <v>537</v>
      </c>
      <c r="C761" s="5" t="n">
        <f aca="false">IF(ISNUMBER(AB761),AB761,"")</f>
        <v>2275</v>
      </c>
      <c r="D761" s="0" t="n">
        <f aca="false">IF(ISNUMBER(C761),C761-U761*Data_Summary!$C$2,"")</f>
        <v>2275</v>
      </c>
      <c r="E761" s="31" t="n">
        <f aca="false">IFERROR(C761/B761,"")</f>
        <v>4.2364990689013</v>
      </c>
      <c r="F761" s="26" t="n">
        <f aca="false">IFERROR(D761/B761,"")</f>
        <v>4.2364990689013</v>
      </c>
      <c r="G761" s="0" t="str">
        <f aca="false">Q761</f>
        <v>1</v>
      </c>
      <c r="H761" s="0" t="str">
        <f aca="false">IFERROR(LEFT(G761,1),"")</f>
        <v>1</v>
      </c>
      <c r="I761" s="0" t="n">
        <f aca="false">IF(LEN(G761)&gt;1,1,0)</f>
        <v>0</v>
      </c>
      <c r="J761" s="4" t="n">
        <v>46083</v>
      </c>
      <c r="K761" s="0" t="s">
        <v>14</v>
      </c>
      <c r="L761" s="0" t="s">
        <v>104</v>
      </c>
      <c r="M761" s="0" t="s">
        <v>226</v>
      </c>
      <c r="N761" s="0" t="s">
        <v>93</v>
      </c>
      <c r="O761" s="0" t="s">
        <v>1625</v>
      </c>
      <c r="Q761" s="0" t="s">
        <v>242</v>
      </c>
      <c r="R761" s="0" t="n">
        <v>1</v>
      </c>
      <c r="S761" s="5" t="n">
        <v>537</v>
      </c>
      <c r="T761" s="0" t="s">
        <v>243</v>
      </c>
      <c r="U761" s="0" t="n">
        <v>0</v>
      </c>
      <c r="V761" s="0" t="s">
        <v>230</v>
      </c>
      <c r="W761" s="0" t="s">
        <v>244</v>
      </c>
      <c r="X761" s="0" t="s">
        <v>232</v>
      </c>
      <c r="Y761" s="0" t="s">
        <v>297</v>
      </c>
      <c r="Z761" s="0" t="s">
        <v>3310</v>
      </c>
      <c r="AA761" s="0" t="s">
        <v>235</v>
      </c>
      <c r="AB761" s="32" t="n">
        <v>2275</v>
      </c>
      <c r="AC761" s="32" t="n">
        <v>2300</v>
      </c>
      <c r="AD761" s="26" t="n">
        <f aca="false">IFERROR(AB761/B761,"")</f>
        <v>4.2364990689013</v>
      </c>
      <c r="AE761" s="26" t="n">
        <f aca="false">IFERROR(AC761/B761,"")</f>
        <v>4.2830540037244</v>
      </c>
      <c r="AF761" s="0" t="s">
        <v>236</v>
      </c>
      <c r="AG761" s="0" t="s">
        <v>236</v>
      </c>
      <c r="AH761" s="0" t="s">
        <v>236</v>
      </c>
      <c r="AI761" s="0" t="s">
        <v>575</v>
      </c>
      <c r="AJ761" s="0" t="s">
        <v>3450</v>
      </c>
      <c r="AK761" s="0" t="s">
        <v>3451</v>
      </c>
      <c r="AL761" s="0" t="s">
        <v>3452</v>
      </c>
      <c r="AM761" s="0" t="s">
        <v>94</v>
      </c>
      <c r="AN761" s="26" t="n">
        <f aca="false">IFERROR(E761*(1+IF(AM761="Apartment",Data_Summary!$C$3,0)),"")</f>
        <v>4.2364990689013</v>
      </c>
      <c r="AO761" s="4" t="n">
        <v>46195</v>
      </c>
    </row>
    <row r="762" customFormat="false" ht="15" hidden="false" customHeight="false" outlineLevel="0" collapsed="false">
      <c r="A762" s="0" t="n">
        <f aca="false">IF(AND(ISNUMBER(B762),B762&gt;0,ISNUMBER(AB762),AB762&gt;0,J762&gt;=Data_Summary!$C$1),1,0)</f>
        <v>1</v>
      </c>
      <c r="B762" s="30" t="n">
        <v>705</v>
      </c>
      <c r="C762" s="5" t="n">
        <f aca="false">IF(ISNUMBER(AB762),AB762,"")</f>
        <v>3100</v>
      </c>
      <c r="D762" s="0" t="n">
        <f aca="false">IF(ISNUMBER(C762),C762-U762*Data_Summary!$C$2,"")</f>
        <v>3100</v>
      </c>
      <c r="E762" s="31" t="n">
        <f aca="false">IFERROR(C762/B762,"")</f>
        <v>4.39716312056738</v>
      </c>
      <c r="F762" s="26" t="n">
        <f aca="false">IFERROR(D762/B762,"")</f>
        <v>4.39716312056738</v>
      </c>
      <c r="G762" s="0" t="str">
        <f aca="false">Q762</f>
        <v>2+1</v>
      </c>
      <c r="H762" s="0" t="str">
        <f aca="false">IFERROR(LEFT(G762,1),"")</f>
        <v>2</v>
      </c>
      <c r="I762" s="0" t="n">
        <f aca="false">IF(LEN(G762)&gt;1,1,0)</f>
        <v>1</v>
      </c>
      <c r="J762" s="4" t="n">
        <v>46077</v>
      </c>
      <c r="K762" s="0" t="s">
        <v>14</v>
      </c>
      <c r="L762" s="0" t="s">
        <v>104</v>
      </c>
      <c r="M762" s="0" t="s">
        <v>226</v>
      </c>
      <c r="N762" s="0" t="s">
        <v>93</v>
      </c>
      <c r="O762" s="0" t="s">
        <v>269</v>
      </c>
      <c r="Q762" s="0" t="s">
        <v>451</v>
      </c>
      <c r="R762" s="0" t="n">
        <v>1</v>
      </c>
      <c r="S762" s="5" t="n">
        <v>705</v>
      </c>
      <c r="T762" s="0" t="s">
        <v>252</v>
      </c>
      <c r="U762" s="0" t="n">
        <v>0</v>
      </c>
      <c r="V762" s="0" t="s">
        <v>230</v>
      </c>
      <c r="W762" s="0" t="s">
        <v>244</v>
      </c>
      <c r="X762" s="0" t="s">
        <v>232</v>
      </c>
      <c r="Y762" s="0" t="s">
        <v>308</v>
      </c>
      <c r="Z762" s="0" t="s">
        <v>3310</v>
      </c>
      <c r="AA762" s="0" t="s">
        <v>235</v>
      </c>
      <c r="AB762" s="32" t="n">
        <v>3100</v>
      </c>
      <c r="AC762" s="32" t="n">
        <v>3100</v>
      </c>
      <c r="AD762" s="26" t="n">
        <f aca="false">IFERROR(AB762/B762,"")</f>
        <v>4.39716312056738</v>
      </c>
      <c r="AE762" s="26" t="n">
        <f aca="false">IFERROR(AC762/B762,"")</f>
        <v>4.39716312056738</v>
      </c>
      <c r="AF762" s="0" t="s">
        <v>236</v>
      </c>
      <c r="AG762" s="0" t="s">
        <v>236</v>
      </c>
      <c r="AH762" s="0" t="s">
        <v>230</v>
      </c>
      <c r="AI762" s="0" t="s">
        <v>3453</v>
      </c>
      <c r="AJ762" s="0" t="s">
        <v>3454</v>
      </c>
      <c r="AK762" s="0" t="s">
        <v>3455</v>
      </c>
      <c r="AL762" s="0" t="s">
        <v>3456</v>
      </c>
      <c r="AM762" s="0" t="s">
        <v>94</v>
      </c>
      <c r="AN762" s="26" t="n">
        <f aca="false">IFERROR(E762*(1+IF(AM762="Apartment",Data_Summary!$C$3,0)),"")</f>
        <v>4.39716312056738</v>
      </c>
      <c r="AO762" s="4" t="n">
        <v>46195</v>
      </c>
    </row>
    <row r="763" customFormat="false" ht="15" hidden="false" customHeight="false" outlineLevel="0" collapsed="false">
      <c r="A763" s="0" t="n">
        <f aca="false">IF(AND(ISNUMBER(B763),B763&gt;0,ISNUMBER(AB763),AB763&gt;0,J763&gt;=Data_Summary!$C$1),1,0)</f>
        <v>1</v>
      </c>
      <c r="B763" s="30" t="n">
        <v>505</v>
      </c>
      <c r="C763" s="5" t="n">
        <f aca="false">IF(ISNUMBER(AB763),AB763,"")</f>
        <v>2200</v>
      </c>
      <c r="D763" s="0" t="n">
        <f aca="false">IF(ISNUMBER(C763),C763-U763*Data_Summary!$C$2,"")</f>
        <v>2200</v>
      </c>
      <c r="E763" s="31" t="n">
        <f aca="false">IFERROR(C763/B763,"")</f>
        <v>4.35643564356436</v>
      </c>
      <c r="F763" s="26" t="n">
        <f aca="false">IFERROR(D763/B763,"")</f>
        <v>4.35643564356436</v>
      </c>
      <c r="G763" s="0" t="str">
        <f aca="false">Q763</f>
        <v>1</v>
      </c>
      <c r="H763" s="0" t="str">
        <f aca="false">IFERROR(LEFT(G763,1),"")</f>
        <v>1</v>
      </c>
      <c r="I763" s="0" t="n">
        <f aca="false">IF(LEN(G763)&gt;1,1,0)</f>
        <v>0</v>
      </c>
      <c r="J763" s="4" t="n">
        <v>46073</v>
      </c>
      <c r="K763" s="0" t="s">
        <v>14</v>
      </c>
      <c r="L763" s="0" t="s">
        <v>104</v>
      </c>
      <c r="M763" s="0" t="s">
        <v>226</v>
      </c>
      <c r="N763" s="0" t="s">
        <v>93</v>
      </c>
      <c r="O763" s="0" t="s">
        <v>1517</v>
      </c>
      <c r="Q763" s="0" t="s">
        <v>242</v>
      </c>
      <c r="R763" s="0" t="n">
        <v>1</v>
      </c>
      <c r="S763" s="5" t="n">
        <v>505</v>
      </c>
      <c r="T763" s="0" t="s">
        <v>243</v>
      </c>
      <c r="U763" s="0" t="n">
        <v>0</v>
      </c>
      <c r="V763" s="0" t="s">
        <v>230</v>
      </c>
      <c r="X763" s="0" t="s">
        <v>232</v>
      </c>
      <c r="Y763" s="0" t="s">
        <v>253</v>
      </c>
      <c r="Z763" s="0" t="s">
        <v>3310</v>
      </c>
      <c r="AA763" s="0" t="s">
        <v>235</v>
      </c>
      <c r="AB763" s="32" t="n">
        <v>2200</v>
      </c>
      <c r="AC763" s="32" t="n">
        <v>2200</v>
      </c>
      <c r="AD763" s="26" t="n">
        <f aca="false">IFERROR(AB763/B763,"")</f>
        <v>4.35643564356436</v>
      </c>
      <c r="AE763" s="26" t="n">
        <f aca="false">IFERROR(AC763/B763,"")</f>
        <v>4.35643564356436</v>
      </c>
      <c r="AF763" s="0" t="s">
        <v>236</v>
      </c>
      <c r="AG763" s="0" t="s">
        <v>236</v>
      </c>
      <c r="AH763" s="0" t="s">
        <v>230</v>
      </c>
      <c r="AI763" s="0" t="s">
        <v>1789</v>
      </c>
      <c r="AJ763" s="0" t="s">
        <v>3457</v>
      </c>
      <c r="AK763" s="0" t="s">
        <v>3458</v>
      </c>
      <c r="AL763" s="0" t="s">
        <v>3459</v>
      </c>
      <c r="AM763" s="0" t="s">
        <v>94</v>
      </c>
      <c r="AN763" s="26" t="n">
        <f aca="false">IFERROR(E763*(1+IF(AM763="Apartment",Data_Summary!$C$3,0)),"")</f>
        <v>4.35643564356436</v>
      </c>
      <c r="AO763" s="4" t="n">
        <v>46195</v>
      </c>
    </row>
    <row r="764" customFormat="false" ht="15" hidden="false" customHeight="false" outlineLevel="0" collapsed="false">
      <c r="A764" s="0" t="n">
        <f aca="false">IF(AND(ISNUMBER(B764),B764&gt;0,ISNUMBER(AB764),AB764&gt;0,J764&gt;=Data_Summary!$C$1),1,0)</f>
        <v>1</v>
      </c>
      <c r="B764" s="30" t="n">
        <v>505</v>
      </c>
      <c r="C764" s="5" t="n">
        <f aca="false">IF(ISNUMBER(AB764),AB764,"")</f>
        <v>2200</v>
      </c>
      <c r="D764" s="0" t="n">
        <f aca="false">IF(ISNUMBER(C764),C764-U764*Data_Summary!$C$2,"")</f>
        <v>2200</v>
      </c>
      <c r="E764" s="31" t="n">
        <f aca="false">IFERROR(C764/B764,"")</f>
        <v>4.35643564356436</v>
      </c>
      <c r="F764" s="26" t="n">
        <f aca="false">IFERROR(D764/B764,"")</f>
        <v>4.35643564356436</v>
      </c>
      <c r="G764" s="0" t="str">
        <f aca="false">Q764</f>
        <v>1</v>
      </c>
      <c r="H764" s="0" t="str">
        <f aca="false">IFERROR(LEFT(G764,1),"")</f>
        <v>1</v>
      </c>
      <c r="I764" s="0" t="n">
        <f aca="false">IF(LEN(G764)&gt;1,1,0)</f>
        <v>0</v>
      </c>
      <c r="J764" s="4" t="n">
        <v>46063</v>
      </c>
      <c r="K764" s="0" t="s">
        <v>14</v>
      </c>
      <c r="L764" s="0" t="s">
        <v>104</v>
      </c>
      <c r="M764" s="0" t="s">
        <v>226</v>
      </c>
      <c r="N764" s="0" t="s">
        <v>93</v>
      </c>
      <c r="O764" s="0" t="s">
        <v>3460</v>
      </c>
      <c r="Q764" s="0" t="s">
        <v>242</v>
      </c>
      <c r="R764" s="0" t="n">
        <v>1</v>
      </c>
      <c r="S764" s="5" t="n">
        <v>505</v>
      </c>
      <c r="T764" s="0" t="s">
        <v>243</v>
      </c>
      <c r="U764" s="0" t="n">
        <v>0</v>
      </c>
      <c r="V764" s="0" t="s">
        <v>230</v>
      </c>
      <c r="W764" s="0" t="s">
        <v>231</v>
      </c>
      <c r="X764" s="0" t="s">
        <v>232</v>
      </c>
      <c r="Y764" s="0" t="s">
        <v>253</v>
      </c>
      <c r="Z764" s="0" t="s">
        <v>3310</v>
      </c>
      <c r="AA764" s="0" t="s">
        <v>235</v>
      </c>
      <c r="AB764" s="32" t="n">
        <v>2200</v>
      </c>
      <c r="AC764" s="32" t="n">
        <v>2150</v>
      </c>
      <c r="AD764" s="26" t="n">
        <f aca="false">IFERROR(AB764/B764,"")</f>
        <v>4.35643564356436</v>
      </c>
      <c r="AE764" s="26" t="n">
        <f aca="false">IFERROR(AC764/B764,"")</f>
        <v>4.25742574257426</v>
      </c>
      <c r="AF764" s="0" t="s">
        <v>236</v>
      </c>
      <c r="AG764" s="0" t="s">
        <v>236</v>
      </c>
      <c r="AH764" s="0" t="s">
        <v>230</v>
      </c>
      <c r="AI764" s="0" t="s">
        <v>1806</v>
      </c>
      <c r="AJ764" s="0" t="s">
        <v>3461</v>
      </c>
      <c r="AK764" s="0" t="s">
        <v>3462</v>
      </c>
      <c r="AL764" s="0" t="s">
        <v>3463</v>
      </c>
      <c r="AM764" s="0" t="s">
        <v>94</v>
      </c>
      <c r="AN764" s="26" t="n">
        <f aca="false">IFERROR(E764*(1+IF(AM764="Apartment",Data_Summary!$C$3,0)),"")</f>
        <v>4.35643564356436</v>
      </c>
      <c r="AO764" s="4" t="n">
        <v>46195</v>
      </c>
    </row>
    <row r="765" customFormat="false" ht="15" hidden="false" customHeight="false" outlineLevel="0" collapsed="false">
      <c r="A765" s="0" t="n">
        <f aca="false">IF(AND(ISNUMBER(B765),B765&gt;0,ISNUMBER(AB765),AB765&gt;0,J765&gt;=Data_Summary!$C$1),1,0)</f>
        <v>1</v>
      </c>
      <c r="B765" s="30" t="n">
        <v>708</v>
      </c>
      <c r="C765" s="5" t="n">
        <f aca="false">IF(ISNUMBER(AB765),AB765,"")</f>
        <v>2750</v>
      </c>
      <c r="D765" s="0" t="n">
        <f aca="false">IF(ISNUMBER(C765),C765-U765*Data_Summary!$C$2,"")</f>
        <v>2600</v>
      </c>
      <c r="E765" s="31" t="n">
        <f aca="false">IFERROR(C765/B765,"")</f>
        <v>3.88418079096045</v>
      </c>
      <c r="F765" s="26" t="n">
        <f aca="false">IFERROR(D765/B765,"")</f>
        <v>3.67231638418079</v>
      </c>
      <c r="G765" s="0" t="str">
        <f aca="false">Q765</f>
        <v>2</v>
      </c>
      <c r="H765" s="0" t="str">
        <f aca="false">IFERROR(LEFT(G765,1),"")</f>
        <v>2</v>
      </c>
      <c r="I765" s="0" t="n">
        <f aca="false">IF(LEN(G765)&gt;1,1,0)</f>
        <v>0</v>
      </c>
      <c r="J765" s="4" t="n">
        <v>46062</v>
      </c>
      <c r="K765" s="0" t="s">
        <v>14</v>
      </c>
      <c r="L765" s="0" t="s">
        <v>104</v>
      </c>
      <c r="M765" s="0" t="s">
        <v>226</v>
      </c>
      <c r="N765" s="0" t="s">
        <v>93</v>
      </c>
      <c r="O765" s="0" t="s">
        <v>692</v>
      </c>
      <c r="Q765" s="0" t="s">
        <v>251</v>
      </c>
      <c r="R765" s="0" t="n">
        <v>1</v>
      </c>
      <c r="S765" s="5" t="n">
        <v>708</v>
      </c>
      <c r="T765" s="0" t="s">
        <v>252</v>
      </c>
      <c r="U765" s="0" t="n">
        <v>1</v>
      </c>
      <c r="V765" s="0" t="s">
        <v>230</v>
      </c>
      <c r="W765" s="0" t="s">
        <v>244</v>
      </c>
      <c r="X765" s="0" t="s">
        <v>232</v>
      </c>
      <c r="Y765" s="0" t="s">
        <v>278</v>
      </c>
      <c r="Z765" s="0" t="s">
        <v>3310</v>
      </c>
      <c r="AA765" s="0" t="s">
        <v>235</v>
      </c>
      <c r="AB765" s="32" t="n">
        <v>2750</v>
      </c>
      <c r="AC765" s="32" t="n">
        <v>2750</v>
      </c>
      <c r="AD765" s="26" t="n">
        <f aca="false">IFERROR(AB765/B765,"")</f>
        <v>3.88418079096045</v>
      </c>
      <c r="AE765" s="26" t="n">
        <f aca="false">IFERROR(AC765/B765,"")</f>
        <v>3.88418079096045</v>
      </c>
      <c r="AF765" s="0" t="s">
        <v>236</v>
      </c>
      <c r="AG765" s="0" t="s">
        <v>236</v>
      </c>
      <c r="AH765" s="0" t="s">
        <v>230</v>
      </c>
      <c r="AI765" s="0" t="s">
        <v>1811</v>
      </c>
      <c r="AJ765" s="0" t="s">
        <v>3464</v>
      </c>
      <c r="AK765" s="0" t="s">
        <v>3465</v>
      </c>
      <c r="AL765" s="0" t="s">
        <v>3466</v>
      </c>
      <c r="AM765" s="0" t="s">
        <v>94</v>
      </c>
      <c r="AN765" s="26" t="n">
        <f aca="false">IFERROR(E765*(1+IF(AM765="Apartment",Data_Summary!$C$3,0)),"")</f>
        <v>3.88418079096045</v>
      </c>
      <c r="AO765" s="4" t="n">
        <v>46195</v>
      </c>
    </row>
    <row r="766" customFormat="false" ht="15" hidden="false" customHeight="false" outlineLevel="0" collapsed="false">
      <c r="A766" s="0" t="n">
        <f aca="false">IF(AND(ISNUMBER(B766),B766&gt;0,ISNUMBER(AB766),AB766&gt;0,J766&gt;=Data_Summary!$C$1),1,0)</f>
        <v>1</v>
      </c>
      <c r="B766" s="30" t="n">
        <v>505</v>
      </c>
      <c r="C766" s="5" t="n">
        <f aca="false">IF(ISNUMBER(AB766),AB766,"")</f>
        <v>2200</v>
      </c>
      <c r="D766" s="0" t="n">
        <f aca="false">IF(ISNUMBER(C766),C766-U766*Data_Summary!$C$2,"")</f>
        <v>2200</v>
      </c>
      <c r="E766" s="31" t="n">
        <f aca="false">IFERROR(C766/B766,"")</f>
        <v>4.35643564356436</v>
      </c>
      <c r="F766" s="26" t="n">
        <f aca="false">IFERROR(D766/B766,"")</f>
        <v>4.35643564356436</v>
      </c>
      <c r="G766" s="0" t="str">
        <f aca="false">Q766</f>
        <v>1</v>
      </c>
      <c r="H766" s="0" t="str">
        <f aca="false">IFERROR(LEFT(G766,1),"")</f>
        <v>1</v>
      </c>
      <c r="I766" s="0" t="n">
        <f aca="false">IF(LEN(G766)&gt;1,1,0)</f>
        <v>0</v>
      </c>
      <c r="J766" s="4" t="n">
        <v>46059</v>
      </c>
      <c r="K766" s="0" t="s">
        <v>14</v>
      </c>
      <c r="L766" s="0" t="s">
        <v>104</v>
      </c>
      <c r="M766" s="0" t="s">
        <v>226</v>
      </c>
      <c r="N766" s="0" t="s">
        <v>93</v>
      </c>
      <c r="O766" s="0" t="s">
        <v>3467</v>
      </c>
      <c r="Q766" s="0" t="s">
        <v>242</v>
      </c>
      <c r="R766" s="0" t="n">
        <v>1</v>
      </c>
      <c r="S766" s="5" t="n">
        <v>505</v>
      </c>
      <c r="T766" s="0" t="s">
        <v>243</v>
      </c>
      <c r="U766" s="0" t="n">
        <v>0</v>
      </c>
      <c r="V766" s="0" t="s">
        <v>230</v>
      </c>
      <c r="W766" s="0" t="s">
        <v>244</v>
      </c>
      <c r="X766" s="0" t="s">
        <v>232</v>
      </c>
      <c r="Y766" s="0" t="s">
        <v>253</v>
      </c>
      <c r="Z766" s="0" t="s">
        <v>3310</v>
      </c>
      <c r="AA766" s="0" t="s">
        <v>235</v>
      </c>
      <c r="AB766" s="32" t="n">
        <v>2200</v>
      </c>
      <c r="AC766" s="32" t="n">
        <v>2200</v>
      </c>
      <c r="AD766" s="26" t="n">
        <f aca="false">IFERROR(AB766/B766,"")</f>
        <v>4.35643564356436</v>
      </c>
      <c r="AE766" s="26" t="n">
        <f aca="false">IFERROR(AC766/B766,"")</f>
        <v>4.35643564356436</v>
      </c>
      <c r="AF766" s="0" t="s">
        <v>236</v>
      </c>
      <c r="AG766" s="0" t="s">
        <v>236</v>
      </c>
      <c r="AH766" s="0" t="s">
        <v>230</v>
      </c>
      <c r="AI766" s="0" t="s">
        <v>1824</v>
      </c>
      <c r="AJ766" s="0" t="s">
        <v>3468</v>
      </c>
      <c r="AK766" s="0" t="s">
        <v>3469</v>
      </c>
      <c r="AL766" s="0" t="s">
        <v>3470</v>
      </c>
      <c r="AM766" s="0" t="s">
        <v>94</v>
      </c>
      <c r="AN766" s="26" t="n">
        <f aca="false">IFERROR(E766*(1+IF(AM766="Apartment",Data_Summary!$C$3,0)),"")</f>
        <v>4.35643564356436</v>
      </c>
      <c r="AO766" s="4" t="n">
        <v>46195</v>
      </c>
    </row>
    <row r="767" customFormat="false" ht="15" hidden="false" customHeight="false" outlineLevel="0" collapsed="false">
      <c r="A767" s="0" t="n">
        <f aca="false">IF(AND(ISNUMBER(B767),B767&gt;0,ISNUMBER(AB767),AB767&gt;0,J767&gt;=Data_Summary!$C$1),1,0)</f>
        <v>1</v>
      </c>
      <c r="B767" s="30" t="n">
        <v>505</v>
      </c>
      <c r="C767" s="5" t="n">
        <f aca="false">IF(ISNUMBER(AB767),AB767,"")</f>
        <v>2200</v>
      </c>
      <c r="D767" s="0" t="n">
        <f aca="false">IF(ISNUMBER(C767),C767-U767*Data_Summary!$C$2,"")</f>
        <v>2200</v>
      </c>
      <c r="E767" s="31" t="n">
        <f aca="false">IFERROR(C767/B767,"")</f>
        <v>4.35643564356436</v>
      </c>
      <c r="F767" s="26" t="n">
        <f aca="false">IFERROR(D767/B767,"")</f>
        <v>4.35643564356436</v>
      </c>
      <c r="G767" s="0" t="str">
        <f aca="false">Q767</f>
        <v>1</v>
      </c>
      <c r="H767" s="0" t="str">
        <f aca="false">IFERROR(LEFT(G767,1),"")</f>
        <v>1</v>
      </c>
      <c r="I767" s="0" t="n">
        <f aca="false">IF(LEN(G767)&gt;1,1,0)</f>
        <v>0</v>
      </c>
      <c r="J767" s="4" t="n">
        <v>46058</v>
      </c>
      <c r="K767" s="0" t="s">
        <v>14</v>
      </c>
      <c r="L767" s="0" t="s">
        <v>104</v>
      </c>
      <c r="M767" s="0" t="s">
        <v>226</v>
      </c>
      <c r="N767" s="0" t="s">
        <v>93</v>
      </c>
      <c r="O767" s="0" t="s">
        <v>3471</v>
      </c>
      <c r="Q767" s="0" t="s">
        <v>242</v>
      </c>
      <c r="R767" s="0" t="n">
        <v>1</v>
      </c>
      <c r="S767" s="5" t="n">
        <v>505</v>
      </c>
      <c r="T767" s="0" t="s">
        <v>243</v>
      </c>
      <c r="U767" s="0" t="n">
        <v>0</v>
      </c>
      <c r="V767" s="0" t="s">
        <v>230</v>
      </c>
      <c r="W767" s="0" t="s">
        <v>244</v>
      </c>
      <c r="X767" s="0" t="s">
        <v>232</v>
      </c>
      <c r="Y767" s="0" t="s">
        <v>278</v>
      </c>
      <c r="Z767" s="0" t="s">
        <v>3310</v>
      </c>
      <c r="AA767" s="0" t="s">
        <v>235</v>
      </c>
      <c r="AB767" s="32" t="n">
        <v>2200</v>
      </c>
      <c r="AC767" s="32" t="n">
        <v>2100</v>
      </c>
      <c r="AD767" s="26" t="n">
        <f aca="false">IFERROR(AB767/B767,"")</f>
        <v>4.35643564356436</v>
      </c>
      <c r="AE767" s="26" t="n">
        <f aca="false">IFERROR(AC767/B767,"")</f>
        <v>4.15841584158416</v>
      </c>
      <c r="AF767" s="0" t="s">
        <v>236</v>
      </c>
      <c r="AG767" s="0" t="s">
        <v>236</v>
      </c>
      <c r="AH767" s="0" t="s">
        <v>230</v>
      </c>
      <c r="AI767" s="0" t="s">
        <v>638</v>
      </c>
      <c r="AJ767" s="0" t="s">
        <v>3472</v>
      </c>
      <c r="AK767" s="0" t="s">
        <v>3473</v>
      </c>
      <c r="AL767" s="0" t="s">
        <v>3474</v>
      </c>
      <c r="AM767" s="0" t="s">
        <v>94</v>
      </c>
      <c r="AN767" s="26" t="n">
        <f aca="false">IFERROR(E767*(1+IF(AM767="Apartment",Data_Summary!$C$3,0)),"")</f>
        <v>4.35643564356436</v>
      </c>
      <c r="AO767" s="4" t="n">
        <v>46195</v>
      </c>
    </row>
    <row r="768" customFormat="false" ht="15" hidden="false" customHeight="false" outlineLevel="0" collapsed="false">
      <c r="A768" s="0" t="n">
        <f aca="false">IF(AND(ISNUMBER(B768),B768&gt;0,ISNUMBER(AB768),AB768&gt;0,J768&gt;=Data_Summary!$C$1),1,0)</f>
        <v>1</v>
      </c>
      <c r="B768" s="33" t="n">
        <v>655</v>
      </c>
      <c r="C768" s="5" t="n">
        <f aca="false">IF(ISNUMBER(AB768),AB768,"")</f>
        <v>2500</v>
      </c>
      <c r="D768" s="0" t="n">
        <f aca="false">IF(ISNUMBER(C768),C768-U768*Data_Summary!$C$2,"")</f>
        <v>2500</v>
      </c>
      <c r="E768" s="34" t="n">
        <f aca="false">IFERROR(C768/B768,"")</f>
        <v>3.81679389312977</v>
      </c>
      <c r="F768" s="26" t="n">
        <f aca="false">IFERROR(D768/B768,"")</f>
        <v>3.81679389312977</v>
      </c>
      <c r="G768" s="0" t="str">
        <f aca="false">Q768</f>
        <v>1+1</v>
      </c>
      <c r="H768" s="0" t="str">
        <f aca="false">IFERROR(LEFT(G768,1),"")</f>
        <v>1</v>
      </c>
      <c r="I768" s="0" t="n">
        <f aca="false">IF(LEN(G768)&gt;1,1,0)</f>
        <v>1</v>
      </c>
      <c r="J768" s="4" t="n">
        <v>46054</v>
      </c>
      <c r="K768" s="0" t="s">
        <v>14</v>
      </c>
      <c r="L768" s="0" t="s">
        <v>104</v>
      </c>
      <c r="M768" s="0" t="s">
        <v>226</v>
      </c>
      <c r="N768" s="0" t="s">
        <v>93</v>
      </c>
      <c r="O768" s="0" t="s">
        <v>3475</v>
      </c>
      <c r="Q768" s="0" t="s">
        <v>270</v>
      </c>
      <c r="R768" s="0" t="n">
        <v>1</v>
      </c>
      <c r="S768" s="5" t="n">
        <v>655</v>
      </c>
      <c r="T768" s="0" t="s">
        <v>271</v>
      </c>
      <c r="U768" s="0" t="n">
        <v>0</v>
      </c>
      <c r="V768" s="0" t="s">
        <v>230</v>
      </c>
      <c r="W768" s="0" t="s">
        <v>244</v>
      </c>
      <c r="X768" s="0" t="s">
        <v>232</v>
      </c>
      <c r="Y768" s="0" t="s">
        <v>278</v>
      </c>
      <c r="Z768" s="0" t="s">
        <v>3310</v>
      </c>
      <c r="AA768" s="0" t="s">
        <v>235</v>
      </c>
      <c r="AB768" s="32" t="n">
        <v>2500</v>
      </c>
      <c r="AC768" s="32" t="n">
        <v>2600</v>
      </c>
      <c r="AD768" s="26" t="n">
        <f aca="false">IFERROR(AB768/B768,"")</f>
        <v>3.81679389312977</v>
      </c>
      <c r="AE768" s="26" t="n">
        <f aca="false">IFERROR(AC768/B768,"")</f>
        <v>3.96946564885496</v>
      </c>
      <c r="AF768" s="0" t="s">
        <v>230</v>
      </c>
      <c r="AG768" s="0" t="s">
        <v>236</v>
      </c>
      <c r="AH768" s="0" t="s">
        <v>230</v>
      </c>
      <c r="AI768" s="0" t="s">
        <v>1845</v>
      </c>
      <c r="AJ768" s="0" t="s">
        <v>3476</v>
      </c>
      <c r="AK768" s="0" t="s">
        <v>3477</v>
      </c>
      <c r="AL768" s="0" t="s">
        <v>3478</v>
      </c>
      <c r="AM768" s="0" t="s">
        <v>94</v>
      </c>
      <c r="AN768" s="26" t="n">
        <f aca="false">IFERROR(E768*(1+IF(AM768="Apartment",Data_Summary!$C$3,0)),"")</f>
        <v>3.81679389312977</v>
      </c>
      <c r="AO768" s="4" t="n">
        <v>46195</v>
      </c>
    </row>
    <row r="769" customFormat="false" ht="15" hidden="false" customHeight="false" outlineLevel="0" collapsed="false">
      <c r="A769" s="0" t="n">
        <f aca="false">IF(AND(ISNUMBER(B769),B769&gt;0,ISNUMBER(AB769),AB769&gt;0,J769&gt;=Data_Summary!$C$1),1,0)</f>
        <v>1</v>
      </c>
      <c r="B769" s="30" t="n">
        <v>579</v>
      </c>
      <c r="C769" s="5" t="n">
        <f aca="false">IF(ISNUMBER(AB769),AB769,"")</f>
        <v>2700</v>
      </c>
      <c r="D769" s="0" t="n">
        <f aca="false">IF(ISNUMBER(C769),C769-U769*Data_Summary!$C$2,"")</f>
        <v>2550</v>
      </c>
      <c r="E769" s="31" t="n">
        <f aca="false">IFERROR(C769/B769,"")</f>
        <v>4.66321243523316</v>
      </c>
      <c r="F769" s="26" t="n">
        <f aca="false">IFERROR(D769/B769,"")</f>
        <v>4.40414507772021</v>
      </c>
      <c r="G769" s="0" t="str">
        <f aca="false">Q769</f>
        <v>1+1</v>
      </c>
      <c r="H769" s="0" t="str">
        <f aca="false">IFERROR(LEFT(G769,1),"")</f>
        <v>1</v>
      </c>
      <c r="I769" s="0" t="n">
        <f aca="false">IF(LEN(G769)&gt;1,1,0)</f>
        <v>1</v>
      </c>
      <c r="J769" s="4" t="n">
        <v>46042</v>
      </c>
      <c r="K769" s="0" t="s">
        <v>14</v>
      </c>
      <c r="L769" s="0" t="s">
        <v>104</v>
      </c>
      <c r="M769" s="0" t="s">
        <v>226</v>
      </c>
      <c r="N769" s="0" t="s">
        <v>93</v>
      </c>
      <c r="O769" s="0" t="s">
        <v>1127</v>
      </c>
      <c r="Q769" s="0" t="s">
        <v>270</v>
      </c>
      <c r="R769" s="0" t="n">
        <v>1</v>
      </c>
      <c r="S769" s="5" t="n">
        <v>579</v>
      </c>
      <c r="T769" s="0" t="s">
        <v>243</v>
      </c>
      <c r="U769" s="0" t="n">
        <v>1</v>
      </c>
      <c r="V769" s="0" t="s">
        <v>230</v>
      </c>
      <c r="W769" s="0" t="s">
        <v>231</v>
      </c>
      <c r="X769" s="0" t="s">
        <v>232</v>
      </c>
      <c r="Y769" s="0" t="s">
        <v>278</v>
      </c>
      <c r="Z769" s="0" t="s">
        <v>3310</v>
      </c>
      <c r="AA769" s="0" t="s">
        <v>235</v>
      </c>
      <c r="AB769" s="32" t="n">
        <v>2700</v>
      </c>
      <c r="AC769" s="32" t="n">
        <v>2700</v>
      </c>
      <c r="AD769" s="26" t="n">
        <f aca="false">IFERROR(AB769/B769,"")</f>
        <v>4.66321243523316</v>
      </c>
      <c r="AE769" s="26" t="n">
        <f aca="false">IFERROR(AC769/B769,"")</f>
        <v>4.66321243523316</v>
      </c>
      <c r="AF769" s="0" t="s">
        <v>236</v>
      </c>
      <c r="AG769" s="0" t="s">
        <v>236</v>
      </c>
      <c r="AH769" s="0" t="s">
        <v>230</v>
      </c>
      <c r="AI769" s="0" t="s">
        <v>653</v>
      </c>
      <c r="AJ769" s="0" t="s">
        <v>3479</v>
      </c>
      <c r="AK769" s="0" t="s">
        <v>3480</v>
      </c>
      <c r="AL769" s="0" t="s">
        <v>3481</v>
      </c>
      <c r="AM769" s="0" t="s">
        <v>94</v>
      </c>
      <c r="AN769" s="26" t="n">
        <f aca="false">IFERROR(E769*(1+IF(AM769="Apartment",Data_Summary!$C$3,0)),"")</f>
        <v>4.66321243523316</v>
      </c>
      <c r="AO769" s="4" t="n">
        <v>46195</v>
      </c>
    </row>
    <row r="770" customFormat="false" ht="15" hidden="false" customHeight="false" outlineLevel="0" collapsed="false">
      <c r="A770" s="0" t="n">
        <f aca="false">IF(AND(ISNUMBER(B770),B770&gt;0,ISNUMBER(AB770),AB770&gt;0,J770&gt;=Data_Summary!$C$1),1,0)</f>
        <v>1</v>
      </c>
      <c r="B770" s="30" t="n">
        <v>705</v>
      </c>
      <c r="C770" s="5" t="n">
        <f aca="false">IF(ISNUMBER(AB770),AB770,"")</f>
        <v>2900</v>
      </c>
      <c r="D770" s="0" t="n">
        <f aca="false">IF(ISNUMBER(C770),C770-U770*Data_Summary!$C$2,"")</f>
        <v>2750</v>
      </c>
      <c r="E770" s="31" t="n">
        <f aca="false">IFERROR(C770/B770,"")</f>
        <v>4.11347517730497</v>
      </c>
      <c r="F770" s="26" t="n">
        <f aca="false">IFERROR(D770/B770,"")</f>
        <v>3.90070921985816</v>
      </c>
      <c r="G770" s="0" t="str">
        <f aca="false">Q770</f>
        <v>2+1</v>
      </c>
      <c r="H770" s="0" t="str">
        <f aca="false">IFERROR(LEFT(G770,1),"")</f>
        <v>2</v>
      </c>
      <c r="I770" s="0" t="n">
        <f aca="false">IF(LEN(G770)&gt;1,1,0)</f>
        <v>1</v>
      </c>
      <c r="J770" s="4" t="n">
        <v>46035</v>
      </c>
      <c r="K770" s="0" t="s">
        <v>14</v>
      </c>
      <c r="L770" s="0" t="s">
        <v>104</v>
      </c>
      <c r="M770" s="0" t="s">
        <v>226</v>
      </c>
      <c r="N770" s="0" t="s">
        <v>93</v>
      </c>
      <c r="O770" s="0" t="s">
        <v>1401</v>
      </c>
      <c r="Q770" s="0" t="s">
        <v>451</v>
      </c>
      <c r="R770" s="0" t="n">
        <v>1</v>
      </c>
      <c r="S770" s="5" t="n">
        <v>705</v>
      </c>
      <c r="T770" s="0" t="s">
        <v>252</v>
      </c>
      <c r="U770" s="0" t="n">
        <v>1</v>
      </c>
      <c r="V770" s="0" t="s">
        <v>230</v>
      </c>
      <c r="W770" s="0" t="s">
        <v>244</v>
      </c>
      <c r="X770" s="0" t="s">
        <v>232</v>
      </c>
      <c r="Y770" s="0" t="s">
        <v>233</v>
      </c>
      <c r="Z770" s="0" t="s">
        <v>3310</v>
      </c>
      <c r="AA770" s="0" t="s">
        <v>235</v>
      </c>
      <c r="AB770" s="32" t="n">
        <v>2900</v>
      </c>
      <c r="AC770" s="32" t="n">
        <v>3000</v>
      </c>
      <c r="AD770" s="26" t="n">
        <f aca="false">IFERROR(AB770/B770,"")</f>
        <v>4.11347517730497</v>
      </c>
      <c r="AE770" s="26" t="n">
        <f aca="false">IFERROR(AC770/B770,"")</f>
        <v>4.25531914893617</v>
      </c>
      <c r="AF770" s="0" t="s">
        <v>236</v>
      </c>
      <c r="AG770" s="0" t="s">
        <v>236</v>
      </c>
      <c r="AH770" s="0" t="s">
        <v>230</v>
      </c>
      <c r="AI770" s="0" t="s">
        <v>673</v>
      </c>
      <c r="AJ770" s="0" t="s">
        <v>3482</v>
      </c>
      <c r="AK770" s="0" t="s">
        <v>3483</v>
      </c>
      <c r="AL770" s="0" t="s">
        <v>3484</v>
      </c>
      <c r="AM770" s="0" t="s">
        <v>94</v>
      </c>
      <c r="AN770" s="26" t="n">
        <f aca="false">IFERROR(E770*(1+IF(AM770="Apartment",Data_Summary!$C$3,0)),"")</f>
        <v>4.11347517730497</v>
      </c>
      <c r="AO770" s="4" t="n">
        <v>46195</v>
      </c>
    </row>
    <row r="771" customFormat="false" ht="15" hidden="false" customHeight="false" outlineLevel="0" collapsed="false">
      <c r="A771" s="0" t="n">
        <f aca="false">IF(AND(ISNUMBER(B771),B771&gt;0,ISNUMBER(AB771),AB771&gt;0,J771&gt;=Data_Summary!$C$1),1,0)</f>
        <v>1</v>
      </c>
      <c r="B771" s="33" t="n">
        <v>708</v>
      </c>
      <c r="C771" s="5" t="n">
        <f aca="false">IF(ISNUMBER(AB771),AB771,"")</f>
        <v>3000</v>
      </c>
      <c r="D771" s="0" t="n">
        <f aca="false">IF(ISNUMBER(C771),C771-U771*Data_Summary!$C$2,"")</f>
        <v>2850</v>
      </c>
      <c r="E771" s="34" t="n">
        <f aca="false">IFERROR(C771/B771,"")</f>
        <v>4.23728813559322</v>
      </c>
      <c r="F771" s="26" t="n">
        <f aca="false">IFERROR(D771/B771,"")</f>
        <v>4.02542372881356</v>
      </c>
      <c r="G771" s="0" t="str">
        <f aca="false">Q771</f>
        <v>2</v>
      </c>
      <c r="H771" s="0" t="str">
        <f aca="false">IFERROR(LEFT(G771,1),"")</f>
        <v>2</v>
      </c>
      <c r="I771" s="0" t="n">
        <f aca="false">IF(LEN(G771)&gt;1,1,0)</f>
        <v>0</v>
      </c>
      <c r="J771" s="4" t="n">
        <v>46020</v>
      </c>
      <c r="K771" s="0" t="s">
        <v>14</v>
      </c>
      <c r="L771" s="0" t="s">
        <v>104</v>
      </c>
      <c r="M771" s="0" t="s">
        <v>226</v>
      </c>
      <c r="N771" s="0" t="s">
        <v>93</v>
      </c>
      <c r="O771" s="0" t="s">
        <v>949</v>
      </c>
      <c r="Q771" s="0" t="s">
        <v>251</v>
      </c>
      <c r="R771" s="0" t="n">
        <v>1</v>
      </c>
      <c r="S771" s="5" t="n">
        <v>708</v>
      </c>
      <c r="T771" s="0" t="s">
        <v>252</v>
      </c>
      <c r="U771" s="0" t="n">
        <v>1</v>
      </c>
      <c r="V771" s="0" t="s">
        <v>230</v>
      </c>
      <c r="W771" s="0" t="s">
        <v>231</v>
      </c>
      <c r="X771" s="0" t="s">
        <v>232</v>
      </c>
      <c r="Y771" s="0" t="s">
        <v>297</v>
      </c>
      <c r="Z771" s="0" t="s">
        <v>3310</v>
      </c>
      <c r="AA771" s="0" t="s">
        <v>235</v>
      </c>
      <c r="AB771" s="32" t="n">
        <v>3000</v>
      </c>
      <c r="AC771" s="32" t="n">
        <v>3200</v>
      </c>
      <c r="AD771" s="26" t="n">
        <f aca="false">IFERROR(AB771/B771,"")</f>
        <v>4.23728813559322</v>
      </c>
      <c r="AE771" s="26" t="n">
        <f aca="false">IFERROR(AC771/B771,"")</f>
        <v>4.51977401129944</v>
      </c>
      <c r="AF771" s="0" t="s">
        <v>421</v>
      </c>
      <c r="AG771" s="0" t="s">
        <v>236</v>
      </c>
      <c r="AH771" s="0" t="s">
        <v>230</v>
      </c>
      <c r="AI771" s="0" t="s">
        <v>3485</v>
      </c>
      <c r="AJ771" s="0" t="s">
        <v>3486</v>
      </c>
      <c r="AK771" s="0" t="s">
        <v>3487</v>
      </c>
      <c r="AL771" s="0" t="s">
        <v>3488</v>
      </c>
      <c r="AM771" s="0" t="s">
        <v>94</v>
      </c>
      <c r="AN771" s="26" t="n">
        <f aca="false">IFERROR(E771*(1+IF(AM771="Apartment",Data_Summary!$C$3,0)),"")</f>
        <v>4.23728813559322</v>
      </c>
      <c r="AO771" s="4" t="n">
        <v>46195</v>
      </c>
    </row>
    <row r="772" customFormat="false" ht="15" hidden="false" customHeight="false" outlineLevel="0" collapsed="false">
      <c r="A772" s="0" t="n">
        <f aca="false">IF(AND(ISNUMBER(B772),B772&gt;0,ISNUMBER(AB772),AB772&gt;0,J772&gt;=Data_Summary!$C$1),1,0)</f>
        <v>1</v>
      </c>
      <c r="B772" s="30" t="n">
        <v>736</v>
      </c>
      <c r="C772" s="5" t="n">
        <f aca="false">IF(ISNUMBER(AB772),AB772,"")</f>
        <v>3300</v>
      </c>
      <c r="D772" s="0" t="n">
        <f aca="false">IF(ISNUMBER(C772),C772-U772*Data_Summary!$C$2,"")</f>
        <v>3150</v>
      </c>
      <c r="E772" s="31" t="n">
        <f aca="false">IFERROR(C772/B772,"")</f>
        <v>4.48369565217391</v>
      </c>
      <c r="F772" s="26" t="n">
        <f aca="false">IFERROR(D772/B772,"")</f>
        <v>4.27989130434783</v>
      </c>
      <c r="G772" s="0" t="str">
        <f aca="false">Q772</f>
        <v>2</v>
      </c>
      <c r="H772" s="0" t="str">
        <f aca="false">IFERROR(LEFT(G772,1),"")</f>
        <v>2</v>
      </c>
      <c r="I772" s="0" t="n">
        <f aca="false">IF(LEN(G772)&gt;1,1,0)</f>
        <v>0</v>
      </c>
      <c r="J772" s="4" t="n">
        <v>46017</v>
      </c>
      <c r="K772" s="0" t="s">
        <v>14</v>
      </c>
      <c r="L772" s="0" t="s">
        <v>104</v>
      </c>
      <c r="M772" s="0" t="s">
        <v>226</v>
      </c>
      <c r="N772" s="0" t="s">
        <v>93</v>
      </c>
      <c r="O772" s="0" t="s">
        <v>3489</v>
      </c>
      <c r="Q772" s="0" t="s">
        <v>251</v>
      </c>
      <c r="R772" s="0" t="n">
        <v>2</v>
      </c>
      <c r="S772" s="5" t="n">
        <v>736</v>
      </c>
      <c r="T772" s="0" t="s">
        <v>252</v>
      </c>
      <c r="U772" s="0" t="n">
        <v>1</v>
      </c>
      <c r="V772" s="0" t="s">
        <v>230</v>
      </c>
      <c r="W772" s="0" t="s">
        <v>231</v>
      </c>
      <c r="X772" s="0" t="s">
        <v>232</v>
      </c>
      <c r="Y772" s="0" t="s">
        <v>260</v>
      </c>
      <c r="Z772" s="0" t="s">
        <v>3310</v>
      </c>
      <c r="AA772" s="0" t="s">
        <v>235</v>
      </c>
      <c r="AB772" s="32" t="n">
        <v>3300</v>
      </c>
      <c r="AC772" s="32" t="n">
        <v>3300</v>
      </c>
      <c r="AD772" s="26" t="n">
        <f aca="false">IFERROR(AB772/B772,"")</f>
        <v>4.48369565217391</v>
      </c>
      <c r="AE772" s="26" t="n">
        <f aca="false">IFERROR(AC772/B772,"")</f>
        <v>4.48369565217391</v>
      </c>
      <c r="AF772" s="0" t="s">
        <v>236</v>
      </c>
      <c r="AG772" s="0" t="s">
        <v>236</v>
      </c>
      <c r="AH772" s="0" t="s">
        <v>230</v>
      </c>
      <c r="AI772" s="0" t="s">
        <v>712</v>
      </c>
      <c r="AJ772" s="0" t="s">
        <v>3490</v>
      </c>
      <c r="AK772" s="0" t="s">
        <v>3491</v>
      </c>
      <c r="AL772" s="0" t="s">
        <v>3492</v>
      </c>
      <c r="AM772" s="0" t="s">
        <v>94</v>
      </c>
      <c r="AN772" s="26" t="n">
        <f aca="false">IFERROR(E772*(1+IF(AM772="Apartment",Data_Summary!$C$3,0)),"")</f>
        <v>4.48369565217391</v>
      </c>
      <c r="AO772" s="4" t="n">
        <v>46195</v>
      </c>
    </row>
    <row r="773" customFormat="false" ht="15" hidden="false" customHeight="false" outlineLevel="0" collapsed="false">
      <c r="A773" s="0" t="n">
        <f aca="false">IF(AND(ISNUMBER(B773),B773&gt;0,ISNUMBER(AB773),AB773&gt;0,J773&gt;=Data_Summary!$C$1),1,0)</f>
        <v>1</v>
      </c>
      <c r="B773" s="33" t="n">
        <v>655</v>
      </c>
      <c r="C773" s="5" t="n">
        <f aca="false">IF(ISNUMBER(AB773),AB773,"")</f>
        <v>2500</v>
      </c>
      <c r="D773" s="0" t="n">
        <f aca="false">IF(ISNUMBER(C773),C773-U773*Data_Summary!$C$2,"")</f>
        <v>2500</v>
      </c>
      <c r="E773" s="34" t="n">
        <f aca="false">IFERROR(C773/B773,"")</f>
        <v>3.81679389312977</v>
      </c>
      <c r="F773" s="26" t="n">
        <f aca="false">IFERROR(D773/B773,"")</f>
        <v>3.81679389312977</v>
      </c>
      <c r="G773" s="0" t="str">
        <f aca="false">Q773</f>
        <v>1+1</v>
      </c>
      <c r="H773" s="0" t="str">
        <f aca="false">IFERROR(LEFT(G773,1),"")</f>
        <v>1</v>
      </c>
      <c r="I773" s="0" t="n">
        <f aca="false">IF(LEN(G773)&gt;1,1,0)</f>
        <v>1</v>
      </c>
      <c r="J773" s="4" t="n">
        <v>46016</v>
      </c>
      <c r="K773" s="0" t="s">
        <v>14</v>
      </c>
      <c r="L773" s="0" t="s">
        <v>104</v>
      </c>
      <c r="M773" s="0" t="s">
        <v>226</v>
      </c>
      <c r="N773" s="0" t="s">
        <v>93</v>
      </c>
      <c r="O773" s="0" t="s">
        <v>2028</v>
      </c>
      <c r="Q773" s="0" t="s">
        <v>270</v>
      </c>
      <c r="R773" s="0" t="n">
        <v>1</v>
      </c>
      <c r="S773" s="5" t="n">
        <v>655</v>
      </c>
      <c r="T773" s="0" t="s">
        <v>252</v>
      </c>
      <c r="U773" s="0" t="n">
        <v>0</v>
      </c>
      <c r="V773" s="0" t="s">
        <v>230</v>
      </c>
      <c r="W773" s="0" t="s">
        <v>244</v>
      </c>
      <c r="X773" s="0" t="s">
        <v>232</v>
      </c>
      <c r="Y773" s="0" t="s">
        <v>278</v>
      </c>
      <c r="Z773" s="0" t="s">
        <v>3310</v>
      </c>
      <c r="AA773" s="0" t="s">
        <v>235</v>
      </c>
      <c r="AB773" s="32" t="n">
        <v>2500</v>
      </c>
      <c r="AC773" s="32" t="n">
        <v>2500</v>
      </c>
      <c r="AD773" s="26" t="n">
        <f aca="false">IFERROR(AB773/B773,"")</f>
        <v>3.81679389312977</v>
      </c>
      <c r="AE773" s="26" t="n">
        <f aca="false">IFERROR(AC773/B773,"")</f>
        <v>3.81679389312977</v>
      </c>
      <c r="AF773" s="0" t="s">
        <v>236</v>
      </c>
      <c r="AG773" s="0" t="s">
        <v>236</v>
      </c>
      <c r="AH773" s="0" t="s">
        <v>230</v>
      </c>
      <c r="AI773" s="0" t="s">
        <v>3493</v>
      </c>
      <c r="AJ773" s="0" t="s">
        <v>3494</v>
      </c>
      <c r="AK773" s="0" t="s">
        <v>3495</v>
      </c>
      <c r="AL773" s="0" t="s">
        <v>3496</v>
      </c>
      <c r="AM773" s="0" t="s">
        <v>94</v>
      </c>
      <c r="AN773" s="26" t="n">
        <f aca="false">IFERROR(E773*(1+IF(AM773="Apartment",Data_Summary!$C$3,0)),"")</f>
        <v>3.81679389312977</v>
      </c>
      <c r="AO773" s="4" t="n">
        <v>46195</v>
      </c>
    </row>
    <row r="774" customFormat="false" ht="15" hidden="false" customHeight="false" outlineLevel="0" collapsed="false">
      <c r="A774" s="0" t="n">
        <f aca="false">IF(AND(ISNUMBER(B774),B774&gt;0,ISNUMBER(AB774),AB774&gt;0,J774&gt;=Data_Summary!$C$1),1,0)</f>
        <v>1</v>
      </c>
      <c r="B774" s="30" t="n">
        <v>650</v>
      </c>
      <c r="C774" s="5" t="n">
        <f aca="false">IF(ISNUMBER(AB774),AB774,"")</f>
        <v>2550</v>
      </c>
      <c r="D774" s="0" t="n">
        <f aca="false">IF(ISNUMBER(C774),C774-U774*Data_Summary!$C$2,"")</f>
        <v>2400</v>
      </c>
      <c r="E774" s="31" t="n">
        <f aca="false">IFERROR(C774/B774,"")</f>
        <v>3.92307692307692</v>
      </c>
      <c r="F774" s="26" t="n">
        <f aca="false">IFERROR(D774/B774,"")</f>
        <v>3.69230769230769</v>
      </c>
      <c r="G774" s="0" t="str">
        <f aca="false">Q774</f>
        <v>1+1</v>
      </c>
      <c r="H774" s="0" t="str">
        <f aca="false">IFERROR(LEFT(G774,1),"")</f>
        <v>1</v>
      </c>
      <c r="I774" s="0" t="n">
        <f aca="false">IF(LEN(G774)&gt;1,1,0)</f>
        <v>1</v>
      </c>
      <c r="J774" s="4" t="n">
        <v>46002</v>
      </c>
      <c r="K774" s="0" t="s">
        <v>14</v>
      </c>
      <c r="L774" s="0" t="s">
        <v>104</v>
      </c>
      <c r="M774" s="0" t="s">
        <v>226</v>
      </c>
      <c r="N774" s="0" t="s">
        <v>93</v>
      </c>
      <c r="O774" s="0" t="s">
        <v>3497</v>
      </c>
      <c r="Q774" s="0" t="s">
        <v>270</v>
      </c>
      <c r="R774" s="0" t="n">
        <v>1</v>
      </c>
      <c r="S774" s="5" t="n">
        <v>650</v>
      </c>
      <c r="T774" s="0" t="s">
        <v>271</v>
      </c>
      <c r="U774" s="0" t="n">
        <v>1</v>
      </c>
      <c r="V774" s="0" t="s">
        <v>230</v>
      </c>
      <c r="W774" s="0" t="s">
        <v>244</v>
      </c>
      <c r="X774" s="0" t="s">
        <v>232</v>
      </c>
      <c r="Y774" s="0" t="s">
        <v>233</v>
      </c>
      <c r="Z774" s="0" t="s">
        <v>3310</v>
      </c>
      <c r="AA774" s="0" t="s">
        <v>235</v>
      </c>
      <c r="AB774" s="32" t="n">
        <v>2550</v>
      </c>
      <c r="AC774" s="32" t="n">
        <v>2600</v>
      </c>
      <c r="AD774" s="26" t="n">
        <f aca="false">IFERROR(AB774/B774,"")</f>
        <v>3.92307692307692</v>
      </c>
      <c r="AE774" s="26" t="n">
        <f aca="false">IFERROR(AC774/B774,"")</f>
        <v>4</v>
      </c>
      <c r="AF774" s="0" t="s">
        <v>236</v>
      </c>
      <c r="AG774" s="0" t="s">
        <v>236</v>
      </c>
      <c r="AH774" s="0" t="s">
        <v>236</v>
      </c>
      <c r="AI774" s="0" t="s">
        <v>1913</v>
      </c>
      <c r="AJ774" s="0" t="s">
        <v>3498</v>
      </c>
      <c r="AK774" s="0" t="s">
        <v>3499</v>
      </c>
      <c r="AL774" s="0" t="s">
        <v>3500</v>
      </c>
      <c r="AM774" s="0" t="s">
        <v>94</v>
      </c>
      <c r="AN774" s="26" t="n">
        <f aca="false">IFERROR(E774*(1+IF(AM774="Apartment",Data_Summary!$C$3,0)),"")</f>
        <v>3.92307692307692</v>
      </c>
      <c r="AO774" s="4" t="n">
        <v>46195</v>
      </c>
    </row>
    <row r="775" customFormat="false" ht="15" hidden="false" customHeight="false" outlineLevel="0" collapsed="false">
      <c r="A775" s="0" t="n">
        <f aca="false">IF(AND(ISNUMBER(B775),B775&gt;0,ISNUMBER(AB775),AB775&gt;0,J775&gt;=Data_Summary!$C$1),1,0)</f>
        <v>1</v>
      </c>
      <c r="B775" s="30" t="n">
        <v>507</v>
      </c>
      <c r="C775" s="5" t="n">
        <f aca="false">IF(ISNUMBER(AB775),AB775,"")</f>
        <v>2200</v>
      </c>
      <c r="D775" s="0" t="n">
        <f aca="false">IF(ISNUMBER(C775),C775-U775*Data_Summary!$C$2,"")</f>
        <v>2200</v>
      </c>
      <c r="E775" s="31" t="n">
        <f aca="false">IFERROR(C775/B775,"")</f>
        <v>4.33925049309665</v>
      </c>
      <c r="F775" s="26" t="n">
        <f aca="false">IFERROR(D775/B775,"")</f>
        <v>4.33925049309665</v>
      </c>
      <c r="G775" s="0" t="str">
        <f aca="false">Q775</f>
        <v>1</v>
      </c>
      <c r="H775" s="0" t="str">
        <f aca="false">IFERROR(LEFT(G775,1),"")</f>
        <v>1</v>
      </c>
      <c r="I775" s="0" t="n">
        <f aca="false">IF(LEN(G775)&gt;1,1,0)</f>
        <v>0</v>
      </c>
      <c r="J775" s="4" t="n">
        <v>46002</v>
      </c>
      <c r="K775" s="0" t="s">
        <v>14</v>
      </c>
      <c r="L775" s="0" t="s">
        <v>104</v>
      </c>
      <c r="M775" s="0" t="s">
        <v>226</v>
      </c>
      <c r="N775" s="0" t="s">
        <v>93</v>
      </c>
      <c r="O775" s="0" t="s">
        <v>3501</v>
      </c>
      <c r="Q775" s="0" t="s">
        <v>242</v>
      </c>
      <c r="R775" s="0" t="n">
        <v>1</v>
      </c>
      <c r="S775" s="5" t="n">
        <v>507</v>
      </c>
      <c r="T775" s="0" t="s">
        <v>243</v>
      </c>
      <c r="U775" s="0" t="n">
        <v>0</v>
      </c>
      <c r="V775" s="0" t="s">
        <v>230</v>
      </c>
      <c r="W775" s="0" t="s">
        <v>244</v>
      </c>
      <c r="X775" s="0" t="s">
        <v>232</v>
      </c>
      <c r="Y775" s="0" t="s">
        <v>253</v>
      </c>
      <c r="Z775" s="0" t="s">
        <v>3310</v>
      </c>
      <c r="AA775" s="0" t="s">
        <v>235</v>
      </c>
      <c r="AB775" s="32" t="n">
        <v>2200</v>
      </c>
      <c r="AC775" s="32" t="n">
        <v>2200</v>
      </c>
      <c r="AD775" s="26" t="n">
        <f aca="false">IFERROR(AB775/B775,"")</f>
        <v>4.33925049309665</v>
      </c>
      <c r="AE775" s="26" t="n">
        <f aca="false">IFERROR(AC775/B775,"")</f>
        <v>4.33925049309665</v>
      </c>
      <c r="AF775" s="0" t="s">
        <v>236</v>
      </c>
      <c r="AG775" s="0" t="s">
        <v>236</v>
      </c>
      <c r="AH775" s="0" t="s">
        <v>230</v>
      </c>
      <c r="AI775" s="0" t="s">
        <v>1913</v>
      </c>
      <c r="AJ775" s="0" t="s">
        <v>3502</v>
      </c>
      <c r="AK775" s="0" t="s">
        <v>3503</v>
      </c>
      <c r="AL775" s="0" t="s">
        <v>3504</v>
      </c>
      <c r="AM775" s="0" t="s">
        <v>94</v>
      </c>
      <c r="AN775" s="26" t="n">
        <f aca="false">IFERROR(E775*(1+IF(AM775="Apartment",Data_Summary!$C$3,0)),"")</f>
        <v>4.33925049309665</v>
      </c>
      <c r="AO775" s="4" t="n">
        <v>46195</v>
      </c>
    </row>
    <row r="776" customFormat="false" ht="15" hidden="false" customHeight="false" outlineLevel="0" collapsed="false">
      <c r="A776" s="0" t="n">
        <f aca="false">IF(AND(ISNUMBER(B776),B776&gt;0,ISNUMBER(AB776),AB776&gt;0,J776&gt;=Data_Summary!$C$1),1,0)</f>
        <v>1</v>
      </c>
      <c r="B776" s="30" t="n">
        <v>1038</v>
      </c>
      <c r="C776" s="5" t="n">
        <f aca="false">IF(ISNUMBER(AB776),AB776,"")</f>
        <v>3900</v>
      </c>
      <c r="D776" s="0" t="n">
        <f aca="false">IF(ISNUMBER(C776),C776-U776*Data_Summary!$C$2,"")</f>
        <v>3750</v>
      </c>
      <c r="E776" s="31" t="n">
        <f aca="false">IFERROR(C776/B776,"")</f>
        <v>3.75722543352601</v>
      </c>
      <c r="F776" s="26" t="n">
        <f aca="false">IFERROR(D776/B776,"")</f>
        <v>3.61271676300578</v>
      </c>
      <c r="G776" s="0" t="str">
        <f aca="false">Q776</f>
        <v>3</v>
      </c>
      <c r="H776" s="0" t="str">
        <f aca="false">IFERROR(LEFT(G776,1),"")</f>
        <v>3</v>
      </c>
      <c r="I776" s="0" t="n">
        <f aca="false">IF(LEN(G776)&gt;1,1,0)</f>
        <v>0</v>
      </c>
      <c r="J776" s="4" t="n">
        <v>45997</v>
      </c>
      <c r="K776" s="0" t="s">
        <v>14</v>
      </c>
      <c r="L776" s="0" t="s">
        <v>104</v>
      </c>
      <c r="M776" s="0" t="s">
        <v>226</v>
      </c>
      <c r="N776" s="0" t="s">
        <v>93</v>
      </c>
      <c r="O776" s="0" t="s">
        <v>436</v>
      </c>
      <c r="Q776" s="0" t="s">
        <v>228</v>
      </c>
      <c r="R776" s="0" t="n">
        <v>2</v>
      </c>
      <c r="S776" s="5" t="n">
        <v>1038</v>
      </c>
      <c r="T776" s="0" t="s">
        <v>265</v>
      </c>
      <c r="U776" s="0" t="n">
        <v>1</v>
      </c>
      <c r="V776" s="0" t="s">
        <v>230</v>
      </c>
      <c r="W776" s="0" t="s">
        <v>244</v>
      </c>
      <c r="X776" s="0" t="s">
        <v>232</v>
      </c>
      <c r="Y776" s="0" t="s">
        <v>308</v>
      </c>
      <c r="Z776" s="0" t="s">
        <v>3310</v>
      </c>
      <c r="AA776" s="0" t="s">
        <v>235</v>
      </c>
      <c r="AB776" s="32" t="n">
        <v>3900</v>
      </c>
      <c r="AC776" s="32" t="n">
        <v>4000</v>
      </c>
      <c r="AD776" s="26" t="n">
        <f aca="false">IFERROR(AB776/B776,"")</f>
        <v>3.75722543352601</v>
      </c>
      <c r="AE776" s="26" t="n">
        <f aca="false">IFERROR(AC776/B776,"")</f>
        <v>3.85356454720617</v>
      </c>
      <c r="AF776" s="0" t="s">
        <v>236</v>
      </c>
      <c r="AG776" s="0" t="s">
        <v>236</v>
      </c>
      <c r="AH776" s="0" t="s">
        <v>236</v>
      </c>
      <c r="AI776" s="0" t="s">
        <v>3505</v>
      </c>
      <c r="AJ776" s="0" t="s">
        <v>3506</v>
      </c>
      <c r="AK776" s="0" t="s">
        <v>3507</v>
      </c>
      <c r="AL776" s="0" t="s">
        <v>3508</v>
      </c>
      <c r="AM776" s="0" t="s">
        <v>94</v>
      </c>
      <c r="AN776" s="26" t="n">
        <f aca="false">IFERROR(E776*(1+IF(AM776="Apartment",Data_Summary!$C$3,0)),"")</f>
        <v>3.75722543352601</v>
      </c>
      <c r="AO776" s="4" t="n">
        <v>46195</v>
      </c>
    </row>
    <row r="777" customFormat="false" ht="15" hidden="false" customHeight="false" outlineLevel="0" collapsed="false">
      <c r="A777" s="0" t="n">
        <f aca="false">IF(AND(ISNUMBER(B777),B777&gt;0,ISNUMBER(AB777),AB777&gt;0,J777&gt;=Data_Summary!$C$1),1,0)</f>
        <v>1</v>
      </c>
      <c r="B777" s="30" t="n">
        <v>570</v>
      </c>
      <c r="C777" s="5" t="n">
        <f aca="false">IF(ISNUMBER(AB777),AB777,"")</f>
        <v>2300</v>
      </c>
      <c r="D777" s="0" t="n">
        <f aca="false">IF(ISNUMBER(C777),C777-U777*Data_Summary!$C$2,"")</f>
        <v>2300</v>
      </c>
      <c r="E777" s="31" t="n">
        <f aca="false">IFERROR(C777/B777,"")</f>
        <v>4.03508771929825</v>
      </c>
      <c r="F777" s="26" t="n">
        <f aca="false">IFERROR(D777/B777,"")</f>
        <v>4.03508771929825</v>
      </c>
      <c r="G777" s="0" t="str">
        <f aca="false">Q777</f>
        <v>1+1</v>
      </c>
      <c r="H777" s="0" t="str">
        <f aca="false">IFERROR(LEFT(G777,1),"")</f>
        <v>1</v>
      </c>
      <c r="I777" s="0" t="n">
        <f aca="false">IF(LEN(G777)&gt;1,1,0)</f>
        <v>1</v>
      </c>
      <c r="J777" s="4" t="n">
        <v>45996</v>
      </c>
      <c r="K777" s="0" t="s">
        <v>14</v>
      </c>
      <c r="L777" s="0" t="s">
        <v>104</v>
      </c>
      <c r="M777" s="0" t="s">
        <v>226</v>
      </c>
      <c r="N777" s="0" t="s">
        <v>93</v>
      </c>
      <c r="O777" s="0" t="s">
        <v>3509</v>
      </c>
      <c r="Q777" s="0" t="s">
        <v>270</v>
      </c>
      <c r="R777" s="0" t="n">
        <v>1</v>
      </c>
      <c r="S777" s="5" t="n">
        <v>570</v>
      </c>
      <c r="T777" s="0" t="s">
        <v>243</v>
      </c>
      <c r="U777" s="0" t="n">
        <v>0</v>
      </c>
      <c r="V777" s="0" t="s">
        <v>230</v>
      </c>
      <c r="W777" s="0" t="s">
        <v>244</v>
      </c>
      <c r="X777" s="0" t="s">
        <v>232</v>
      </c>
      <c r="Y777" s="0" t="s">
        <v>245</v>
      </c>
      <c r="Z777" s="0" t="s">
        <v>3310</v>
      </c>
      <c r="AA777" s="0" t="s">
        <v>235</v>
      </c>
      <c r="AB777" s="32" t="n">
        <v>2300</v>
      </c>
      <c r="AC777" s="32" t="n">
        <v>2250</v>
      </c>
      <c r="AD777" s="26" t="n">
        <f aca="false">IFERROR(AB777/B777,"")</f>
        <v>4.03508771929825</v>
      </c>
      <c r="AE777" s="26" t="n">
        <f aca="false">IFERROR(AC777/B777,"")</f>
        <v>3.94736842105263</v>
      </c>
      <c r="AF777" s="0" t="s">
        <v>236</v>
      </c>
      <c r="AG777" s="0" t="s">
        <v>236</v>
      </c>
      <c r="AH777" s="0" t="s">
        <v>230</v>
      </c>
      <c r="AI777" s="0" t="s">
        <v>3510</v>
      </c>
      <c r="AJ777" s="0" t="s">
        <v>3511</v>
      </c>
      <c r="AK777" s="0" t="s">
        <v>3512</v>
      </c>
      <c r="AL777" s="0" t="s">
        <v>3513</v>
      </c>
      <c r="AM777" s="0" t="s">
        <v>94</v>
      </c>
      <c r="AN777" s="26" t="n">
        <f aca="false">IFERROR(E777*(1+IF(AM777="Apartment",Data_Summary!$C$3,0)),"")</f>
        <v>4.03508771929825</v>
      </c>
      <c r="AO777" s="4" t="n">
        <v>46195</v>
      </c>
    </row>
    <row r="778" customFormat="false" ht="15" hidden="false" customHeight="false" outlineLevel="0" collapsed="false">
      <c r="A778" s="0" t="n">
        <f aca="false">IF(AND(ISNUMBER(B778),B778&gt;0,ISNUMBER(AB778),AB778&gt;0,J778&gt;=Data_Summary!$C$1),1,0)</f>
        <v>1</v>
      </c>
      <c r="B778" s="30" t="n">
        <v>1038</v>
      </c>
      <c r="C778" s="5" t="n">
        <f aca="false">IF(ISNUMBER(AB778),AB778,"")</f>
        <v>3880</v>
      </c>
      <c r="D778" s="0" t="n">
        <f aca="false">IF(ISNUMBER(C778),C778-U778*Data_Summary!$C$2,"")</f>
        <v>3730</v>
      </c>
      <c r="E778" s="31" t="n">
        <f aca="false">IFERROR(C778/B778,"")</f>
        <v>3.73795761078998</v>
      </c>
      <c r="F778" s="26" t="n">
        <f aca="false">IFERROR(D778/B778,"")</f>
        <v>3.59344894026975</v>
      </c>
      <c r="G778" s="0" t="str">
        <f aca="false">Q778</f>
        <v>3</v>
      </c>
      <c r="H778" s="0" t="str">
        <f aca="false">IFERROR(LEFT(G778,1),"")</f>
        <v>3</v>
      </c>
      <c r="I778" s="0" t="n">
        <f aca="false">IF(LEN(G778)&gt;1,1,0)</f>
        <v>0</v>
      </c>
      <c r="J778" s="4" t="n">
        <v>45993</v>
      </c>
      <c r="K778" s="0" t="s">
        <v>14</v>
      </c>
      <c r="L778" s="0" t="s">
        <v>104</v>
      </c>
      <c r="M778" s="0" t="s">
        <v>226</v>
      </c>
      <c r="N778" s="0" t="s">
        <v>93</v>
      </c>
      <c r="O778" s="0" t="s">
        <v>1491</v>
      </c>
      <c r="Q778" s="0" t="s">
        <v>228</v>
      </c>
      <c r="R778" s="0" t="n">
        <v>2</v>
      </c>
      <c r="S778" s="5" t="n">
        <v>1038</v>
      </c>
      <c r="T778" s="0" t="s">
        <v>265</v>
      </c>
      <c r="U778" s="0" t="n">
        <v>1</v>
      </c>
      <c r="V778" s="0" t="s">
        <v>230</v>
      </c>
      <c r="W778" s="0" t="s">
        <v>231</v>
      </c>
      <c r="X778" s="0" t="s">
        <v>232</v>
      </c>
      <c r="Y778" s="0" t="s">
        <v>260</v>
      </c>
      <c r="Z778" s="0" t="s">
        <v>3310</v>
      </c>
      <c r="AA778" s="0" t="s">
        <v>235</v>
      </c>
      <c r="AB778" s="32" t="n">
        <v>3880</v>
      </c>
      <c r="AC778" s="32" t="n">
        <v>3900</v>
      </c>
      <c r="AD778" s="26" t="n">
        <f aca="false">IFERROR(AB778/B778,"")</f>
        <v>3.73795761078998</v>
      </c>
      <c r="AE778" s="26" t="n">
        <f aca="false">IFERROR(AC778/B778,"")</f>
        <v>3.75722543352601</v>
      </c>
      <c r="AF778" s="0" t="s">
        <v>236</v>
      </c>
      <c r="AG778" s="0" t="s">
        <v>236</v>
      </c>
      <c r="AH778" s="0" t="s">
        <v>230</v>
      </c>
      <c r="AI778" s="0" t="s">
        <v>764</v>
      </c>
      <c r="AJ778" s="0" t="s">
        <v>3514</v>
      </c>
      <c r="AK778" s="0" t="s">
        <v>3515</v>
      </c>
      <c r="AL778" s="0" t="s">
        <v>3516</v>
      </c>
      <c r="AM778" s="0" t="s">
        <v>94</v>
      </c>
      <c r="AN778" s="26" t="n">
        <f aca="false">IFERROR(E778*(1+IF(AM778="Apartment",Data_Summary!$C$3,0)),"")</f>
        <v>3.73795761078998</v>
      </c>
      <c r="AO778" s="4" t="n">
        <v>46195</v>
      </c>
    </row>
    <row r="779" customFormat="false" ht="15" hidden="false" customHeight="false" outlineLevel="0" collapsed="false">
      <c r="A779" s="0" t="n">
        <f aca="false">IF(AND(ISNUMBER(B779),B779&gt;0,ISNUMBER(AB779),AB779&gt;0,J779&gt;=Data_Summary!$C$1),1,0)</f>
        <v>1</v>
      </c>
      <c r="B779" s="30" t="n">
        <v>537</v>
      </c>
      <c r="C779" s="5" t="n">
        <f aca="false">IF(ISNUMBER(AB779),AB779,"")</f>
        <v>2325</v>
      </c>
      <c r="D779" s="0" t="n">
        <f aca="false">IF(ISNUMBER(C779),C779-U779*Data_Summary!$C$2,"")</f>
        <v>2175</v>
      </c>
      <c r="E779" s="31" t="n">
        <f aca="false">IFERROR(C779/B779,"")</f>
        <v>4.32960893854749</v>
      </c>
      <c r="F779" s="26" t="n">
        <f aca="false">IFERROR(D779/B779,"")</f>
        <v>4.05027932960894</v>
      </c>
      <c r="G779" s="0" t="str">
        <f aca="false">Q779</f>
        <v>1</v>
      </c>
      <c r="H779" s="0" t="str">
        <f aca="false">IFERROR(LEFT(G779,1),"")</f>
        <v>1</v>
      </c>
      <c r="I779" s="0" t="n">
        <f aca="false">IF(LEN(G779)&gt;1,1,0)</f>
        <v>0</v>
      </c>
      <c r="J779" s="4" t="n">
        <v>45992</v>
      </c>
      <c r="K779" s="0" t="s">
        <v>14</v>
      </c>
      <c r="L779" s="0" t="s">
        <v>104</v>
      </c>
      <c r="M779" s="0" t="s">
        <v>226</v>
      </c>
      <c r="N779" s="0" t="s">
        <v>93</v>
      </c>
      <c r="O779" s="0" t="s">
        <v>3517</v>
      </c>
      <c r="Q779" s="0" t="s">
        <v>242</v>
      </c>
      <c r="R779" s="0" t="n">
        <v>1</v>
      </c>
      <c r="S779" s="5" t="n">
        <v>537</v>
      </c>
      <c r="T779" s="0" t="s">
        <v>243</v>
      </c>
      <c r="U779" s="0" t="n">
        <v>1</v>
      </c>
      <c r="V779" s="0" t="s">
        <v>230</v>
      </c>
      <c r="W779" s="0" t="s">
        <v>231</v>
      </c>
      <c r="X779" s="0" t="s">
        <v>232</v>
      </c>
      <c r="Y779" s="0" t="s">
        <v>245</v>
      </c>
      <c r="Z779" s="0" t="s">
        <v>3310</v>
      </c>
      <c r="AA779" s="0" t="s">
        <v>235</v>
      </c>
      <c r="AB779" s="32" t="n">
        <v>2325</v>
      </c>
      <c r="AC779" s="32" t="n">
        <v>2300</v>
      </c>
      <c r="AD779" s="26" t="n">
        <f aca="false">IFERROR(AB779/B779,"")</f>
        <v>4.32960893854749</v>
      </c>
      <c r="AE779" s="26" t="n">
        <f aca="false">IFERROR(AC779/B779,"")</f>
        <v>4.2830540037244</v>
      </c>
      <c r="AF779" s="0" t="s">
        <v>236</v>
      </c>
      <c r="AG779" s="0" t="s">
        <v>236</v>
      </c>
      <c r="AH779" s="0" t="s">
        <v>230</v>
      </c>
      <c r="AI779" s="0" t="s">
        <v>769</v>
      </c>
      <c r="AJ779" s="0" t="s">
        <v>3518</v>
      </c>
      <c r="AK779" s="0" t="s">
        <v>3519</v>
      </c>
      <c r="AL779" s="0" t="s">
        <v>3520</v>
      </c>
      <c r="AM779" s="0" t="s">
        <v>94</v>
      </c>
      <c r="AN779" s="26" t="n">
        <f aca="false">IFERROR(E779*(1+IF(AM779="Apartment",Data_Summary!$C$3,0)),"")</f>
        <v>4.32960893854749</v>
      </c>
      <c r="AO779" s="4" t="n">
        <v>46195</v>
      </c>
    </row>
    <row r="780" customFormat="false" ht="15" hidden="false" customHeight="false" outlineLevel="0" collapsed="false">
      <c r="A780" s="0" t="n">
        <f aca="false">IF(AND(ISNUMBER(B780),B780&gt;0,ISNUMBER(AB780),AB780&gt;0,J780&gt;=Data_Summary!$C$1),1,0)</f>
        <v>1</v>
      </c>
      <c r="B780" s="30" t="n">
        <v>579</v>
      </c>
      <c r="C780" s="5" t="n">
        <f aca="false">IF(ISNUMBER(AB780),AB780,"")</f>
        <v>2300</v>
      </c>
      <c r="D780" s="0" t="n">
        <f aca="false">IF(ISNUMBER(C780),C780-U780*Data_Summary!$C$2,"")</f>
        <v>2300</v>
      </c>
      <c r="E780" s="31" t="n">
        <f aca="false">IFERROR(C780/B780,"")</f>
        <v>3.97236614853195</v>
      </c>
      <c r="F780" s="26" t="n">
        <f aca="false">IFERROR(D780/B780,"")</f>
        <v>3.97236614853195</v>
      </c>
      <c r="G780" s="0" t="str">
        <f aca="false">Q780</f>
        <v>1+1</v>
      </c>
      <c r="H780" s="0" t="str">
        <f aca="false">IFERROR(LEFT(G780,1),"")</f>
        <v>1</v>
      </c>
      <c r="I780" s="0" t="n">
        <f aca="false">IF(LEN(G780)&gt;1,1,0)</f>
        <v>1</v>
      </c>
      <c r="J780" s="4" t="n">
        <v>45987</v>
      </c>
      <c r="K780" s="0" t="s">
        <v>14</v>
      </c>
      <c r="L780" s="0" t="s">
        <v>104</v>
      </c>
      <c r="M780" s="0" t="s">
        <v>226</v>
      </c>
      <c r="N780" s="0" t="s">
        <v>93</v>
      </c>
      <c r="O780" s="0" t="s">
        <v>740</v>
      </c>
      <c r="Q780" s="0" t="s">
        <v>270</v>
      </c>
      <c r="R780" s="0" t="n">
        <v>1</v>
      </c>
      <c r="S780" s="5" t="n">
        <v>579</v>
      </c>
      <c r="T780" s="0" t="s">
        <v>243</v>
      </c>
      <c r="U780" s="0" t="n">
        <v>0</v>
      </c>
      <c r="V780" s="0" t="s">
        <v>230</v>
      </c>
      <c r="W780" s="0" t="s">
        <v>244</v>
      </c>
      <c r="X780" s="0" t="s">
        <v>232</v>
      </c>
      <c r="Y780" s="0" t="s">
        <v>278</v>
      </c>
      <c r="Z780" s="0" t="s">
        <v>3310</v>
      </c>
      <c r="AA780" s="0" t="s">
        <v>235</v>
      </c>
      <c r="AB780" s="32" t="n">
        <v>2300</v>
      </c>
      <c r="AC780" s="32" t="n">
        <v>2400</v>
      </c>
      <c r="AD780" s="26" t="n">
        <f aca="false">IFERROR(AB780/B780,"")</f>
        <v>3.97236614853195</v>
      </c>
      <c r="AE780" s="26" t="n">
        <f aca="false">IFERROR(AC780/B780,"")</f>
        <v>4.14507772020725</v>
      </c>
      <c r="AF780" s="0" t="s">
        <v>236</v>
      </c>
      <c r="AG780" s="0" t="s">
        <v>236</v>
      </c>
      <c r="AH780" s="0" t="s">
        <v>230</v>
      </c>
      <c r="AI780" s="0" t="s">
        <v>779</v>
      </c>
      <c r="AJ780" s="0" t="s">
        <v>3521</v>
      </c>
      <c r="AK780" s="0" t="s">
        <v>3522</v>
      </c>
      <c r="AL780" s="0" t="s">
        <v>3523</v>
      </c>
      <c r="AM780" s="0" t="s">
        <v>94</v>
      </c>
      <c r="AN780" s="26" t="n">
        <f aca="false">IFERROR(E780*(1+IF(AM780="Apartment",Data_Summary!$C$3,0)),"")</f>
        <v>3.97236614853195</v>
      </c>
      <c r="AO780" s="4" t="n">
        <v>46195</v>
      </c>
    </row>
    <row r="781" customFormat="false" ht="15" hidden="false" customHeight="false" outlineLevel="0" collapsed="false">
      <c r="A781" s="0" t="n">
        <f aca="false">IF(AND(ISNUMBER(B781),B781&gt;0,ISNUMBER(AB781),AB781&gt;0,J781&gt;=Data_Summary!$C$1),1,0)</f>
        <v>1</v>
      </c>
      <c r="B781" s="30" t="n">
        <v>898</v>
      </c>
      <c r="C781" s="5" t="n">
        <f aca="false">IF(ISNUMBER(AB781),AB781,"")</f>
        <v>3300</v>
      </c>
      <c r="D781" s="0" t="n">
        <f aca="false">IF(ISNUMBER(C781),C781-U781*Data_Summary!$C$2,"")</f>
        <v>3300</v>
      </c>
      <c r="E781" s="31" t="n">
        <f aca="false">IFERROR(C781/B781,"")</f>
        <v>3.67483296213808</v>
      </c>
      <c r="F781" s="26" t="n">
        <f aca="false">IFERROR(D781/B781,"")</f>
        <v>3.67483296213808</v>
      </c>
      <c r="G781" s="0" t="str">
        <f aca="false">Q781</f>
        <v>3</v>
      </c>
      <c r="H781" s="0" t="str">
        <f aca="false">IFERROR(LEFT(G781,1),"")</f>
        <v>3</v>
      </c>
      <c r="I781" s="0" t="n">
        <f aca="false">IF(LEN(G781)&gt;1,1,0)</f>
        <v>0</v>
      </c>
      <c r="J781" s="4" t="n">
        <v>45975</v>
      </c>
      <c r="K781" s="0" t="s">
        <v>14</v>
      </c>
      <c r="L781" s="0" t="s">
        <v>104</v>
      </c>
      <c r="M781" s="0" t="s">
        <v>226</v>
      </c>
      <c r="N781" s="0" t="s">
        <v>93</v>
      </c>
      <c r="O781" s="0" t="s">
        <v>3524</v>
      </c>
      <c r="Q781" s="0" t="s">
        <v>228</v>
      </c>
      <c r="R781" s="0" t="n">
        <v>2</v>
      </c>
      <c r="S781" s="5" t="n">
        <v>898</v>
      </c>
      <c r="T781" s="0" t="s">
        <v>229</v>
      </c>
      <c r="U781" s="0" t="n">
        <v>0</v>
      </c>
      <c r="V781" s="0" t="s">
        <v>230</v>
      </c>
      <c r="W781" s="0" t="s">
        <v>244</v>
      </c>
      <c r="X781" s="0" t="s">
        <v>232</v>
      </c>
      <c r="Y781" s="0" t="s">
        <v>278</v>
      </c>
      <c r="Z781" s="0" t="s">
        <v>3310</v>
      </c>
      <c r="AA781" s="0" t="s">
        <v>235</v>
      </c>
      <c r="AB781" s="32" t="n">
        <v>3300</v>
      </c>
      <c r="AC781" s="32" t="n">
        <v>3500</v>
      </c>
      <c r="AD781" s="26" t="n">
        <f aca="false">IFERROR(AB781/B781,"")</f>
        <v>3.67483296213808</v>
      </c>
      <c r="AE781" s="26" t="n">
        <f aca="false">IFERROR(AC781/B781,"")</f>
        <v>3.89755011135857</v>
      </c>
      <c r="AF781" s="0" t="s">
        <v>236</v>
      </c>
      <c r="AG781" s="0" t="s">
        <v>236</v>
      </c>
      <c r="AH781" s="0" t="s">
        <v>236</v>
      </c>
      <c r="AI781" s="0" t="s">
        <v>1945</v>
      </c>
      <c r="AJ781" s="0" t="s">
        <v>3525</v>
      </c>
      <c r="AK781" s="0" t="s">
        <v>3526</v>
      </c>
      <c r="AL781" s="0" t="s">
        <v>3527</v>
      </c>
      <c r="AM781" s="0" t="s">
        <v>94</v>
      </c>
      <c r="AN781" s="26" t="n">
        <f aca="false">IFERROR(E781*(1+IF(AM781="Apartment",Data_Summary!$C$3,0)),"")</f>
        <v>3.67483296213808</v>
      </c>
      <c r="AO781" s="4" t="n">
        <v>46195</v>
      </c>
    </row>
    <row r="782" customFormat="false" ht="15" hidden="false" customHeight="false" outlineLevel="0" collapsed="false">
      <c r="A782" s="0" t="n">
        <f aca="false">IF(AND(ISNUMBER(B782),B782&gt;0,ISNUMBER(AB782),AB782&gt;0,J782&gt;=Data_Summary!$C$1),1,0)</f>
        <v>1</v>
      </c>
      <c r="B782" s="30" t="n">
        <v>500</v>
      </c>
      <c r="C782" s="5" t="n">
        <f aca="false">IF(ISNUMBER(AB782),AB782,"")</f>
        <v>2250</v>
      </c>
      <c r="D782" s="0" t="n">
        <f aca="false">IF(ISNUMBER(C782),C782-U782*Data_Summary!$C$2,"")</f>
        <v>2250</v>
      </c>
      <c r="E782" s="31" t="n">
        <f aca="false">IFERROR(C782/B782,"")</f>
        <v>4.5</v>
      </c>
      <c r="F782" s="26" t="n">
        <f aca="false">IFERROR(D782/B782,"")</f>
        <v>4.5</v>
      </c>
      <c r="G782" s="0" t="str">
        <f aca="false">Q782</f>
        <v>1</v>
      </c>
      <c r="H782" s="0" t="str">
        <f aca="false">IFERROR(LEFT(G782,1),"")</f>
        <v>1</v>
      </c>
      <c r="I782" s="0" t="n">
        <f aca="false">IF(LEN(G782)&gt;1,1,0)</f>
        <v>0</v>
      </c>
      <c r="J782" s="4" t="n">
        <v>45974</v>
      </c>
      <c r="K782" s="0" t="s">
        <v>14</v>
      </c>
      <c r="L782" s="0" t="s">
        <v>104</v>
      </c>
      <c r="M782" s="0" t="s">
        <v>226</v>
      </c>
      <c r="N782" s="0" t="s">
        <v>93</v>
      </c>
      <c r="O782" s="0" t="s">
        <v>3528</v>
      </c>
      <c r="Q782" s="0" t="s">
        <v>242</v>
      </c>
      <c r="R782" s="0" t="n">
        <v>1</v>
      </c>
      <c r="S782" s="5" t="n">
        <v>500</v>
      </c>
      <c r="T782" s="0" t="s">
        <v>243</v>
      </c>
      <c r="U782" s="0" t="n">
        <v>0</v>
      </c>
      <c r="V782" s="0" t="s">
        <v>230</v>
      </c>
      <c r="W782" s="0" t="s">
        <v>244</v>
      </c>
      <c r="X782" s="0" t="s">
        <v>232</v>
      </c>
      <c r="Y782" s="0" t="s">
        <v>245</v>
      </c>
      <c r="Z782" s="0" t="s">
        <v>3310</v>
      </c>
      <c r="AA782" s="0" t="s">
        <v>235</v>
      </c>
      <c r="AB782" s="32" t="n">
        <v>2250</v>
      </c>
      <c r="AC782" s="32" t="n">
        <v>2250</v>
      </c>
      <c r="AD782" s="26" t="n">
        <f aca="false">IFERROR(AB782/B782,"")</f>
        <v>4.5</v>
      </c>
      <c r="AE782" s="26" t="n">
        <f aca="false">IFERROR(AC782/B782,"")</f>
        <v>4.5</v>
      </c>
      <c r="AF782" s="0" t="s">
        <v>236</v>
      </c>
      <c r="AG782" s="0" t="s">
        <v>236</v>
      </c>
      <c r="AH782" s="0" t="s">
        <v>230</v>
      </c>
      <c r="AI782" s="0" t="s">
        <v>2552</v>
      </c>
      <c r="AJ782" s="0" t="s">
        <v>3529</v>
      </c>
      <c r="AK782" s="0" t="s">
        <v>3530</v>
      </c>
      <c r="AL782" s="0" t="s">
        <v>3531</v>
      </c>
      <c r="AM782" s="0" t="s">
        <v>94</v>
      </c>
      <c r="AN782" s="26" t="n">
        <f aca="false">IFERROR(E782*(1+IF(AM782="Apartment",Data_Summary!$C$3,0)),"")</f>
        <v>4.5</v>
      </c>
      <c r="AO782" s="4" t="n">
        <v>46195</v>
      </c>
    </row>
    <row r="783" customFormat="false" ht="15" hidden="false" customHeight="false" outlineLevel="0" collapsed="false">
      <c r="A783" s="0" t="n">
        <f aca="false">IF(AND(ISNUMBER(B783),B783&gt;0,ISNUMBER(AB783),AB783&gt;0,J783&gt;=Data_Summary!$C$1),1,0)</f>
        <v>1</v>
      </c>
      <c r="B783" s="33" t="n">
        <v>675</v>
      </c>
      <c r="C783" s="5" t="n">
        <f aca="false">IF(ISNUMBER(AB783),AB783,"")</f>
        <v>3000</v>
      </c>
      <c r="D783" s="0" t="n">
        <f aca="false">IF(ISNUMBER(C783),C783-U783*Data_Summary!$C$2,"")</f>
        <v>3000</v>
      </c>
      <c r="E783" s="34" t="n">
        <f aca="false">IFERROR(C783/B783,"")</f>
        <v>4.44444444444445</v>
      </c>
      <c r="F783" s="26" t="n">
        <f aca="false">IFERROR(D783/B783,"")</f>
        <v>4.44444444444445</v>
      </c>
      <c r="G783" s="0" t="str">
        <f aca="false">Q783</f>
        <v>2</v>
      </c>
      <c r="H783" s="0" t="str">
        <f aca="false">IFERROR(LEFT(G783,1),"")</f>
        <v>2</v>
      </c>
      <c r="I783" s="0" t="n">
        <f aca="false">IF(LEN(G783)&gt;1,1,0)</f>
        <v>0</v>
      </c>
      <c r="J783" s="4" t="n">
        <v>45973</v>
      </c>
      <c r="K783" s="0" t="s">
        <v>14</v>
      </c>
      <c r="L783" s="0" t="s">
        <v>104</v>
      </c>
      <c r="M783" s="0" t="s">
        <v>226</v>
      </c>
      <c r="N783" s="0" t="s">
        <v>93</v>
      </c>
      <c r="O783" s="0" t="s">
        <v>3532</v>
      </c>
      <c r="Q783" s="0" t="s">
        <v>251</v>
      </c>
      <c r="R783" s="0" t="n">
        <v>1</v>
      </c>
      <c r="S783" s="5" t="n">
        <v>675</v>
      </c>
      <c r="T783" s="0" t="s">
        <v>252</v>
      </c>
      <c r="U783" s="0" t="n">
        <v>0</v>
      </c>
      <c r="V783" s="0" t="s">
        <v>230</v>
      </c>
      <c r="W783" s="0" t="s">
        <v>244</v>
      </c>
      <c r="X783" s="0" t="s">
        <v>232</v>
      </c>
      <c r="Y783" s="0" t="s">
        <v>278</v>
      </c>
      <c r="Z783" s="0" t="s">
        <v>3310</v>
      </c>
      <c r="AA783" s="0" t="s">
        <v>235</v>
      </c>
      <c r="AB783" s="32" t="n">
        <v>3000</v>
      </c>
      <c r="AC783" s="32" t="n">
        <v>3000</v>
      </c>
      <c r="AD783" s="26" t="n">
        <f aca="false">IFERROR(AB783/B783,"")</f>
        <v>4.44444444444445</v>
      </c>
      <c r="AE783" s="26" t="n">
        <f aca="false">IFERROR(AC783/B783,"")</f>
        <v>4.44444444444445</v>
      </c>
      <c r="AF783" s="0" t="s">
        <v>230</v>
      </c>
      <c r="AG783" s="0" t="s">
        <v>236</v>
      </c>
      <c r="AH783" s="0" t="s">
        <v>230</v>
      </c>
      <c r="AI783" s="0" t="s">
        <v>1950</v>
      </c>
      <c r="AJ783" s="0" t="s">
        <v>3533</v>
      </c>
      <c r="AK783" s="0" t="s">
        <v>3534</v>
      </c>
      <c r="AL783" s="0" t="s">
        <v>3535</v>
      </c>
      <c r="AM783" s="0" t="s">
        <v>94</v>
      </c>
      <c r="AN783" s="26" t="n">
        <f aca="false">IFERROR(E783*(1+IF(AM783="Apartment",Data_Summary!$C$3,0)),"")</f>
        <v>4.44444444444445</v>
      </c>
      <c r="AO783" s="4" t="n">
        <v>46195</v>
      </c>
    </row>
    <row r="784" customFormat="false" ht="15" hidden="false" customHeight="false" outlineLevel="0" collapsed="false">
      <c r="A784" s="0" t="n">
        <f aca="false">IF(AND(ISNUMBER(B784),B784&gt;0,ISNUMBER(AB784),AB784&gt;0,J784&gt;=Data_Summary!$C$1),1,0)</f>
        <v>1</v>
      </c>
      <c r="B784" s="30" t="n">
        <v>928</v>
      </c>
      <c r="C784" s="5" t="n">
        <f aca="false">IF(ISNUMBER(AB784),AB784,"")</f>
        <v>3800</v>
      </c>
      <c r="D784" s="0" t="n">
        <f aca="false">IF(ISNUMBER(C784),C784-U784*Data_Summary!$C$2,"")</f>
        <v>3650</v>
      </c>
      <c r="E784" s="31" t="n">
        <f aca="false">IFERROR(C784/B784,"")</f>
        <v>4.0948275862069</v>
      </c>
      <c r="F784" s="26" t="n">
        <f aca="false">IFERROR(D784/B784,"")</f>
        <v>3.93318965517241</v>
      </c>
      <c r="G784" s="0" t="str">
        <f aca="false">Q784</f>
        <v>3</v>
      </c>
      <c r="H784" s="0" t="str">
        <f aca="false">IFERROR(LEFT(G784,1),"")</f>
        <v>3</v>
      </c>
      <c r="I784" s="0" t="n">
        <f aca="false">IF(LEN(G784)&gt;1,1,0)</f>
        <v>0</v>
      </c>
      <c r="J784" s="4" t="n">
        <v>45973</v>
      </c>
      <c r="K784" s="0" t="s">
        <v>14</v>
      </c>
      <c r="L784" s="0" t="s">
        <v>104</v>
      </c>
      <c r="M784" s="0" t="s">
        <v>226</v>
      </c>
      <c r="N784" s="0" t="s">
        <v>93</v>
      </c>
      <c r="O784" s="0" t="s">
        <v>2267</v>
      </c>
      <c r="Q784" s="0" t="s">
        <v>228</v>
      </c>
      <c r="R784" s="0" t="n">
        <v>2</v>
      </c>
      <c r="S784" s="5" t="n">
        <v>928</v>
      </c>
      <c r="T784" s="0" t="s">
        <v>259</v>
      </c>
      <c r="U784" s="0" t="n">
        <v>1</v>
      </c>
      <c r="V784" s="0" t="s">
        <v>230</v>
      </c>
      <c r="W784" s="0" t="s">
        <v>244</v>
      </c>
      <c r="X784" s="0" t="s">
        <v>232</v>
      </c>
      <c r="Y784" s="0" t="s">
        <v>308</v>
      </c>
      <c r="Z784" s="0" t="s">
        <v>3310</v>
      </c>
      <c r="AA784" s="0" t="s">
        <v>235</v>
      </c>
      <c r="AB784" s="32" t="n">
        <v>3800</v>
      </c>
      <c r="AC784" s="32" t="n">
        <v>3900</v>
      </c>
      <c r="AD784" s="26" t="n">
        <f aca="false">IFERROR(AB784/B784,"")</f>
        <v>4.0948275862069</v>
      </c>
      <c r="AE784" s="26" t="n">
        <f aca="false">IFERROR(AC784/B784,"")</f>
        <v>4.20258620689655</v>
      </c>
      <c r="AF784" s="0" t="s">
        <v>236</v>
      </c>
      <c r="AG784" s="0" t="s">
        <v>236</v>
      </c>
      <c r="AH784" s="0" t="s">
        <v>230</v>
      </c>
      <c r="AI784" s="0" t="s">
        <v>1950</v>
      </c>
      <c r="AJ784" s="0" t="s">
        <v>3536</v>
      </c>
      <c r="AK784" s="0" t="s">
        <v>3537</v>
      </c>
      <c r="AL784" s="0" t="s">
        <v>3538</v>
      </c>
      <c r="AM784" s="0" t="s">
        <v>94</v>
      </c>
      <c r="AN784" s="26" t="n">
        <f aca="false">IFERROR(E784*(1+IF(AM784="Apartment",Data_Summary!$C$3,0)),"")</f>
        <v>4.0948275862069</v>
      </c>
      <c r="AO784" s="4" t="n">
        <v>46195</v>
      </c>
    </row>
    <row r="785" customFormat="false" ht="15" hidden="false" customHeight="false" outlineLevel="0" collapsed="false">
      <c r="A785" s="0" t="n">
        <f aca="false">IF(AND(ISNUMBER(B785),B785&gt;0,ISNUMBER(AB785),AB785&gt;0,J785&gt;=Data_Summary!$C$1),1,0)</f>
        <v>1</v>
      </c>
      <c r="B785" s="33" t="n">
        <v>898</v>
      </c>
      <c r="C785" s="5" t="n">
        <f aca="false">IF(ISNUMBER(AB785),AB785,"")</f>
        <v>3800</v>
      </c>
      <c r="D785" s="0" t="n">
        <f aca="false">IF(ISNUMBER(C785),C785-U785*Data_Summary!$C$2,"")</f>
        <v>3650</v>
      </c>
      <c r="E785" s="34" t="n">
        <f aca="false">IFERROR(C785/B785,"")</f>
        <v>4.23162583518931</v>
      </c>
      <c r="F785" s="26" t="n">
        <f aca="false">IFERROR(D785/B785,"")</f>
        <v>4.06458797327394</v>
      </c>
      <c r="G785" s="0" t="str">
        <f aca="false">Q785</f>
        <v>3</v>
      </c>
      <c r="H785" s="0" t="str">
        <f aca="false">IFERROR(LEFT(G785,1),"")</f>
        <v>3</v>
      </c>
      <c r="I785" s="0" t="n">
        <f aca="false">IF(LEN(G785)&gt;1,1,0)</f>
        <v>0</v>
      </c>
      <c r="J785" s="4" t="n">
        <v>45965</v>
      </c>
      <c r="K785" s="0" t="s">
        <v>14</v>
      </c>
      <c r="L785" s="0" t="s">
        <v>104</v>
      </c>
      <c r="M785" s="0" t="s">
        <v>226</v>
      </c>
      <c r="N785" s="0" t="s">
        <v>93</v>
      </c>
      <c r="O785" s="0" t="s">
        <v>1200</v>
      </c>
      <c r="Q785" s="0" t="s">
        <v>228</v>
      </c>
      <c r="R785" s="0" t="n">
        <v>2</v>
      </c>
      <c r="S785" s="5" t="n">
        <v>898</v>
      </c>
      <c r="T785" s="0" t="s">
        <v>229</v>
      </c>
      <c r="U785" s="0" t="n">
        <v>1</v>
      </c>
      <c r="V785" s="0" t="s">
        <v>230</v>
      </c>
      <c r="W785" s="0" t="s">
        <v>244</v>
      </c>
      <c r="X785" s="0" t="s">
        <v>232</v>
      </c>
      <c r="Y785" s="0" t="s">
        <v>297</v>
      </c>
      <c r="Z785" s="0" t="s">
        <v>3310</v>
      </c>
      <c r="AA785" s="0" t="s">
        <v>235</v>
      </c>
      <c r="AB785" s="32" t="n">
        <v>3800</v>
      </c>
      <c r="AC785" s="32" t="n">
        <v>3800</v>
      </c>
      <c r="AD785" s="26" t="n">
        <f aca="false">IFERROR(AB785/B785,"")</f>
        <v>4.23162583518931</v>
      </c>
      <c r="AE785" s="26" t="n">
        <f aca="false">IFERROR(AC785/B785,"")</f>
        <v>4.23162583518931</v>
      </c>
      <c r="AF785" s="0" t="s">
        <v>230</v>
      </c>
      <c r="AG785" s="0" t="s">
        <v>236</v>
      </c>
      <c r="AH785" s="0" t="s">
        <v>230</v>
      </c>
      <c r="AI785" s="0" t="s">
        <v>1970</v>
      </c>
      <c r="AJ785" s="0" t="s">
        <v>3539</v>
      </c>
      <c r="AK785" s="0" t="s">
        <v>3540</v>
      </c>
      <c r="AL785" s="0" t="s">
        <v>3541</v>
      </c>
      <c r="AM785" s="0" t="s">
        <v>94</v>
      </c>
      <c r="AN785" s="26" t="n">
        <f aca="false">IFERROR(E785*(1+IF(AM785="Apartment",Data_Summary!$C$3,0)),"")</f>
        <v>4.23162583518931</v>
      </c>
      <c r="AO785" s="4" t="n">
        <v>46195</v>
      </c>
    </row>
    <row r="786" customFormat="false" ht="15" hidden="false" customHeight="false" outlineLevel="0" collapsed="false">
      <c r="A786" s="0" t="n">
        <f aca="false">IF(AND(ISNUMBER(B786),B786&gt;0,ISNUMBER(AB786),AB786&gt;0,J786&gt;=Data_Summary!$C$1),1,0)</f>
        <v>1</v>
      </c>
      <c r="B786" s="30" t="n">
        <v>928</v>
      </c>
      <c r="C786" s="5" t="n">
        <f aca="false">IF(ISNUMBER(AB786),AB786,"")</f>
        <v>3700</v>
      </c>
      <c r="D786" s="0" t="n">
        <f aca="false">IF(ISNUMBER(C786),C786-U786*Data_Summary!$C$2,"")</f>
        <v>3550</v>
      </c>
      <c r="E786" s="31" t="n">
        <f aca="false">IFERROR(C786/B786,"")</f>
        <v>3.98706896551724</v>
      </c>
      <c r="F786" s="26" t="n">
        <f aca="false">IFERROR(D786/B786,"")</f>
        <v>3.82543103448276</v>
      </c>
      <c r="G786" s="0" t="str">
        <f aca="false">Q786</f>
        <v>3</v>
      </c>
      <c r="H786" s="0" t="str">
        <f aca="false">IFERROR(LEFT(G786,1),"")</f>
        <v>3</v>
      </c>
      <c r="I786" s="0" t="n">
        <f aca="false">IF(LEN(G786)&gt;1,1,0)</f>
        <v>0</v>
      </c>
      <c r="J786" s="4" t="n">
        <v>45964</v>
      </c>
      <c r="K786" s="0" t="s">
        <v>14</v>
      </c>
      <c r="L786" s="0" t="s">
        <v>104</v>
      </c>
      <c r="M786" s="0" t="s">
        <v>226</v>
      </c>
      <c r="N786" s="0" t="s">
        <v>93</v>
      </c>
      <c r="O786" s="0" t="s">
        <v>3542</v>
      </c>
      <c r="Q786" s="0" t="s">
        <v>228</v>
      </c>
      <c r="R786" s="0" t="n">
        <v>2</v>
      </c>
      <c r="S786" s="5" t="n">
        <v>928</v>
      </c>
      <c r="T786" s="0" t="s">
        <v>259</v>
      </c>
      <c r="U786" s="0" t="n">
        <v>1</v>
      </c>
      <c r="V786" s="0" t="s">
        <v>230</v>
      </c>
      <c r="W786" s="0" t="s">
        <v>231</v>
      </c>
      <c r="X786" s="0" t="s">
        <v>232</v>
      </c>
      <c r="Y786" s="0" t="s">
        <v>272</v>
      </c>
      <c r="Z786" s="0" t="s">
        <v>3310</v>
      </c>
      <c r="AA786" s="0" t="s">
        <v>235</v>
      </c>
      <c r="AB786" s="32" t="n">
        <v>3700</v>
      </c>
      <c r="AC786" s="32" t="n">
        <v>3700</v>
      </c>
      <c r="AD786" s="26" t="n">
        <f aca="false">IFERROR(AB786/B786,"")</f>
        <v>3.98706896551724</v>
      </c>
      <c r="AE786" s="26" t="n">
        <f aca="false">IFERROR(AC786/B786,"")</f>
        <v>3.98706896551724</v>
      </c>
      <c r="AF786" s="0" t="s">
        <v>236</v>
      </c>
      <c r="AG786" s="0" t="s">
        <v>236</v>
      </c>
      <c r="AH786" s="0" t="s">
        <v>230</v>
      </c>
      <c r="AI786" s="0" t="s">
        <v>808</v>
      </c>
      <c r="AJ786" s="0" t="s">
        <v>3543</v>
      </c>
      <c r="AK786" s="0" t="s">
        <v>3544</v>
      </c>
      <c r="AL786" s="0" t="s">
        <v>3545</v>
      </c>
      <c r="AM786" s="0" t="s">
        <v>94</v>
      </c>
      <c r="AN786" s="26" t="n">
        <f aca="false">IFERROR(E786*(1+IF(AM786="Apartment",Data_Summary!$C$3,0)),"")</f>
        <v>3.98706896551724</v>
      </c>
      <c r="AO786" s="4" t="n">
        <v>46195</v>
      </c>
    </row>
    <row r="787" customFormat="false" ht="15" hidden="false" customHeight="false" outlineLevel="0" collapsed="false">
      <c r="A787" s="0" t="n">
        <f aca="false">IF(AND(ISNUMBER(B787),B787&gt;0,ISNUMBER(AB787),AB787&gt;0,J787&gt;=Data_Summary!$C$1),1,0)</f>
        <v>1</v>
      </c>
      <c r="B787" s="30" t="n">
        <v>650</v>
      </c>
      <c r="C787" s="5" t="n">
        <f aca="false">IF(ISNUMBER(AB787),AB787,"")</f>
        <v>2600</v>
      </c>
      <c r="D787" s="0" t="n">
        <f aca="false">IF(ISNUMBER(C787),C787-U787*Data_Summary!$C$2,"")</f>
        <v>2450</v>
      </c>
      <c r="E787" s="31" t="n">
        <f aca="false">IFERROR(C787/B787,"")</f>
        <v>4</v>
      </c>
      <c r="F787" s="26" t="n">
        <f aca="false">IFERROR(D787/B787,"")</f>
        <v>3.76923076923077</v>
      </c>
      <c r="G787" s="0" t="str">
        <f aca="false">Q787</f>
        <v>1+1</v>
      </c>
      <c r="H787" s="0" t="str">
        <f aca="false">IFERROR(LEFT(G787,1),"")</f>
        <v>1</v>
      </c>
      <c r="I787" s="0" t="n">
        <f aca="false">IF(LEN(G787)&gt;1,1,0)</f>
        <v>1</v>
      </c>
      <c r="J787" s="4" t="n">
        <v>45951</v>
      </c>
      <c r="K787" s="0" t="s">
        <v>14</v>
      </c>
      <c r="L787" s="0" t="s">
        <v>104</v>
      </c>
      <c r="M787" s="0" t="s">
        <v>226</v>
      </c>
      <c r="N787" s="0" t="s">
        <v>93</v>
      </c>
      <c r="O787" s="0" t="s">
        <v>2078</v>
      </c>
      <c r="Q787" s="0" t="s">
        <v>270</v>
      </c>
      <c r="R787" s="0" t="n">
        <v>1</v>
      </c>
      <c r="S787" s="5" t="n">
        <v>650</v>
      </c>
      <c r="T787" s="0" t="s">
        <v>271</v>
      </c>
      <c r="U787" s="0" t="n">
        <v>1</v>
      </c>
      <c r="V787" s="0" t="s">
        <v>230</v>
      </c>
      <c r="W787" s="0" t="s">
        <v>244</v>
      </c>
      <c r="X787" s="0" t="s">
        <v>232</v>
      </c>
      <c r="Y787" s="0" t="s">
        <v>233</v>
      </c>
      <c r="Z787" s="0" t="s">
        <v>3310</v>
      </c>
      <c r="AA787" s="0" t="s">
        <v>235</v>
      </c>
      <c r="AB787" s="32" t="n">
        <v>2600</v>
      </c>
      <c r="AC787" s="32" t="n">
        <v>2550</v>
      </c>
      <c r="AD787" s="26" t="n">
        <f aca="false">IFERROR(AB787/B787,"")</f>
        <v>4</v>
      </c>
      <c r="AE787" s="26" t="n">
        <f aca="false">IFERROR(AC787/B787,"")</f>
        <v>3.92307692307692</v>
      </c>
      <c r="AF787" s="0" t="s">
        <v>236</v>
      </c>
      <c r="AG787" s="0" t="s">
        <v>236</v>
      </c>
      <c r="AH787" s="0" t="s">
        <v>230</v>
      </c>
      <c r="AI787" s="0" t="s">
        <v>833</v>
      </c>
      <c r="AJ787" s="0" t="s">
        <v>3546</v>
      </c>
      <c r="AK787" s="0" t="s">
        <v>3547</v>
      </c>
      <c r="AL787" s="0" t="s">
        <v>3548</v>
      </c>
      <c r="AM787" s="0" t="s">
        <v>94</v>
      </c>
      <c r="AN787" s="26" t="n">
        <f aca="false">IFERROR(E787*(1+IF(AM787="Apartment",Data_Summary!$C$3,0)),"")</f>
        <v>4</v>
      </c>
      <c r="AO787" s="4" t="n">
        <v>46195</v>
      </c>
    </row>
    <row r="788" customFormat="false" ht="15" hidden="false" customHeight="false" outlineLevel="0" collapsed="false">
      <c r="A788" s="0" t="n">
        <f aca="false">IF(AND(ISNUMBER(B788),B788&gt;0,ISNUMBER(AB788),AB788&gt;0,J788&gt;=Data_Summary!$C$1),1,0)</f>
        <v>1</v>
      </c>
      <c r="B788" s="30" t="n">
        <v>756</v>
      </c>
      <c r="C788" s="5" t="n">
        <f aca="false">IF(ISNUMBER(AB788),AB788,"")</f>
        <v>3250</v>
      </c>
      <c r="D788" s="0" t="n">
        <f aca="false">IF(ISNUMBER(C788),C788-U788*Data_Summary!$C$2,"")</f>
        <v>3100</v>
      </c>
      <c r="E788" s="31" t="n">
        <f aca="false">IFERROR(C788/B788,"")</f>
        <v>4.2989417989418</v>
      </c>
      <c r="F788" s="26" t="n">
        <f aca="false">IFERROR(D788/B788,"")</f>
        <v>4.1005291005291</v>
      </c>
      <c r="G788" s="0" t="str">
        <f aca="false">Q788</f>
        <v>2</v>
      </c>
      <c r="H788" s="0" t="str">
        <f aca="false">IFERROR(LEFT(G788,1),"")</f>
        <v>2</v>
      </c>
      <c r="I788" s="0" t="n">
        <f aca="false">IF(LEN(G788)&gt;1,1,0)</f>
        <v>0</v>
      </c>
      <c r="J788" s="4" t="n">
        <v>45950</v>
      </c>
      <c r="K788" s="0" t="s">
        <v>14</v>
      </c>
      <c r="L788" s="0" t="s">
        <v>104</v>
      </c>
      <c r="M788" s="0" t="s">
        <v>226</v>
      </c>
      <c r="N788" s="0" t="s">
        <v>93</v>
      </c>
      <c r="O788" s="0" t="s">
        <v>3549</v>
      </c>
      <c r="Q788" s="0" t="s">
        <v>251</v>
      </c>
      <c r="R788" s="0" t="n">
        <v>2</v>
      </c>
      <c r="S788" s="5" t="n">
        <v>756</v>
      </c>
      <c r="T788" s="0" t="s">
        <v>252</v>
      </c>
      <c r="U788" s="0" t="n">
        <v>1</v>
      </c>
      <c r="V788" s="0" t="s">
        <v>230</v>
      </c>
      <c r="W788" s="0" t="s">
        <v>231</v>
      </c>
      <c r="X788" s="0" t="s">
        <v>232</v>
      </c>
      <c r="Y788" s="0" t="s">
        <v>297</v>
      </c>
      <c r="Z788" s="0" t="s">
        <v>3310</v>
      </c>
      <c r="AA788" s="0" t="s">
        <v>235</v>
      </c>
      <c r="AB788" s="32" t="n">
        <v>3250</v>
      </c>
      <c r="AC788" s="32" t="n">
        <v>3250</v>
      </c>
      <c r="AD788" s="26" t="n">
        <f aca="false">IFERROR(AB788/B788,"")</f>
        <v>4.2989417989418</v>
      </c>
      <c r="AE788" s="26" t="n">
        <f aca="false">IFERROR(AC788/B788,"")</f>
        <v>4.2989417989418</v>
      </c>
      <c r="AF788" s="0" t="s">
        <v>236</v>
      </c>
      <c r="AG788" s="0" t="s">
        <v>236</v>
      </c>
      <c r="AH788" s="0" t="s">
        <v>230</v>
      </c>
      <c r="AI788" s="0" t="s">
        <v>3550</v>
      </c>
      <c r="AJ788" s="0" t="s">
        <v>3551</v>
      </c>
      <c r="AK788" s="0" t="s">
        <v>3552</v>
      </c>
      <c r="AL788" s="0" t="s">
        <v>3553</v>
      </c>
      <c r="AM788" s="0" t="s">
        <v>94</v>
      </c>
      <c r="AN788" s="26" t="n">
        <f aca="false">IFERROR(E788*(1+IF(AM788="Apartment",Data_Summary!$C$3,0)),"")</f>
        <v>4.2989417989418</v>
      </c>
      <c r="AO788" s="4" t="n">
        <v>46195</v>
      </c>
    </row>
    <row r="789" customFormat="false" ht="15" hidden="false" customHeight="false" outlineLevel="0" collapsed="false">
      <c r="A789" s="0" t="n">
        <f aca="false">IF(AND(ISNUMBER(B789),B789&gt;0,ISNUMBER(AB789),AB789&gt;0,J789&gt;=Data_Summary!$C$1),1,0)</f>
        <v>1</v>
      </c>
      <c r="B789" s="30" t="n">
        <v>520</v>
      </c>
      <c r="C789" s="5" t="n">
        <f aca="false">IF(ISNUMBER(AB789),AB789,"")</f>
        <v>2400</v>
      </c>
      <c r="D789" s="0" t="n">
        <f aca="false">IF(ISNUMBER(C789),C789-U789*Data_Summary!$C$2,"")</f>
        <v>2400</v>
      </c>
      <c r="E789" s="31" t="n">
        <f aca="false">IFERROR(C789/B789,"")</f>
        <v>4.61538461538462</v>
      </c>
      <c r="F789" s="26" t="n">
        <f aca="false">IFERROR(D789/B789,"")</f>
        <v>4.61538461538462</v>
      </c>
      <c r="G789" s="0" t="str">
        <f aca="false">Q789</f>
        <v>1</v>
      </c>
      <c r="H789" s="0" t="str">
        <f aca="false">IFERROR(LEFT(G789,1),"")</f>
        <v>1</v>
      </c>
      <c r="I789" s="0" t="n">
        <f aca="false">IF(LEN(G789)&gt;1,1,0)</f>
        <v>0</v>
      </c>
      <c r="J789" s="4" t="n">
        <v>45948</v>
      </c>
      <c r="K789" s="0" t="s">
        <v>14</v>
      </c>
      <c r="L789" s="0" t="s">
        <v>104</v>
      </c>
      <c r="M789" s="0" t="s">
        <v>226</v>
      </c>
      <c r="N789" s="0" t="s">
        <v>93</v>
      </c>
      <c r="O789" s="0" t="s">
        <v>3554</v>
      </c>
      <c r="Q789" s="0" t="s">
        <v>242</v>
      </c>
      <c r="R789" s="0" t="n">
        <v>1</v>
      </c>
      <c r="S789" s="5" t="n">
        <v>520</v>
      </c>
      <c r="T789" s="0" t="s">
        <v>243</v>
      </c>
      <c r="U789" s="0" t="n">
        <v>0</v>
      </c>
      <c r="V789" s="0" t="s">
        <v>230</v>
      </c>
      <c r="W789" s="0" t="s">
        <v>244</v>
      </c>
      <c r="X789" s="0" t="s">
        <v>232</v>
      </c>
      <c r="Y789" s="0" t="s">
        <v>253</v>
      </c>
      <c r="Z789" s="0" t="s">
        <v>3310</v>
      </c>
      <c r="AA789" s="0" t="s">
        <v>235</v>
      </c>
      <c r="AB789" s="32" t="n">
        <v>2400</v>
      </c>
      <c r="AC789" s="32" t="n">
        <v>2400</v>
      </c>
      <c r="AD789" s="26" t="n">
        <f aca="false">IFERROR(AB789/B789,"")</f>
        <v>4.61538461538462</v>
      </c>
      <c r="AE789" s="26" t="n">
        <f aca="false">IFERROR(AC789/B789,"")</f>
        <v>4.61538461538462</v>
      </c>
      <c r="AF789" s="0" t="s">
        <v>236</v>
      </c>
      <c r="AG789" s="0" t="s">
        <v>236</v>
      </c>
      <c r="AH789" s="0" t="s">
        <v>230</v>
      </c>
      <c r="AI789" s="0" t="s">
        <v>3555</v>
      </c>
      <c r="AJ789" s="0" t="s">
        <v>3556</v>
      </c>
      <c r="AK789" s="0" t="s">
        <v>3557</v>
      </c>
      <c r="AL789" s="0" t="s">
        <v>3558</v>
      </c>
      <c r="AM789" s="0" t="s">
        <v>94</v>
      </c>
      <c r="AN789" s="26" t="n">
        <f aca="false">IFERROR(E789*(1+IF(AM789="Apartment",Data_Summary!$C$3,0)),"")</f>
        <v>4.61538461538462</v>
      </c>
      <c r="AO789" s="4" t="n">
        <v>46195</v>
      </c>
    </row>
    <row r="790" customFormat="false" ht="15" hidden="false" customHeight="false" outlineLevel="0" collapsed="false">
      <c r="A790" s="0" t="n">
        <f aca="false">IF(AND(ISNUMBER(B790),B790&gt;0,ISNUMBER(AB790),AB790&gt;0,J790&gt;=Data_Summary!$C$1),1,0)</f>
        <v>1</v>
      </c>
      <c r="B790" s="33" t="n">
        <v>802</v>
      </c>
      <c r="C790" s="5" t="n">
        <f aca="false">IF(ISNUMBER(AB790),AB790,"")</f>
        <v>3600</v>
      </c>
      <c r="D790" s="0" t="n">
        <f aca="false">IF(ISNUMBER(C790),C790-U790*Data_Summary!$C$2,"")</f>
        <v>3450</v>
      </c>
      <c r="E790" s="34" t="n">
        <f aca="false">IFERROR(C790/B790,"")</f>
        <v>4.48877805486284</v>
      </c>
      <c r="F790" s="26" t="n">
        <f aca="false">IFERROR(D790/B790,"")</f>
        <v>4.30174563591022</v>
      </c>
      <c r="G790" s="0" t="str">
        <f aca="false">Q790</f>
        <v>2</v>
      </c>
      <c r="H790" s="0" t="str">
        <f aca="false">IFERROR(LEFT(G790,1),"")</f>
        <v>2</v>
      </c>
      <c r="I790" s="0" t="n">
        <f aca="false">IF(LEN(G790)&gt;1,1,0)</f>
        <v>0</v>
      </c>
      <c r="J790" s="4" t="n">
        <v>45947</v>
      </c>
      <c r="K790" s="0" t="s">
        <v>14</v>
      </c>
      <c r="L790" s="0" t="s">
        <v>104</v>
      </c>
      <c r="M790" s="0" t="s">
        <v>226</v>
      </c>
      <c r="N790" s="0" t="s">
        <v>93</v>
      </c>
      <c r="O790" s="0" t="s">
        <v>1431</v>
      </c>
      <c r="Q790" s="0" t="s">
        <v>251</v>
      </c>
      <c r="R790" s="0" t="n">
        <v>2</v>
      </c>
      <c r="S790" s="5" t="n">
        <v>802</v>
      </c>
      <c r="T790" s="0" t="s">
        <v>229</v>
      </c>
      <c r="U790" s="0" t="n">
        <v>1</v>
      </c>
      <c r="V790" s="0" t="s">
        <v>230</v>
      </c>
      <c r="W790" s="0" t="s">
        <v>244</v>
      </c>
      <c r="X790" s="0" t="s">
        <v>232</v>
      </c>
      <c r="Y790" s="0" t="s">
        <v>308</v>
      </c>
      <c r="Z790" s="0" t="s">
        <v>3310</v>
      </c>
      <c r="AA790" s="0" t="s">
        <v>235</v>
      </c>
      <c r="AB790" s="32" t="n">
        <v>3600</v>
      </c>
      <c r="AC790" s="32" t="n">
        <v>3400</v>
      </c>
      <c r="AD790" s="26" t="n">
        <f aca="false">IFERROR(AB790/B790,"")</f>
        <v>4.48877805486284</v>
      </c>
      <c r="AE790" s="26" t="n">
        <f aca="false">IFERROR(AC790/B790,"")</f>
        <v>4.23940149625935</v>
      </c>
      <c r="AF790" s="0" t="s">
        <v>421</v>
      </c>
      <c r="AG790" s="0" t="s">
        <v>236</v>
      </c>
      <c r="AH790" s="0" t="s">
        <v>236</v>
      </c>
      <c r="AI790" s="0" t="s">
        <v>2916</v>
      </c>
      <c r="AJ790" s="0" t="s">
        <v>3559</v>
      </c>
      <c r="AK790" s="0" t="s">
        <v>3560</v>
      </c>
      <c r="AL790" s="0" t="s">
        <v>3561</v>
      </c>
      <c r="AM790" s="0" t="s">
        <v>94</v>
      </c>
      <c r="AN790" s="26" t="n">
        <f aca="false">IFERROR(E790*(1+IF(AM790="Apartment",Data_Summary!$C$3,0)),"")</f>
        <v>4.48877805486284</v>
      </c>
      <c r="AO790" s="4" t="n">
        <v>46195</v>
      </c>
    </row>
    <row r="791" customFormat="false" ht="15" hidden="false" customHeight="false" outlineLevel="0" collapsed="false">
      <c r="A791" s="0" t="n">
        <f aca="false">IF(AND(ISNUMBER(B791),B791&gt;0,ISNUMBER(AB791),AB791&gt;0,J791&gt;=Data_Summary!$C$1),1,0)</f>
        <v>1</v>
      </c>
      <c r="B791" s="30" t="n">
        <v>505</v>
      </c>
      <c r="C791" s="5" t="n">
        <f aca="false">IF(ISNUMBER(AB791),AB791,"")</f>
        <v>2350</v>
      </c>
      <c r="D791" s="0" t="n">
        <f aca="false">IF(ISNUMBER(C791),C791-U791*Data_Summary!$C$2,"")</f>
        <v>2350</v>
      </c>
      <c r="E791" s="31" t="n">
        <f aca="false">IFERROR(C791/B791,"")</f>
        <v>4.65346534653465</v>
      </c>
      <c r="F791" s="26" t="n">
        <f aca="false">IFERROR(D791/B791,"")</f>
        <v>4.65346534653465</v>
      </c>
      <c r="G791" s="0" t="str">
        <f aca="false">Q791</f>
        <v>1</v>
      </c>
      <c r="H791" s="0" t="str">
        <f aca="false">IFERROR(LEFT(G791,1),"")</f>
        <v>1</v>
      </c>
      <c r="I791" s="0" t="n">
        <f aca="false">IF(LEN(G791)&gt;1,1,0)</f>
        <v>0</v>
      </c>
      <c r="J791" s="4" t="n">
        <v>45946</v>
      </c>
      <c r="K791" s="0" t="s">
        <v>14</v>
      </c>
      <c r="L791" s="0" t="s">
        <v>104</v>
      </c>
      <c r="M791" s="0" t="s">
        <v>226</v>
      </c>
      <c r="N791" s="0" t="s">
        <v>93</v>
      </c>
      <c r="O791" s="0" t="s">
        <v>3562</v>
      </c>
      <c r="Q791" s="0" t="s">
        <v>242</v>
      </c>
      <c r="R791" s="0" t="n">
        <v>1</v>
      </c>
      <c r="S791" s="5" t="n">
        <v>505</v>
      </c>
      <c r="T791" s="0" t="s">
        <v>243</v>
      </c>
      <c r="U791" s="0" t="n">
        <v>0</v>
      </c>
      <c r="V791" s="0" t="s">
        <v>230</v>
      </c>
      <c r="W791" s="0" t="s">
        <v>244</v>
      </c>
      <c r="X791" s="0" t="s">
        <v>232</v>
      </c>
      <c r="Y791" s="0" t="s">
        <v>253</v>
      </c>
      <c r="Z791" s="0" t="s">
        <v>3310</v>
      </c>
      <c r="AA791" s="0" t="s">
        <v>235</v>
      </c>
      <c r="AB791" s="32" t="n">
        <v>2350</v>
      </c>
      <c r="AC791" s="32" t="n">
        <v>2300</v>
      </c>
      <c r="AD791" s="26" t="n">
        <f aca="false">IFERROR(AB791/B791,"")</f>
        <v>4.65346534653465</v>
      </c>
      <c r="AE791" s="26" t="n">
        <f aca="false">IFERROR(AC791/B791,"")</f>
        <v>4.55445544554455</v>
      </c>
      <c r="AF791" s="0" t="s">
        <v>236</v>
      </c>
      <c r="AG791" s="0" t="s">
        <v>236</v>
      </c>
      <c r="AH791" s="0" t="s">
        <v>230</v>
      </c>
      <c r="AI791" s="0" t="s">
        <v>1978</v>
      </c>
      <c r="AJ791" s="0" t="s">
        <v>3563</v>
      </c>
      <c r="AK791" s="0" t="s">
        <v>3564</v>
      </c>
      <c r="AL791" s="0" t="s">
        <v>3565</v>
      </c>
      <c r="AM791" s="0" t="s">
        <v>94</v>
      </c>
      <c r="AN791" s="26" t="n">
        <f aca="false">IFERROR(E791*(1+IF(AM791="Apartment",Data_Summary!$C$3,0)),"")</f>
        <v>4.65346534653465</v>
      </c>
      <c r="AO791" s="4" t="n">
        <v>46195</v>
      </c>
    </row>
    <row r="792" customFormat="false" ht="15" hidden="false" customHeight="false" outlineLevel="0" collapsed="false">
      <c r="A792" s="0" t="n">
        <f aca="false">IF(AND(ISNUMBER(B792),B792&gt;0,ISNUMBER(AB792),AB792&gt;0,J792&gt;=Data_Summary!$C$1),1,0)</f>
        <v>1</v>
      </c>
      <c r="B792" s="30" t="n">
        <v>520</v>
      </c>
      <c r="C792" s="5" t="n">
        <f aca="false">IF(ISNUMBER(AB792),AB792,"")</f>
        <v>2300</v>
      </c>
      <c r="D792" s="0" t="n">
        <f aca="false">IF(ISNUMBER(C792),C792-U792*Data_Summary!$C$2,"")</f>
        <v>2300</v>
      </c>
      <c r="E792" s="31" t="n">
        <f aca="false">IFERROR(C792/B792,"")</f>
        <v>4.42307692307692</v>
      </c>
      <c r="F792" s="26" t="n">
        <f aca="false">IFERROR(D792/B792,"")</f>
        <v>4.42307692307692</v>
      </c>
      <c r="G792" s="0" t="str">
        <f aca="false">Q792</f>
        <v>1</v>
      </c>
      <c r="H792" s="0" t="str">
        <f aca="false">IFERROR(LEFT(G792,1),"")</f>
        <v>1</v>
      </c>
      <c r="I792" s="0" t="n">
        <f aca="false">IF(LEN(G792)&gt;1,1,0)</f>
        <v>0</v>
      </c>
      <c r="J792" s="4" t="n">
        <v>45939</v>
      </c>
      <c r="K792" s="0" t="s">
        <v>14</v>
      </c>
      <c r="L792" s="0" t="s">
        <v>104</v>
      </c>
      <c r="M792" s="0" t="s">
        <v>226</v>
      </c>
      <c r="N792" s="0" t="s">
        <v>93</v>
      </c>
      <c r="O792" s="0" t="s">
        <v>2519</v>
      </c>
      <c r="Q792" s="0" t="s">
        <v>242</v>
      </c>
      <c r="R792" s="0" t="n">
        <v>1</v>
      </c>
      <c r="S792" s="5" t="n">
        <v>520</v>
      </c>
      <c r="T792" s="0" t="s">
        <v>243</v>
      </c>
      <c r="U792" s="0" t="n">
        <v>0</v>
      </c>
      <c r="V792" s="0" t="s">
        <v>230</v>
      </c>
      <c r="W792" s="0" t="s">
        <v>244</v>
      </c>
      <c r="X792" s="0" t="s">
        <v>232</v>
      </c>
      <c r="Y792" s="0" t="s">
        <v>253</v>
      </c>
      <c r="Z792" s="0" t="s">
        <v>3310</v>
      </c>
      <c r="AA792" s="0" t="s">
        <v>235</v>
      </c>
      <c r="AB792" s="32" t="n">
        <v>2300</v>
      </c>
      <c r="AC792" s="32" t="n">
        <v>2300</v>
      </c>
      <c r="AD792" s="26" t="n">
        <f aca="false">IFERROR(AB792/B792,"")</f>
        <v>4.42307692307692</v>
      </c>
      <c r="AE792" s="26" t="n">
        <f aca="false">IFERROR(AC792/B792,"")</f>
        <v>4.42307692307692</v>
      </c>
      <c r="AF792" s="0" t="s">
        <v>236</v>
      </c>
      <c r="AG792" s="0" t="s">
        <v>236</v>
      </c>
      <c r="AH792" s="0" t="s">
        <v>230</v>
      </c>
      <c r="AI792" s="0" t="s">
        <v>1991</v>
      </c>
      <c r="AJ792" s="0" t="s">
        <v>3566</v>
      </c>
      <c r="AK792" s="0" t="s">
        <v>3567</v>
      </c>
      <c r="AL792" s="0" t="s">
        <v>3568</v>
      </c>
      <c r="AM792" s="0" t="s">
        <v>94</v>
      </c>
      <c r="AN792" s="26" t="n">
        <f aca="false">IFERROR(E792*(1+IF(AM792="Apartment",Data_Summary!$C$3,0)),"")</f>
        <v>4.42307692307692</v>
      </c>
      <c r="AO792" s="4" t="n">
        <v>46195</v>
      </c>
    </row>
    <row r="793" customFormat="false" ht="15" hidden="false" customHeight="false" outlineLevel="0" collapsed="false">
      <c r="A793" s="0" t="n">
        <f aca="false">IF(AND(ISNUMBER(B793),B793&gt;0,ISNUMBER(AB793),AB793&gt;0,J793&gt;=Data_Summary!$C$1),1,0)</f>
        <v>1</v>
      </c>
      <c r="B793" s="30" t="n">
        <v>575</v>
      </c>
      <c r="C793" s="5" t="n">
        <f aca="false">IF(ISNUMBER(AB793),AB793,"")</f>
        <v>2700</v>
      </c>
      <c r="D793" s="0" t="n">
        <f aca="false">IF(ISNUMBER(C793),C793-U793*Data_Summary!$C$2,"")</f>
        <v>2550</v>
      </c>
      <c r="E793" s="31" t="n">
        <f aca="false">IFERROR(C793/B793,"")</f>
        <v>4.69565217391304</v>
      </c>
      <c r="F793" s="26" t="n">
        <f aca="false">IFERROR(D793/B793,"")</f>
        <v>4.43478260869565</v>
      </c>
      <c r="G793" s="0" t="str">
        <f aca="false">Q793</f>
        <v>1+1</v>
      </c>
      <c r="H793" s="0" t="str">
        <f aca="false">IFERROR(LEFT(G793,1),"")</f>
        <v>1</v>
      </c>
      <c r="I793" s="0" t="n">
        <f aca="false">IF(LEN(G793)&gt;1,1,0)</f>
        <v>1</v>
      </c>
      <c r="J793" s="4" t="n">
        <v>45936</v>
      </c>
      <c r="K793" s="0" t="s">
        <v>14</v>
      </c>
      <c r="L793" s="0" t="s">
        <v>104</v>
      </c>
      <c r="M793" s="0" t="s">
        <v>226</v>
      </c>
      <c r="N793" s="0" t="s">
        <v>93</v>
      </c>
      <c r="O793" s="0" t="s">
        <v>3569</v>
      </c>
      <c r="Q793" s="0" t="s">
        <v>270</v>
      </c>
      <c r="R793" s="0" t="n">
        <v>1</v>
      </c>
      <c r="S793" s="5" t="n">
        <v>575</v>
      </c>
      <c r="T793" s="0" t="s">
        <v>243</v>
      </c>
      <c r="U793" s="0" t="n">
        <v>1</v>
      </c>
      <c r="V793" s="0" t="s">
        <v>230</v>
      </c>
      <c r="W793" s="0" t="s">
        <v>231</v>
      </c>
      <c r="X793" s="0" t="s">
        <v>232</v>
      </c>
      <c r="Y793" s="0" t="s">
        <v>272</v>
      </c>
      <c r="Z793" s="0" t="s">
        <v>3310</v>
      </c>
      <c r="AA793" s="0" t="s">
        <v>235</v>
      </c>
      <c r="AB793" s="32" t="n">
        <v>2700</v>
      </c>
      <c r="AC793" s="32" t="n">
        <v>2650</v>
      </c>
      <c r="AD793" s="26" t="n">
        <f aca="false">IFERROR(AB793/B793,"")</f>
        <v>4.69565217391304</v>
      </c>
      <c r="AE793" s="26" t="n">
        <f aca="false">IFERROR(AC793/B793,"")</f>
        <v>4.60869565217391</v>
      </c>
      <c r="AF793" s="0" t="s">
        <v>236</v>
      </c>
      <c r="AG793" s="0" t="s">
        <v>236</v>
      </c>
      <c r="AH793" s="0" t="s">
        <v>230</v>
      </c>
      <c r="AI793" s="0" t="s">
        <v>1996</v>
      </c>
      <c r="AJ793" s="0" t="s">
        <v>3570</v>
      </c>
      <c r="AK793" s="0" t="s">
        <v>3571</v>
      </c>
      <c r="AL793" s="0" t="s">
        <v>3572</v>
      </c>
      <c r="AM793" s="0" t="s">
        <v>94</v>
      </c>
      <c r="AN793" s="26" t="n">
        <f aca="false">IFERROR(E793*(1+IF(AM793="Apartment",Data_Summary!$C$3,0)),"")</f>
        <v>4.69565217391304</v>
      </c>
      <c r="AO793" s="4" t="n">
        <v>46195</v>
      </c>
    </row>
    <row r="794" customFormat="false" ht="15" hidden="false" customHeight="false" outlineLevel="0" collapsed="false">
      <c r="A794" s="0" t="n">
        <f aca="false">IF(AND(ISNUMBER(B794),B794&gt;0,ISNUMBER(AB794),AB794&gt;0,J794&gt;=Data_Summary!$C$1),1,0)</f>
        <v>1</v>
      </c>
      <c r="B794" s="30" t="n">
        <v>535</v>
      </c>
      <c r="C794" s="5" t="n">
        <f aca="false">IF(ISNUMBER(AB794),AB794,"")</f>
        <v>2300</v>
      </c>
      <c r="D794" s="0" t="n">
        <f aca="false">IF(ISNUMBER(C794),C794-U794*Data_Summary!$C$2,"")</f>
        <v>2300</v>
      </c>
      <c r="E794" s="31" t="n">
        <f aca="false">IFERROR(C794/B794,"")</f>
        <v>4.29906542056075</v>
      </c>
      <c r="F794" s="26" t="n">
        <f aca="false">IFERROR(D794/B794,"")</f>
        <v>4.29906542056075</v>
      </c>
      <c r="G794" s="0" t="str">
        <f aca="false">Q794</f>
        <v>1</v>
      </c>
      <c r="H794" s="0" t="str">
        <f aca="false">IFERROR(LEFT(G794,1),"")</f>
        <v>1</v>
      </c>
      <c r="I794" s="0" t="n">
        <f aca="false">IF(LEN(G794)&gt;1,1,0)</f>
        <v>0</v>
      </c>
      <c r="J794" s="4" t="n">
        <v>45930</v>
      </c>
      <c r="K794" s="0" t="s">
        <v>14</v>
      </c>
      <c r="L794" s="0" t="s">
        <v>104</v>
      </c>
      <c r="M794" s="0" t="s">
        <v>226</v>
      </c>
      <c r="N794" s="0" t="s">
        <v>93</v>
      </c>
      <c r="O794" s="0" t="s">
        <v>3573</v>
      </c>
      <c r="Q794" s="0" t="s">
        <v>242</v>
      </c>
      <c r="R794" s="0" t="n">
        <v>1</v>
      </c>
      <c r="S794" s="5" t="n">
        <v>535</v>
      </c>
      <c r="T794" s="0" t="s">
        <v>243</v>
      </c>
      <c r="U794" s="0" t="n">
        <v>0</v>
      </c>
      <c r="V794" s="0" t="s">
        <v>230</v>
      </c>
      <c r="W794" s="0" t="s">
        <v>244</v>
      </c>
      <c r="X794" s="0" t="s">
        <v>232</v>
      </c>
      <c r="Y794" s="0" t="s">
        <v>245</v>
      </c>
      <c r="Z794" s="0" t="s">
        <v>3310</v>
      </c>
      <c r="AA794" s="0" t="s">
        <v>235</v>
      </c>
      <c r="AB794" s="32" t="n">
        <v>2300</v>
      </c>
      <c r="AC794" s="32" t="n">
        <v>2300</v>
      </c>
      <c r="AD794" s="26" t="n">
        <f aca="false">IFERROR(AB794/B794,"")</f>
        <v>4.29906542056075</v>
      </c>
      <c r="AE794" s="26" t="n">
        <f aca="false">IFERROR(AC794/B794,"")</f>
        <v>4.29906542056075</v>
      </c>
      <c r="AF794" s="0" t="s">
        <v>236</v>
      </c>
      <c r="AG794" s="0" t="s">
        <v>236</v>
      </c>
      <c r="AH794" s="0" t="s">
        <v>230</v>
      </c>
      <c r="AI794" s="0" t="s">
        <v>3574</v>
      </c>
      <c r="AJ794" s="0" t="s">
        <v>3575</v>
      </c>
      <c r="AK794" s="0" t="s">
        <v>3576</v>
      </c>
      <c r="AL794" s="0" t="s">
        <v>3577</v>
      </c>
      <c r="AM794" s="0" t="s">
        <v>94</v>
      </c>
      <c r="AN794" s="26" t="n">
        <f aca="false">IFERROR(E794*(1+IF(AM794="Apartment",Data_Summary!$C$3,0)),"")</f>
        <v>4.29906542056075</v>
      </c>
      <c r="AO794" s="4" t="n">
        <v>46195</v>
      </c>
    </row>
    <row r="795" customFormat="false" ht="15" hidden="false" customHeight="false" outlineLevel="0" collapsed="false">
      <c r="A795" s="0" t="n">
        <f aca="false">IF(AND(ISNUMBER(B795),B795&gt;0,ISNUMBER(AB795),AB795&gt;0,J795&gt;=Data_Summary!$C$1),1,0)</f>
        <v>1</v>
      </c>
      <c r="B795" s="30" t="n">
        <v>705</v>
      </c>
      <c r="C795" s="5" t="n">
        <f aca="false">IF(ISNUMBER(AB795),AB795,"")</f>
        <v>3000</v>
      </c>
      <c r="D795" s="0" t="n">
        <f aca="false">IF(ISNUMBER(C795),C795-U795*Data_Summary!$C$2,"")</f>
        <v>3000</v>
      </c>
      <c r="E795" s="31" t="n">
        <f aca="false">IFERROR(C795/B795,"")</f>
        <v>4.25531914893617</v>
      </c>
      <c r="F795" s="26" t="n">
        <f aca="false">IFERROR(D795/B795,"")</f>
        <v>4.25531914893617</v>
      </c>
      <c r="G795" s="0" t="str">
        <f aca="false">Q795</f>
        <v>2+1</v>
      </c>
      <c r="H795" s="0" t="str">
        <f aca="false">IFERROR(LEFT(G795,1),"")</f>
        <v>2</v>
      </c>
      <c r="I795" s="0" t="n">
        <f aca="false">IF(LEN(G795)&gt;1,1,0)</f>
        <v>1</v>
      </c>
      <c r="J795" s="4" t="n">
        <v>45928</v>
      </c>
      <c r="K795" s="0" t="s">
        <v>14</v>
      </c>
      <c r="L795" s="0" t="s">
        <v>104</v>
      </c>
      <c r="M795" s="0" t="s">
        <v>226</v>
      </c>
      <c r="N795" s="0" t="s">
        <v>93</v>
      </c>
      <c r="O795" s="0" t="s">
        <v>3578</v>
      </c>
      <c r="Q795" s="0" t="s">
        <v>451</v>
      </c>
      <c r="R795" s="0" t="n">
        <v>1</v>
      </c>
      <c r="S795" s="5" t="n">
        <v>705</v>
      </c>
      <c r="T795" s="0" t="s">
        <v>252</v>
      </c>
      <c r="U795" s="0" t="n">
        <v>0</v>
      </c>
      <c r="V795" s="0" t="s">
        <v>230</v>
      </c>
      <c r="W795" s="0" t="s">
        <v>244</v>
      </c>
      <c r="X795" s="0" t="s">
        <v>232</v>
      </c>
      <c r="Y795" s="0" t="s">
        <v>233</v>
      </c>
      <c r="Z795" s="0" t="s">
        <v>3310</v>
      </c>
      <c r="AA795" s="0" t="s">
        <v>235</v>
      </c>
      <c r="AB795" s="32" t="n">
        <v>3000</v>
      </c>
      <c r="AC795" s="32" t="n">
        <v>3000</v>
      </c>
      <c r="AD795" s="26" t="n">
        <f aca="false">IFERROR(AB795/B795,"")</f>
        <v>4.25531914893617</v>
      </c>
      <c r="AE795" s="26" t="n">
        <f aca="false">IFERROR(AC795/B795,"")</f>
        <v>4.25531914893617</v>
      </c>
      <c r="AF795" s="0" t="s">
        <v>236</v>
      </c>
      <c r="AG795" s="0" t="s">
        <v>236</v>
      </c>
      <c r="AH795" s="0" t="s">
        <v>230</v>
      </c>
      <c r="AI795" s="0" t="s">
        <v>3579</v>
      </c>
      <c r="AJ795" s="0" t="s">
        <v>3580</v>
      </c>
      <c r="AK795" s="0" t="s">
        <v>3581</v>
      </c>
      <c r="AL795" s="0" t="s">
        <v>3582</v>
      </c>
      <c r="AM795" s="0" t="s">
        <v>94</v>
      </c>
      <c r="AN795" s="26" t="n">
        <f aca="false">IFERROR(E795*(1+IF(AM795="Apartment",Data_Summary!$C$3,0)),"")</f>
        <v>4.25531914893617</v>
      </c>
      <c r="AO795" s="4" t="n">
        <v>46195</v>
      </c>
    </row>
    <row r="796" customFormat="false" ht="15" hidden="false" customHeight="false" outlineLevel="0" collapsed="false">
      <c r="A796" s="0" t="n">
        <f aca="false">IF(AND(ISNUMBER(B796),B796&gt;0,ISNUMBER(AB796),AB796&gt;0,J796&gt;=Data_Summary!$C$1),1,0)</f>
        <v>1</v>
      </c>
      <c r="B796" s="30" t="n">
        <v>575</v>
      </c>
      <c r="C796" s="5" t="n">
        <f aca="false">IF(ISNUMBER(AB796),AB796,"")</f>
        <v>2700</v>
      </c>
      <c r="D796" s="0" t="n">
        <f aca="false">IF(ISNUMBER(C796),C796-U796*Data_Summary!$C$2,"")</f>
        <v>2550</v>
      </c>
      <c r="E796" s="31" t="n">
        <f aca="false">IFERROR(C796/B796,"")</f>
        <v>4.69565217391304</v>
      </c>
      <c r="F796" s="26" t="n">
        <f aca="false">IFERROR(D796/B796,"")</f>
        <v>4.43478260869565</v>
      </c>
      <c r="G796" s="0" t="str">
        <f aca="false">Q796</f>
        <v>1+1</v>
      </c>
      <c r="H796" s="0" t="str">
        <f aca="false">IFERROR(LEFT(G796,1),"")</f>
        <v>1</v>
      </c>
      <c r="I796" s="0" t="n">
        <f aca="false">IF(LEN(G796)&gt;1,1,0)</f>
        <v>1</v>
      </c>
      <c r="J796" s="4" t="n">
        <v>45922</v>
      </c>
      <c r="K796" s="0" t="s">
        <v>14</v>
      </c>
      <c r="L796" s="0" t="s">
        <v>104</v>
      </c>
      <c r="M796" s="0" t="s">
        <v>226</v>
      </c>
      <c r="N796" s="0" t="s">
        <v>93</v>
      </c>
      <c r="O796" s="0" t="s">
        <v>3583</v>
      </c>
      <c r="Q796" s="0" t="s">
        <v>270</v>
      </c>
      <c r="R796" s="0" t="n">
        <v>1</v>
      </c>
      <c r="S796" s="5" t="n">
        <v>575</v>
      </c>
      <c r="T796" s="0" t="s">
        <v>243</v>
      </c>
      <c r="U796" s="0" t="n">
        <v>1</v>
      </c>
      <c r="V796" s="0" t="s">
        <v>230</v>
      </c>
      <c r="W796" s="0" t="s">
        <v>231</v>
      </c>
      <c r="X796" s="0" t="s">
        <v>232</v>
      </c>
      <c r="Y796" s="0" t="s">
        <v>272</v>
      </c>
      <c r="Z796" s="0" t="s">
        <v>3310</v>
      </c>
      <c r="AA796" s="0" t="s">
        <v>235</v>
      </c>
      <c r="AB796" s="32" t="n">
        <v>2700</v>
      </c>
      <c r="AC796" s="32" t="n">
        <v>2700</v>
      </c>
      <c r="AD796" s="26" t="n">
        <f aca="false">IFERROR(AB796/B796,"")</f>
        <v>4.69565217391304</v>
      </c>
      <c r="AE796" s="26" t="n">
        <f aca="false">IFERROR(AC796/B796,"")</f>
        <v>4.69565217391304</v>
      </c>
      <c r="AF796" s="0" t="s">
        <v>236</v>
      </c>
      <c r="AG796" s="0" t="s">
        <v>236</v>
      </c>
      <c r="AH796" s="0" t="s">
        <v>230</v>
      </c>
      <c r="AI796" s="0" t="s">
        <v>863</v>
      </c>
      <c r="AJ796" s="0" t="s">
        <v>3584</v>
      </c>
      <c r="AK796" s="0" t="s">
        <v>3585</v>
      </c>
      <c r="AL796" s="0" t="s">
        <v>3586</v>
      </c>
      <c r="AM796" s="0" t="s">
        <v>94</v>
      </c>
      <c r="AN796" s="26" t="n">
        <f aca="false">IFERROR(E796*(1+IF(AM796="Apartment",Data_Summary!$C$3,0)),"")</f>
        <v>4.69565217391304</v>
      </c>
      <c r="AO796" s="4" t="n">
        <v>46195</v>
      </c>
    </row>
    <row r="797" customFormat="false" ht="15" hidden="false" customHeight="false" outlineLevel="0" collapsed="false">
      <c r="A797" s="0" t="n">
        <f aca="false">IF(AND(ISNUMBER(B797),B797&gt;0,ISNUMBER(AB797),AB797&gt;0,J797&gt;=Data_Summary!$C$1),1,0)</f>
        <v>1</v>
      </c>
      <c r="B797" s="30" t="n">
        <v>505</v>
      </c>
      <c r="C797" s="5" t="n">
        <f aca="false">IF(ISNUMBER(AB797),AB797,"")</f>
        <v>2300</v>
      </c>
      <c r="D797" s="0" t="n">
        <f aca="false">IF(ISNUMBER(C797),C797-U797*Data_Summary!$C$2,"")</f>
        <v>2300</v>
      </c>
      <c r="E797" s="31" t="n">
        <f aca="false">IFERROR(C797/B797,"")</f>
        <v>4.55445544554455</v>
      </c>
      <c r="F797" s="26" t="n">
        <f aca="false">IFERROR(D797/B797,"")</f>
        <v>4.55445544554455</v>
      </c>
      <c r="G797" s="0" t="str">
        <f aca="false">Q797</f>
        <v>1</v>
      </c>
      <c r="H797" s="0" t="str">
        <f aca="false">IFERROR(LEFT(G797,1),"")</f>
        <v>1</v>
      </c>
      <c r="I797" s="0" t="n">
        <f aca="false">IF(LEN(G797)&gt;1,1,0)</f>
        <v>0</v>
      </c>
      <c r="J797" s="4" t="n">
        <v>45921</v>
      </c>
      <c r="K797" s="0" t="s">
        <v>14</v>
      </c>
      <c r="L797" s="0" t="s">
        <v>104</v>
      </c>
      <c r="M797" s="0" t="s">
        <v>226</v>
      </c>
      <c r="N797" s="0" t="s">
        <v>93</v>
      </c>
      <c r="O797" s="0" t="s">
        <v>3475</v>
      </c>
      <c r="Q797" s="0" t="s">
        <v>242</v>
      </c>
      <c r="R797" s="0" t="n">
        <v>1</v>
      </c>
      <c r="S797" s="5" t="n">
        <v>505</v>
      </c>
      <c r="T797" s="0" t="s">
        <v>243</v>
      </c>
      <c r="U797" s="0" t="n">
        <v>0</v>
      </c>
      <c r="V797" s="0" t="s">
        <v>230</v>
      </c>
      <c r="W797" s="0" t="s">
        <v>244</v>
      </c>
      <c r="X797" s="0" t="s">
        <v>232</v>
      </c>
      <c r="Y797" s="0" t="s">
        <v>253</v>
      </c>
      <c r="Z797" s="0" t="s">
        <v>3310</v>
      </c>
      <c r="AA797" s="0" t="s">
        <v>235</v>
      </c>
      <c r="AB797" s="32" t="n">
        <v>2300</v>
      </c>
      <c r="AC797" s="32" t="n">
        <v>2300</v>
      </c>
      <c r="AD797" s="26" t="n">
        <f aca="false">IFERROR(AB797/B797,"")</f>
        <v>4.55445544554455</v>
      </c>
      <c r="AE797" s="26" t="n">
        <f aca="false">IFERROR(AC797/B797,"")</f>
        <v>4.55445544554455</v>
      </c>
      <c r="AF797" s="0" t="s">
        <v>236</v>
      </c>
      <c r="AG797" s="0" t="s">
        <v>236</v>
      </c>
      <c r="AH797" s="0" t="s">
        <v>236</v>
      </c>
      <c r="AI797" s="0" t="s">
        <v>3587</v>
      </c>
      <c r="AJ797" s="0" t="s">
        <v>3588</v>
      </c>
      <c r="AK797" s="0" t="s">
        <v>3589</v>
      </c>
      <c r="AL797" s="0" t="s">
        <v>3590</v>
      </c>
      <c r="AM797" s="0" t="s">
        <v>94</v>
      </c>
      <c r="AN797" s="26" t="n">
        <f aca="false">IFERROR(E797*(1+IF(AM797="Apartment",Data_Summary!$C$3,0)),"")</f>
        <v>4.55445544554455</v>
      </c>
      <c r="AO797" s="4" t="n">
        <v>46195</v>
      </c>
    </row>
    <row r="798" customFormat="false" ht="15" hidden="false" customHeight="false" outlineLevel="0" collapsed="false">
      <c r="A798" s="0" t="n">
        <f aca="false">IF(AND(ISNUMBER(B798),B798&gt;0,ISNUMBER(AB798),AB798&gt;0,J798&gt;=Data_Summary!$C$1),1,0)</f>
        <v>1</v>
      </c>
      <c r="B798" s="30" t="n">
        <v>579</v>
      </c>
      <c r="C798" s="5" t="n">
        <f aca="false">IF(ISNUMBER(AB798),AB798,"")</f>
        <v>2600</v>
      </c>
      <c r="D798" s="0" t="n">
        <f aca="false">IF(ISNUMBER(C798),C798-U798*Data_Summary!$C$2,"")</f>
        <v>2450</v>
      </c>
      <c r="E798" s="31" t="n">
        <f aca="false">IFERROR(C798/B798,"")</f>
        <v>4.49050086355786</v>
      </c>
      <c r="F798" s="26" t="n">
        <f aca="false">IFERROR(D798/B798,"")</f>
        <v>4.23143350604491</v>
      </c>
      <c r="G798" s="0" t="str">
        <f aca="false">Q798</f>
        <v>1+1</v>
      </c>
      <c r="H798" s="0" t="str">
        <f aca="false">IFERROR(LEFT(G798,1),"")</f>
        <v>1</v>
      </c>
      <c r="I798" s="0" t="n">
        <f aca="false">IF(LEN(G798)&gt;1,1,0)</f>
        <v>1</v>
      </c>
      <c r="J798" s="4" t="n">
        <v>45919</v>
      </c>
      <c r="K798" s="0" t="s">
        <v>14</v>
      </c>
      <c r="L798" s="0" t="s">
        <v>104</v>
      </c>
      <c r="M798" s="0" t="s">
        <v>226</v>
      </c>
      <c r="N798" s="0" t="s">
        <v>93</v>
      </c>
      <c r="O798" s="0" t="s">
        <v>2054</v>
      </c>
      <c r="Q798" s="0" t="s">
        <v>270</v>
      </c>
      <c r="R798" s="0" t="n">
        <v>1</v>
      </c>
      <c r="S798" s="5" t="n">
        <v>579</v>
      </c>
      <c r="T798" s="0" t="s">
        <v>243</v>
      </c>
      <c r="U798" s="0" t="n">
        <v>1</v>
      </c>
      <c r="V798" s="0" t="s">
        <v>230</v>
      </c>
      <c r="W798" s="0" t="s">
        <v>231</v>
      </c>
      <c r="X798" s="0" t="s">
        <v>232</v>
      </c>
      <c r="Y798" s="0" t="s">
        <v>278</v>
      </c>
      <c r="Z798" s="0" t="s">
        <v>3310</v>
      </c>
      <c r="AA798" s="0" t="s">
        <v>235</v>
      </c>
      <c r="AB798" s="32" t="n">
        <v>2600</v>
      </c>
      <c r="AC798" s="32" t="n">
        <v>2700</v>
      </c>
      <c r="AD798" s="26" t="n">
        <f aca="false">IFERROR(AB798/B798,"")</f>
        <v>4.49050086355786</v>
      </c>
      <c r="AE798" s="26" t="n">
        <f aca="false">IFERROR(AC798/B798,"")</f>
        <v>4.66321243523316</v>
      </c>
      <c r="AF798" s="0" t="s">
        <v>236</v>
      </c>
      <c r="AG798" s="0" t="s">
        <v>236</v>
      </c>
      <c r="AH798" s="0" t="s">
        <v>230</v>
      </c>
      <c r="AI798" s="0" t="s">
        <v>3591</v>
      </c>
      <c r="AJ798" s="0" t="s">
        <v>3592</v>
      </c>
      <c r="AK798" s="0" t="s">
        <v>3593</v>
      </c>
      <c r="AL798" s="0" t="s">
        <v>3594</v>
      </c>
      <c r="AM798" s="0" t="s">
        <v>94</v>
      </c>
      <c r="AN798" s="26" t="n">
        <f aca="false">IFERROR(E798*(1+IF(AM798="Apartment",Data_Summary!$C$3,0)),"")</f>
        <v>4.49050086355786</v>
      </c>
      <c r="AO798" s="4" t="n">
        <v>46195</v>
      </c>
    </row>
    <row r="799" customFormat="false" ht="15" hidden="false" customHeight="false" outlineLevel="0" collapsed="false">
      <c r="A799" s="0" t="n">
        <f aca="false">IF(AND(ISNUMBER(B799),B799&gt;0,ISNUMBER(AB799),AB799&gt;0,J799&gt;=Data_Summary!$C$1),1,0)</f>
        <v>1</v>
      </c>
      <c r="B799" s="30" t="n">
        <v>535</v>
      </c>
      <c r="C799" s="5" t="n">
        <f aca="false">IF(ISNUMBER(AB799),AB799,"")</f>
        <v>2300</v>
      </c>
      <c r="D799" s="0" t="n">
        <f aca="false">IF(ISNUMBER(C799),C799-U799*Data_Summary!$C$2,"")</f>
        <v>2300</v>
      </c>
      <c r="E799" s="31" t="n">
        <f aca="false">IFERROR(C799/B799,"")</f>
        <v>4.29906542056075</v>
      </c>
      <c r="F799" s="26" t="n">
        <f aca="false">IFERROR(D799/B799,"")</f>
        <v>4.29906542056075</v>
      </c>
      <c r="G799" s="0" t="str">
        <f aca="false">Q799</f>
        <v>1</v>
      </c>
      <c r="H799" s="0" t="str">
        <f aca="false">IFERROR(LEFT(G799,1),"")</f>
        <v>1</v>
      </c>
      <c r="I799" s="0" t="n">
        <f aca="false">IF(LEN(G799)&gt;1,1,0)</f>
        <v>0</v>
      </c>
      <c r="J799" s="4" t="n">
        <v>45915</v>
      </c>
      <c r="K799" s="0" t="s">
        <v>14</v>
      </c>
      <c r="L799" s="0" t="s">
        <v>104</v>
      </c>
      <c r="M799" s="0" t="s">
        <v>226</v>
      </c>
      <c r="N799" s="0" t="s">
        <v>93</v>
      </c>
      <c r="O799" s="0" t="s">
        <v>1926</v>
      </c>
      <c r="Q799" s="0" t="s">
        <v>242</v>
      </c>
      <c r="R799" s="0" t="n">
        <v>1</v>
      </c>
      <c r="S799" s="5" t="n">
        <v>535</v>
      </c>
      <c r="T799" s="0" t="s">
        <v>243</v>
      </c>
      <c r="U799" s="0" t="n">
        <v>0</v>
      </c>
      <c r="V799" s="0" t="s">
        <v>230</v>
      </c>
      <c r="W799" s="0" t="s">
        <v>231</v>
      </c>
      <c r="X799" s="0" t="s">
        <v>232</v>
      </c>
      <c r="Y799" s="0" t="s">
        <v>297</v>
      </c>
      <c r="Z799" s="0" t="s">
        <v>3310</v>
      </c>
      <c r="AA799" s="0" t="s">
        <v>235</v>
      </c>
      <c r="AB799" s="32" t="n">
        <v>2300</v>
      </c>
      <c r="AC799" s="32" t="n">
        <v>2250</v>
      </c>
      <c r="AD799" s="26" t="n">
        <f aca="false">IFERROR(AB799/B799,"")</f>
        <v>4.29906542056075</v>
      </c>
      <c r="AE799" s="26" t="n">
        <f aca="false">IFERROR(AC799/B799,"")</f>
        <v>4.20560747663551</v>
      </c>
      <c r="AF799" s="0" t="s">
        <v>236</v>
      </c>
      <c r="AG799" s="0" t="s">
        <v>236</v>
      </c>
      <c r="AH799" s="0" t="s">
        <v>230</v>
      </c>
      <c r="AI799" s="0" t="s">
        <v>2014</v>
      </c>
      <c r="AJ799" s="0" t="s">
        <v>3595</v>
      </c>
      <c r="AK799" s="0" t="s">
        <v>3596</v>
      </c>
      <c r="AL799" s="0" t="s">
        <v>3597</v>
      </c>
      <c r="AM799" s="0" t="s">
        <v>94</v>
      </c>
      <c r="AN799" s="26" t="n">
        <f aca="false">IFERROR(E799*(1+IF(AM799="Apartment",Data_Summary!$C$3,0)),"")</f>
        <v>4.29906542056075</v>
      </c>
      <c r="AO799" s="4" t="n">
        <v>46195</v>
      </c>
    </row>
    <row r="800" customFormat="false" ht="15" hidden="false" customHeight="false" outlineLevel="0" collapsed="false">
      <c r="A800" s="0" t="n">
        <f aca="false">IF(AND(ISNUMBER(B800),B800&gt;0,ISNUMBER(AB800),AB800&gt;0,J800&gt;=Data_Summary!$C$1),1,0)</f>
        <v>1</v>
      </c>
      <c r="B800" s="30" t="n">
        <v>560</v>
      </c>
      <c r="C800" s="5" t="n">
        <f aca="false">IF(ISNUMBER(AB800),AB800,"")</f>
        <v>2620</v>
      </c>
      <c r="D800" s="0" t="n">
        <f aca="false">IF(ISNUMBER(C800),C800-U800*Data_Summary!$C$2,"")</f>
        <v>2470</v>
      </c>
      <c r="E800" s="31" t="n">
        <f aca="false">IFERROR(C800/B800,"")</f>
        <v>4.67857142857143</v>
      </c>
      <c r="F800" s="26" t="n">
        <f aca="false">IFERROR(D800/B800,"")</f>
        <v>4.41071428571429</v>
      </c>
      <c r="G800" s="0" t="str">
        <f aca="false">Q800</f>
        <v>1+1</v>
      </c>
      <c r="H800" s="0" t="str">
        <f aca="false">IFERROR(LEFT(G800,1),"")</f>
        <v>1</v>
      </c>
      <c r="I800" s="0" t="n">
        <f aca="false">IF(LEN(G800)&gt;1,1,0)</f>
        <v>1</v>
      </c>
      <c r="J800" s="4" t="n">
        <v>45913</v>
      </c>
      <c r="K800" s="0" t="s">
        <v>14</v>
      </c>
      <c r="L800" s="0" t="s">
        <v>104</v>
      </c>
      <c r="M800" s="0" t="s">
        <v>226</v>
      </c>
      <c r="N800" s="0" t="s">
        <v>93</v>
      </c>
      <c r="O800" s="0" t="s">
        <v>3598</v>
      </c>
      <c r="Q800" s="0" t="s">
        <v>270</v>
      </c>
      <c r="R800" s="0" t="n">
        <v>1</v>
      </c>
      <c r="S800" s="5" t="n">
        <v>560</v>
      </c>
      <c r="T800" s="0" t="s">
        <v>243</v>
      </c>
      <c r="U800" s="0" t="n">
        <v>1</v>
      </c>
      <c r="V800" s="0" t="s">
        <v>230</v>
      </c>
      <c r="W800" s="0" t="s">
        <v>231</v>
      </c>
      <c r="X800" s="0" t="s">
        <v>232</v>
      </c>
      <c r="Y800" s="0" t="s">
        <v>272</v>
      </c>
      <c r="Z800" s="0" t="s">
        <v>3310</v>
      </c>
      <c r="AA800" s="0" t="s">
        <v>235</v>
      </c>
      <c r="AB800" s="32" t="n">
        <v>2620</v>
      </c>
      <c r="AC800" s="32" t="n">
        <v>2650</v>
      </c>
      <c r="AD800" s="26" t="n">
        <f aca="false">IFERROR(AB800/B800,"")</f>
        <v>4.67857142857143</v>
      </c>
      <c r="AE800" s="26" t="n">
        <f aca="false">IFERROR(AC800/B800,"")</f>
        <v>4.73214285714286</v>
      </c>
      <c r="AF800" s="0" t="s">
        <v>236</v>
      </c>
      <c r="AG800" s="0" t="s">
        <v>236</v>
      </c>
      <c r="AH800" s="0" t="s">
        <v>236</v>
      </c>
      <c r="AI800" s="0" t="s">
        <v>2019</v>
      </c>
      <c r="AJ800" s="0" t="s">
        <v>3599</v>
      </c>
      <c r="AK800" s="0" t="s">
        <v>3600</v>
      </c>
      <c r="AL800" s="0" t="s">
        <v>3601</v>
      </c>
      <c r="AM800" s="0" t="s">
        <v>94</v>
      </c>
      <c r="AN800" s="26" t="n">
        <f aca="false">IFERROR(E800*(1+IF(AM800="Apartment",Data_Summary!$C$3,0)),"")</f>
        <v>4.67857142857143</v>
      </c>
      <c r="AO800" s="4" t="n">
        <v>46195</v>
      </c>
    </row>
    <row r="801" customFormat="false" ht="15" hidden="false" customHeight="false" outlineLevel="0" collapsed="false">
      <c r="A801" s="0" t="n">
        <f aca="false">IF(AND(ISNUMBER(B801),B801&gt;0,ISNUMBER(AB801),AB801&gt;0,J801&gt;=Data_Summary!$C$1),1,0)</f>
        <v>1</v>
      </c>
      <c r="B801" s="30" t="n">
        <v>520</v>
      </c>
      <c r="C801" s="5" t="n">
        <f aca="false">IF(ISNUMBER(AB801),AB801,"")</f>
        <v>2300</v>
      </c>
      <c r="D801" s="0" t="n">
        <f aca="false">IF(ISNUMBER(C801),C801-U801*Data_Summary!$C$2,"")</f>
        <v>2300</v>
      </c>
      <c r="E801" s="31" t="n">
        <f aca="false">IFERROR(C801/B801,"")</f>
        <v>4.42307692307692</v>
      </c>
      <c r="F801" s="26" t="n">
        <f aca="false">IFERROR(D801/B801,"")</f>
        <v>4.42307692307692</v>
      </c>
      <c r="G801" s="0" t="str">
        <f aca="false">Q801</f>
        <v>1</v>
      </c>
      <c r="H801" s="0" t="str">
        <f aca="false">IFERROR(LEFT(G801,1),"")</f>
        <v>1</v>
      </c>
      <c r="I801" s="0" t="n">
        <f aca="false">IF(LEN(G801)&gt;1,1,0)</f>
        <v>0</v>
      </c>
      <c r="J801" s="4" t="n">
        <v>45912</v>
      </c>
      <c r="K801" s="0" t="s">
        <v>14</v>
      </c>
      <c r="L801" s="0" t="s">
        <v>104</v>
      </c>
      <c r="M801" s="0" t="s">
        <v>226</v>
      </c>
      <c r="N801" s="0" t="s">
        <v>93</v>
      </c>
      <c r="O801" s="0" t="s">
        <v>2519</v>
      </c>
      <c r="Q801" s="0" t="s">
        <v>242</v>
      </c>
      <c r="R801" s="0" t="n">
        <v>1</v>
      </c>
      <c r="S801" s="5" t="n">
        <v>520</v>
      </c>
      <c r="T801" s="0" t="s">
        <v>243</v>
      </c>
      <c r="U801" s="0" t="n">
        <v>0</v>
      </c>
      <c r="V801" s="0" t="s">
        <v>230</v>
      </c>
      <c r="W801" s="0" t="s">
        <v>244</v>
      </c>
      <c r="X801" s="0" t="s">
        <v>232</v>
      </c>
      <c r="Y801" s="0" t="s">
        <v>253</v>
      </c>
      <c r="Z801" s="0" t="s">
        <v>3310</v>
      </c>
      <c r="AA801" s="0" t="s">
        <v>235</v>
      </c>
      <c r="AB801" s="32" t="n">
        <v>2300</v>
      </c>
      <c r="AC801" s="32" t="n">
        <v>2300</v>
      </c>
      <c r="AD801" s="26" t="n">
        <f aca="false">IFERROR(AB801/B801,"")</f>
        <v>4.42307692307692</v>
      </c>
      <c r="AE801" s="26" t="n">
        <f aca="false">IFERROR(AC801/B801,"")</f>
        <v>4.42307692307692</v>
      </c>
      <c r="AF801" s="0" t="s">
        <v>236</v>
      </c>
      <c r="AG801" s="0" t="s">
        <v>236</v>
      </c>
      <c r="AH801" s="0" t="s">
        <v>230</v>
      </c>
      <c r="AI801" s="0" t="s">
        <v>2024</v>
      </c>
      <c r="AJ801" s="0" t="s">
        <v>3602</v>
      </c>
      <c r="AK801" s="0" t="s">
        <v>3603</v>
      </c>
      <c r="AL801" s="0" t="s">
        <v>3604</v>
      </c>
      <c r="AM801" s="0" t="s">
        <v>94</v>
      </c>
      <c r="AN801" s="26" t="n">
        <f aca="false">IFERROR(E801*(1+IF(AM801="Apartment",Data_Summary!$C$3,0)),"")</f>
        <v>4.42307692307692</v>
      </c>
      <c r="AO801" s="4" t="n">
        <v>46195</v>
      </c>
    </row>
    <row r="802" customFormat="false" ht="15" hidden="false" customHeight="false" outlineLevel="0" collapsed="false">
      <c r="A802" s="0" t="n">
        <f aca="false">IF(AND(ISNUMBER(B802),B802&gt;0,ISNUMBER(AB802),AB802&gt;0,J802&gt;=Data_Summary!$C$1),1,0)</f>
        <v>1</v>
      </c>
      <c r="B802" s="30" t="n">
        <v>500</v>
      </c>
      <c r="C802" s="5" t="n">
        <f aca="false">IF(ISNUMBER(AB802),AB802,"")</f>
        <v>2200</v>
      </c>
      <c r="D802" s="0" t="n">
        <f aca="false">IF(ISNUMBER(C802),C802-U802*Data_Summary!$C$2,"")</f>
        <v>2200</v>
      </c>
      <c r="E802" s="31" t="n">
        <f aca="false">IFERROR(C802/B802,"")</f>
        <v>4.4</v>
      </c>
      <c r="F802" s="26" t="n">
        <f aca="false">IFERROR(D802/B802,"")</f>
        <v>4.4</v>
      </c>
      <c r="G802" s="0" t="str">
        <f aca="false">Q802</f>
        <v>1</v>
      </c>
      <c r="H802" s="0" t="str">
        <f aca="false">IFERROR(LEFT(G802,1),"")</f>
        <v>1</v>
      </c>
      <c r="I802" s="0" t="n">
        <f aca="false">IF(LEN(G802)&gt;1,1,0)</f>
        <v>0</v>
      </c>
      <c r="J802" s="4" t="n">
        <v>45903</v>
      </c>
      <c r="K802" s="0" t="s">
        <v>14</v>
      </c>
      <c r="L802" s="0" t="s">
        <v>104</v>
      </c>
      <c r="M802" s="0" t="s">
        <v>226</v>
      </c>
      <c r="N802" s="0" t="s">
        <v>93</v>
      </c>
      <c r="O802" s="0" t="s">
        <v>832</v>
      </c>
      <c r="Q802" s="0" t="s">
        <v>242</v>
      </c>
      <c r="R802" s="0" t="n">
        <v>1</v>
      </c>
      <c r="S802" s="5" t="n">
        <v>500</v>
      </c>
      <c r="T802" s="0" t="s">
        <v>243</v>
      </c>
      <c r="U802" s="0" t="n">
        <v>0</v>
      </c>
      <c r="V802" s="0" t="s">
        <v>230</v>
      </c>
      <c r="W802" s="0" t="s">
        <v>244</v>
      </c>
      <c r="X802" s="0" t="s">
        <v>232</v>
      </c>
      <c r="Y802" s="0" t="s">
        <v>245</v>
      </c>
      <c r="Z802" s="0" t="s">
        <v>3310</v>
      </c>
      <c r="AA802" s="0" t="s">
        <v>235</v>
      </c>
      <c r="AB802" s="32" t="n">
        <v>2200</v>
      </c>
      <c r="AC802" s="32" t="n">
        <v>2200</v>
      </c>
      <c r="AD802" s="26" t="n">
        <f aca="false">IFERROR(AB802/B802,"")</f>
        <v>4.4</v>
      </c>
      <c r="AE802" s="26" t="n">
        <f aca="false">IFERROR(AC802/B802,"")</f>
        <v>4.4</v>
      </c>
      <c r="AF802" s="0" t="s">
        <v>236</v>
      </c>
      <c r="AG802" s="0" t="s">
        <v>236</v>
      </c>
      <c r="AH802" s="0" t="s">
        <v>230</v>
      </c>
      <c r="AI802" s="0" t="s">
        <v>3605</v>
      </c>
      <c r="AJ802" s="0" t="s">
        <v>3606</v>
      </c>
      <c r="AK802" s="0" t="s">
        <v>3607</v>
      </c>
      <c r="AL802" s="0" t="s">
        <v>3608</v>
      </c>
      <c r="AM802" s="0" t="s">
        <v>94</v>
      </c>
      <c r="AN802" s="26" t="n">
        <f aca="false">IFERROR(E802*(1+IF(AM802="Apartment",Data_Summary!$C$3,0)),"")</f>
        <v>4.4</v>
      </c>
      <c r="AO802" s="4" t="n">
        <v>46195</v>
      </c>
    </row>
    <row r="803" customFormat="false" ht="15" hidden="false" customHeight="false" outlineLevel="0" collapsed="false">
      <c r="A803" s="0" t="n">
        <f aca="false">IF(AND(ISNUMBER(B803),B803&gt;0,ISNUMBER(AB803),AB803&gt;0,J803&gt;=Data_Summary!$C$1),1,0)</f>
        <v>1</v>
      </c>
      <c r="B803" s="33" t="n">
        <v>650</v>
      </c>
      <c r="C803" s="5" t="n">
        <f aca="false">IF(ISNUMBER(AB803),AB803,"")</f>
        <v>2900</v>
      </c>
      <c r="D803" s="0" t="n">
        <f aca="false">IF(ISNUMBER(C803),C803-U803*Data_Summary!$C$2,"")</f>
        <v>2750</v>
      </c>
      <c r="E803" s="34" t="n">
        <f aca="false">IFERROR(C803/B803,"")</f>
        <v>4.46153846153846</v>
      </c>
      <c r="F803" s="26" t="n">
        <f aca="false">IFERROR(D803/B803,"")</f>
        <v>4.23076923076923</v>
      </c>
      <c r="G803" s="0" t="str">
        <f aca="false">Q803</f>
        <v>1+1</v>
      </c>
      <c r="H803" s="0" t="str">
        <f aca="false">IFERROR(LEFT(G803,1),"")</f>
        <v>1</v>
      </c>
      <c r="I803" s="0" t="n">
        <f aca="false">IF(LEN(G803)&gt;1,1,0)</f>
        <v>1</v>
      </c>
      <c r="J803" s="4" t="n">
        <v>45895</v>
      </c>
      <c r="K803" s="0" t="s">
        <v>14</v>
      </c>
      <c r="L803" s="0" t="s">
        <v>104</v>
      </c>
      <c r="M803" s="0" t="s">
        <v>226</v>
      </c>
      <c r="N803" s="0" t="s">
        <v>93</v>
      </c>
      <c r="O803" s="0" t="s">
        <v>3609</v>
      </c>
      <c r="Q803" s="0" t="s">
        <v>270</v>
      </c>
      <c r="R803" s="0" t="n">
        <v>1</v>
      </c>
      <c r="S803" s="5" t="n">
        <v>650</v>
      </c>
      <c r="T803" s="0" t="s">
        <v>271</v>
      </c>
      <c r="U803" s="0" t="n">
        <v>1</v>
      </c>
      <c r="V803" s="0" t="s">
        <v>230</v>
      </c>
      <c r="W803" s="0" t="s">
        <v>244</v>
      </c>
      <c r="X803" s="0" t="s">
        <v>232</v>
      </c>
      <c r="Y803" s="0" t="s">
        <v>233</v>
      </c>
      <c r="Z803" s="0" t="s">
        <v>3310</v>
      </c>
      <c r="AA803" s="0" t="s">
        <v>235</v>
      </c>
      <c r="AB803" s="32" t="n">
        <v>2900</v>
      </c>
      <c r="AC803" s="32" t="n">
        <v>2900</v>
      </c>
      <c r="AD803" s="26" t="n">
        <f aca="false">IFERROR(AB803/B803,"")</f>
        <v>4.46153846153846</v>
      </c>
      <c r="AE803" s="26" t="n">
        <f aca="false">IFERROR(AC803/B803,"")</f>
        <v>4.46153846153846</v>
      </c>
      <c r="AF803" s="0" t="s">
        <v>230</v>
      </c>
      <c r="AG803" s="0" t="s">
        <v>236</v>
      </c>
      <c r="AH803" s="0" t="s">
        <v>230</v>
      </c>
      <c r="AI803" s="0" t="s">
        <v>2034</v>
      </c>
      <c r="AJ803" s="0" t="s">
        <v>3610</v>
      </c>
      <c r="AK803" s="0" t="s">
        <v>3611</v>
      </c>
      <c r="AL803" s="0" t="s">
        <v>3612</v>
      </c>
      <c r="AM803" s="0" t="s">
        <v>94</v>
      </c>
      <c r="AN803" s="26" t="n">
        <f aca="false">IFERROR(E803*(1+IF(AM803="Apartment",Data_Summary!$C$3,0)),"")</f>
        <v>4.46153846153846</v>
      </c>
      <c r="AO803" s="4" t="n">
        <v>46195</v>
      </c>
    </row>
    <row r="804" customFormat="false" ht="15" hidden="false" customHeight="false" outlineLevel="0" collapsed="false">
      <c r="A804" s="0" t="n">
        <f aca="false">IF(AND(ISNUMBER(B804),B804&gt;0,ISNUMBER(AB804),AB804&gt;0,J804&gt;=Data_Summary!$C$1),1,0)</f>
        <v>1</v>
      </c>
      <c r="B804" s="33" t="n">
        <v>928</v>
      </c>
      <c r="C804" s="5" t="n">
        <f aca="false">IF(ISNUMBER(AB804),AB804,"")</f>
        <v>4200</v>
      </c>
      <c r="D804" s="0" t="n">
        <f aca="false">IF(ISNUMBER(C804),C804-U804*Data_Summary!$C$2,"")</f>
        <v>4050</v>
      </c>
      <c r="E804" s="34" t="n">
        <f aca="false">IFERROR(C804/B804,"")</f>
        <v>4.52586206896552</v>
      </c>
      <c r="F804" s="26" t="n">
        <f aca="false">IFERROR(D804/B804,"")</f>
        <v>4.36422413793104</v>
      </c>
      <c r="G804" s="0" t="str">
        <f aca="false">Q804</f>
        <v>3</v>
      </c>
      <c r="H804" s="0" t="str">
        <f aca="false">IFERROR(LEFT(G804,1),"")</f>
        <v>3</v>
      </c>
      <c r="I804" s="0" t="n">
        <f aca="false">IF(LEN(G804)&gt;1,1,0)</f>
        <v>0</v>
      </c>
      <c r="J804" s="4" t="n">
        <v>45891</v>
      </c>
      <c r="K804" s="0" t="s">
        <v>14</v>
      </c>
      <c r="L804" s="0" t="s">
        <v>104</v>
      </c>
      <c r="M804" s="0" t="s">
        <v>226</v>
      </c>
      <c r="N804" s="0" t="s">
        <v>93</v>
      </c>
      <c r="O804" s="0" t="s">
        <v>3613</v>
      </c>
      <c r="Q804" s="0" t="s">
        <v>228</v>
      </c>
      <c r="R804" s="0" t="n">
        <v>2</v>
      </c>
      <c r="S804" s="5" t="n">
        <v>928</v>
      </c>
      <c r="T804" s="0" t="s">
        <v>259</v>
      </c>
      <c r="U804" s="0" t="n">
        <v>1</v>
      </c>
      <c r="V804" s="0" t="s">
        <v>230</v>
      </c>
      <c r="W804" s="0" t="s">
        <v>244</v>
      </c>
      <c r="X804" s="0" t="s">
        <v>232</v>
      </c>
      <c r="Y804" s="0" t="s">
        <v>308</v>
      </c>
      <c r="Z804" s="0" t="s">
        <v>3310</v>
      </c>
      <c r="AA804" s="0" t="s">
        <v>235</v>
      </c>
      <c r="AB804" s="32" t="n">
        <v>4200</v>
      </c>
      <c r="AC804" s="32" t="n">
        <v>4000</v>
      </c>
      <c r="AD804" s="26" t="n">
        <f aca="false">IFERROR(AB804/B804,"")</f>
        <v>4.52586206896552</v>
      </c>
      <c r="AE804" s="26" t="n">
        <f aca="false">IFERROR(AC804/B804,"")</f>
        <v>4.31034482758621</v>
      </c>
      <c r="AF804" s="0" t="s">
        <v>230</v>
      </c>
      <c r="AG804" s="0" t="s">
        <v>236</v>
      </c>
      <c r="AH804" s="0" t="s">
        <v>230</v>
      </c>
      <c r="AI804" s="0" t="s">
        <v>2050</v>
      </c>
      <c r="AJ804" s="0" t="s">
        <v>3614</v>
      </c>
      <c r="AK804" s="0" t="s">
        <v>3615</v>
      </c>
      <c r="AL804" s="0" t="s">
        <v>3616</v>
      </c>
      <c r="AM804" s="0" t="s">
        <v>94</v>
      </c>
      <c r="AN804" s="26" t="n">
        <f aca="false">IFERROR(E804*(1+IF(AM804="Apartment",Data_Summary!$C$3,0)),"")</f>
        <v>4.52586206896552</v>
      </c>
      <c r="AO804" s="4" t="n">
        <v>46195</v>
      </c>
    </row>
    <row r="805" customFormat="false" ht="15" hidden="false" customHeight="false" outlineLevel="0" collapsed="false">
      <c r="A805" s="0" t="n">
        <f aca="false">IF(AND(ISNUMBER(B805),B805&gt;0,ISNUMBER(AB805),AB805&gt;0,J805&gt;=Data_Summary!$C$1),1,0)</f>
        <v>1</v>
      </c>
      <c r="B805" s="30" t="n">
        <v>525</v>
      </c>
      <c r="C805" s="5" t="n">
        <f aca="false">IF(ISNUMBER(AB805),AB805,"")</f>
        <v>2400</v>
      </c>
      <c r="D805" s="0" t="n">
        <f aca="false">IF(ISNUMBER(C805),C805-U805*Data_Summary!$C$2,"")</f>
        <v>2400</v>
      </c>
      <c r="E805" s="31" t="n">
        <f aca="false">IFERROR(C805/B805,"")</f>
        <v>4.57142857142857</v>
      </c>
      <c r="F805" s="26" t="n">
        <f aca="false">IFERROR(D805/B805,"")</f>
        <v>4.57142857142857</v>
      </c>
      <c r="G805" s="0" t="str">
        <f aca="false">Q805</f>
        <v>1</v>
      </c>
      <c r="H805" s="0" t="str">
        <f aca="false">IFERROR(LEFT(G805,1),"")</f>
        <v>1</v>
      </c>
      <c r="I805" s="0" t="n">
        <f aca="false">IF(LEN(G805)&gt;1,1,0)</f>
        <v>0</v>
      </c>
      <c r="J805" s="4" t="n">
        <v>45891</v>
      </c>
      <c r="K805" s="0" t="s">
        <v>14</v>
      </c>
      <c r="L805" s="0" t="s">
        <v>104</v>
      </c>
      <c r="M805" s="0" t="s">
        <v>226</v>
      </c>
      <c r="N805" s="0" t="s">
        <v>93</v>
      </c>
      <c r="O805" s="0" t="s">
        <v>3617</v>
      </c>
      <c r="Q805" s="0" t="s">
        <v>242</v>
      </c>
      <c r="R805" s="0" t="n">
        <v>1</v>
      </c>
      <c r="S805" s="5" t="n">
        <v>525</v>
      </c>
      <c r="T805" s="0" t="s">
        <v>243</v>
      </c>
      <c r="U805" s="0" t="n">
        <v>0</v>
      </c>
      <c r="V805" s="0" t="s">
        <v>230</v>
      </c>
      <c r="W805" s="0" t="s">
        <v>244</v>
      </c>
      <c r="X805" s="0" t="s">
        <v>232</v>
      </c>
      <c r="Y805" s="0" t="s">
        <v>253</v>
      </c>
      <c r="Z805" s="0" t="s">
        <v>3310</v>
      </c>
      <c r="AA805" s="0" t="s">
        <v>235</v>
      </c>
      <c r="AB805" s="32" t="n">
        <v>2400</v>
      </c>
      <c r="AC805" s="32" t="n">
        <v>2400</v>
      </c>
      <c r="AD805" s="26" t="n">
        <f aca="false">IFERROR(AB805/B805,"")</f>
        <v>4.57142857142857</v>
      </c>
      <c r="AE805" s="26" t="n">
        <f aca="false">IFERROR(AC805/B805,"")</f>
        <v>4.57142857142857</v>
      </c>
      <c r="AF805" s="0" t="s">
        <v>236</v>
      </c>
      <c r="AG805" s="0" t="s">
        <v>236</v>
      </c>
      <c r="AH805" s="0" t="s">
        <v>230</v>
      </c>
      <c r="AI805" s="0" t="s">
        <v>2050</v>
      </c>
      <c r="AJ805" s="0" t="s">
        <v>3618</v>
      </c>
      <c r="AK805" s="0" t="s">
        <v>3619</v>
      </c>
      <c r="AL805" s="0" t="s">
        <v>3620</v>
      </c>
      <c r="AM805" s="0" t="s">
        <v>94</v>
      </c>
      <c r="AN805" s="26" t="n">
        <f aca="false">IFERROR(E805*(1+IF(AM805="Apartment",Data_Summary!$C$3,0)),"")</f>
        <v>4.57142857142857</v>
      </c>
      <c r="AO805" s="4" t="n">
        <v>46195</v>
      </c>
    </row>
    <row r="806" customFormat="false" ht="15" hidden="false" customHeight="false" outlineLevel="0" collapsed="false">
      <c r="A806" s="0" t="n">
        <f aca="false">IF(AND(ISNUMBER(B806),B806&gt;0,ISNUMBER(AB806),AB806&gt;0,J806&gt;=Data_Summary!$C$1),1,0)</f>
        <v>1</v>
      </c>
      <c r="B806" s="30" t="n">
        <v>575</v>
      </c>
      <c r="C806" s="5" t="n">
        <f aca="false">IF(ISNUMBER(AB806),AB806,"")</f>
        <v>2700</v>
      </c>
      <c r="D806" s="0" t="n">
        <f aca="false">IF(ISNUMBER(C806),C806-U806*Data_Summary!$C$2,"")</f>
        <v>2550</v>
      </c>
      <c r="E806" s="31" t="n">
        <f aca="false">IFERROR(C806/B806,"")</f>
        <v>4.69565217391304</v>
      </c>
      <c r="F806" s="26" t="n">
        <f aca="false">IFERROR(D806/B806,"")</f>
        <v>4.43478260869565</v>
      </c>
      <c r="G806" s="0" t="str">
        <f aca="false">Q806</f>
        <v>1+1</v>
      </c>
      <c r="H806" s="0" t="str">
        <f aca="false">IFERROR(LEFT(G806,1),"")</f>
        <v>1</v>
      </c>
      <c r="I806" s="0" t="n">
        <f aca="false">IF(LEN(G806)&gt;1,1,0)</f>
        <v>1</v>
      </c>
      <c r="J806" s="4" t="n">
        <v>45889</v>
      </c>
      <c r="K806" s="0" t="s">
        <v>14</v>
      </c>
      <c r="L806" s="0" t="s">
        <v>104</v>
      </c>
      <c r="M806" s="0" t="s">
        <v>226</v>
      </c>
      <c r="N806" s="0" t="s">
        <v>93</v>
      </c>
      <c r="O806" s="0" t="s">
        <v>3621</v>
      </c>
      <c r="Q806" s="0" t="s">
        <v>270</v>
      </c>
      <c r="R806" s="0" t="n">
        <v>1</v>
      </c>
      <c r="S806" s="5" t="n">
        <v>575</v>
      </c>
      <c r="T806" s="0" t="s">
        <v>243</v>
      </c>
      <c r="U806" s="0" t="n">
        <v>1</v>
      </c>
      <c r="V806" s="0" t="s">
        <v>230</v>
      </c>
      <c r="W806" s="0" t="s">
        <v>244</v>
      </c>
      <c r="X806" s="0" t="s">
        <v>232</v>
      </c>
      <c r="Y806" s="0" t="s">
        <v>272</v>
      </c>
      <c r="Z806" s="0" t="s">
        <v>3310</v>
      </c>
      <c r="AA806" s="0" t="s">
        <v>235</v>
      </c>
      <c r="AB806" s="32" t="n">
        <v>2700</v>
      </c>
      <c r="AC806" s="32" t="n">
        <v>2700</v>
      </c>
      <c r="AD806" s="26" t="n">
        <f aca="false">IFERROR(AB806/B806,"")</f>
        <v>4.69565217391304</v>
      </c>
      <c r="AE806" s="26" t="n">
        <f aca="false">IFERROR(AC806/B806,"")</f>
        <v>4.69565217391304</v>
      </c>
      <c r="AF806" s="0" t="s">
        <v>236</v>
      </c>
      <c r="AG806" s="0" t="s">
        <v>236</v>
      </c>
      <c r="AH806" s="0" t="s">
        <v>230</v>
      </c>
      <c r="AI806" s="0" t="s">
        <v>2988</v>
      </c>
      <c r="AJ806" s="0" t="s">
        <v>3622</v>
      </c>
      <c r="AK806" s="0" t="s">
        <v>3623</v>
      </c>
      <c r="AL806" s="0" t="s">
        <v>3624</v>
      </c>
      <c r="AM806" s="0" t="s">
        <v>94</v>
      </c>
      <c r="AN806" s="26" t="n">
        <f aca="false">IFERROR(E806*(1+IF(AM806="Apartment",Data_Summary!$C$3,0)),"")</f>
        <v>4.69565217391304</v>
      </c>
      <c r="AO806" s="4" t="n">
        <v>46195</v>
      </c>
    </row>
    <row r="807" customFormat="false" ht="15" hidden="false" customHeight="false" outlineLevel="0" collapsed="false">
      <c r="A807" s="0" t="n">
        <f aca="false">IF(AND(ISNUMBER(B807),B807&gt;0,ISNUMBER(AB807),AB807&gt;0,J807&gt;=Data_Summary!$C$1),1,0)</f>
        <v>1</v>
      </c>
      <c r="B807" s="30" t="n">
        <v>579</v>
      </c>
      <c r="C807" s="5" t="n">
        <f aca="false">IF(ISNUMBER(AB807),AB807,"")</f>
        <v>2350</v>
      </c>
      <c r="D807" s="0" t="n">
        <f aca="false">IF(ISNUMBER(C807),C807-U807*Data_Summary!$C$2,"")</f>
        <v>2350</v>
      </c>
      <c r="E807" s="31" t="n">
        <f aca="false">IFERROR(C807/B807,"")</f>
        <v>4.0587219343696</v>
      </c>
      <c r="F807" s="26" t="n">
        <f aca="false">IFERROR(D807/B807,"")</f>
        <v>4.0587219343696</v>
      </c>
      <c r="G807" s="0" t="str">
        <f aca="false">Q807</f>
        <v>1+1</v>
      </c>
      <c r="H807" s="0" t="str">
        <f aca="false">IFERROR(LEFT(G807,1),"")</f>
        <v>1</v>
      </c>
      <c r="I807" s="0" t="n">
        <f aca="false">IF(LEN(G807)&gt;1,1,0)</f>
        <v>1</v>
      </c>
      <c r="J807" s="4" t="n">
        <v>45888</v>
      </c>
      <c r="K807" s="0" t="s">
        <v>14</v>
      </c>
      <c r="L807" s="0" t="s">
        <v>104</v>
      </c>
      <c r="M807" s="0" t="s">
        <v>226</v>
      </c>
      <c r="N807" s="0" t="s">
        <v>93</v>
      </c>
      <c r="O807" s="0" t="s">
        <v>3625</v>
      </c>
      <c r="Q807" s="0" t="s">
        <v>270</v>
      </c>
      <c r="R807" s="0" t="n">
        <v>1</v>
      </c>
      <c r="S807" s="5" t="n">
        <v>579</v>
      </c>
      <c r="T807" s="0" t="s">
        <v>243</v>
      </c>
      <c r="U807" s="0" t="n">
        <v>0</v>
      </c>
      <c r="V807" s="0" t="s">
        <v>230</v>
      </c>
      <c r="W807" s="0" t="s">
        <v>244</v>
      </c>
      <c r="X807" s="0" t="s">
        <v>232</v>
      </c>
      <c r="Y807" s="0" t="s">
        <v>278</v>
      </c>
      <c r="Z807" s="0" t="s">
        <v>3310</v>
      </c>
      <c r="AA807" s="0" t="s">
        <v>235</v>
      </c>
      <c r="AB807" s="32" t="n">
        <v>2350</v>
      </c>
      <c r="AC807" s="32" t="n">
        <v>2350</v>
      </c>
      <c r="AD807" s="26" t="n">
        <f aca="false">IFERROR(AB807/B807,"")</f>
        <v>4.0587219343696</v>
      </c>
      <c r="AE807" s="26" t="n">
        <f aca="false">IFERROR(AC807/B807,"")</f>
        <v>4.0587219343696</v>
      </c>
      <c r="AF807" s="0" t="s">
        <v>236</v>
      </c>
      <c r="AG807" s="0" t="s">
        <v>236</v>
      </c>
      <c r="AH807" s="0" t="s">
        <v>230</v>
      </c>
      <c r="AI807" s="0" t="s">
        <v>2055</v>
      </c>
      <c r="AJ807" s="0" t="s">
        <v>3626</v>
      </c>
      <c r="AK807" s="0" t="s">
        <v>3627</v>
      </c>
      <c r="AL807" s="0" t="s">
        <v>3628</v>
      </c>
      <c r="AM807" s="0" t="s">
        <v>94</v>
      </c>
      <c r="AN807" s="26" t="n">
        <f aca="false">IFERROR(E807*(1+IF(AM807="Apartment",Data_Summary!$C$3,0)),"")</f>
        <v>4.0587219343696</v>
      </c>
      <c r="AO807" s="4" t="n">
        <v>46195</v>
      </c>
    </row>
    <row r="808" customFormat="false" ht="15" hidden="false" customHeight="false" outlineLevel="0" collapsed="false">
      <c r="A808" s="0" t="n">
        <f aca="false">IF(AND(ISNUMBER(B808),B808&gt;0,ISNUMBER(AB808),AB808&gt;0,J808&gt;=Data_Summary!$C$1),1,0)</f>
        <v>1</v>
      </c>
      <c r="B808" s="30" t="n">
        <v>505</v>
      </c>
      <c r="C808" s="5" t="n">
        <f aca="false">IF(ISNUMBER(AB808),AB808,"")</f>
        <v>2280</v>
      </c>
      <c r="D808" s="0" t="n">
        <f aca="false">IF(ISNUMBER(C808),C808-U808*Data_Summary!$C$2,"")</f>
        <v>2280</v>
      </c>
      <c r="E808" s="31" t="n">
        <f aca="false">IFERROR(C808/B808,"")</f>
        <v>4.51485148514851</v>
      </c>
      <c r="F808" s="26" t="n">
        <f aca="false">IFERROR(D808/B808,"")</f>
        <v>4.51485148514851</v>
      </c>
      <c r="G808" s="0" t="str">
        <f aca="false">Q808</f>
        <v>1</v>
      </c>
      <c r="H808" s="0" t="str">
        <f aca="false">IFERROR(LEFT(G808,1),"")</f>
        <v>1</v>
      </c>
      <c r="I808" s="0" t="n">
        <f aca="false">IF(LEN(G808)&gt;1,1,0)</f>
        <v>0</v>
      </c>
      <c r="J808" s="4" t="n">
        <v>45873</v>
      </c>
      <c r="K808" s="0" t="s">
        <v>14</v>
      </c>
      <c r="L808" s="0" t="s">
        <v>104</v>
      </c>
      <c r="M808" s="0" t="s">
        <v>226</v>
      </c>
      <c r="N808" s="0" t="s">
        <v>93</v>
      </c>
      <c r="O808" s="0" t="s">
        <v>3629</v>
      </c>
      <c r="Q808" s="0" t="s">
        <v>242</v>
      </c>
      <c r="R808" s="0" t="n">
        <v>1</v>
      </c>
      <c r="S808" s="5" t="n">
        <v>505</v>
      </c>
      <c r="T808" s="0" t="s">
        <v>243</v>
      </c>
      <c r="U808" s="0" t="n">
        <v>0</v>
      </c>
      <c r="V808" s="0" t="s">
        <v>230</v>
      </c>
      <c r="X808" s="0" t="s">
        <v>232</v>
      </c>
      <c r="Y808" s="0" t="s">
        <v>253</v>
      </c>
      <c r="Z808" s="0" t="s">
        <v>3310</v>
      </c>
      <c r="AA808" s="0" t="s">
        <v>235</v>
      </c>
      <c r="AB808" s="32" t="n">
        <v>2280</v>
      </c>
      <c r="AC808" s="32" t="n">
        <v>2280</v>
      </c>
      <c r="AD808" s="26" t="n">
        <f aca="false">IFERROR(AB808/B808,"")</f>
        <v>4.51485148514851</v>
      </c>
      <c r="AE808" s="26" t="n">
        <f aca="false">IFERROR(AC808/B808,"")</f>
        <v>4.51485148514851</v>
      </c>
      <c r="AF808" s="0" t="s">
        <v>236</v>
      </c>
      <c r="AG808" s="0" t="s">
        <v>236</v>
      </c>
      <c r="AH808" s="0" t="s">
        <v>230</v>
      </c>
      <c r="AI808" s="0" t="s">
        <v>964</v>
      </c>
      <c r="AJ808" s="0" t="s">
        <v>3630</v>
      </c>
      <c r="AK808" s="0" t="s">
        <v>3631</v>
      </c>
      <c r="AL808" s="0" t="s">
        <v>3632</v>
      </c>
      <c r="AM808" s="0" t="s">
        <v>94</v>
      </c>
      <c r="AN808" s="26" t="n">
        <f aca="false">IFERROR(E808*(1+IF(AM808="Apartment",Data_Summary!$C$3,0)),"")</f>
        <v>4.51485148514851</v>
      </c>
      <c r="AO808" s="4" t="n">
        <v>46195</v>
      </c>
    </row>
    <row r="809" customFormat="false" ht="15" hidden="false" customHeight="false" outlineLevel="0" collapsed="false">
      <c r="A809" s="0" t="n">
        <f aca="false">IF(AND(ISNUMBER(B809),B809&gt;0,ISNUMBER(AB809),AB809&gt;0,J809&gt;=Data_Summary!$C$1),1,0)</f>
        <v>1</v>
      </c>
      <c r="B809" s="30" t="n">
        <v>1038</v>
      </c>
      <c r="C809" s="5" t="n">
        <f aca="false">IF(ISNUMBER(AB809),AB809,"")</f>
        <v>4300</v>
      </c>
      <c r="D809" s="0" t="n">
        <f aca="false">IF(ISNUMBER(C809),C809-U809*Data_Summary!$C$2,"")</f>
        <v>4150</v>
      </c>
      <c r="E809" s="31" t="n">
        <f aca="false">IFERROR(C809/B809,"")</f>
        <v>4.14258188824663</v>
      </c>
      <c r="F809" s="26" t="n">
        <f aca="false">IFERROR(D809/B809,"")</f>
        <v>3.9980732177264</v>
      </c>
      <c r="G809" s="0" t="str">
        <f aca="false">Q809</f>
        <v>3</v>
      </c>
      <c r="H809" s="0" t="str">
        <f aca="false">IFERROR(LEFT(G809,1),"")</f>
        <v>3</v>
      </c>
      <c r="I809" s="0" t="n">
        <f aca="false">IF(LEN(G809)&gt;1,1,0)</f>
        <v>0</v>
      </c>
      <c r="J809" s="4" t="n">
        <v>45868</v>
      </c>
      <c r="K809" s="0" t="s">
        <v>14</v>
      </c>
      <c r="L809" s="0" t="s">
        <v>104</v>
      </c>
      <c r="M809" s="0" t="s">
        <v>226</v>
      </c>
      <c r="N809" s="0" t="s">
        <v>93</v>
      </c>
      <c r="O809" s="0" t="s">
        <v>312</v>
      </c>
      <c r="Q809" s="0" t="s">
        <v>228</v>
      </c>
      <c r="R809" s="0" t="n">
        <v>2</v>
      </c>
      <c r="S809" s="5" t="n">
        <v>1038</v>
      </c>
      <c r="T809" s="0" t="s">
        <v>265</v>
      </c>
      <c r="U809" s="0" t="n">
        <v>1</v>
      </c>
      <c r="V809" s="0" t="s">
        <v>230</v>
      </c>
      <c r="W809" s="0" t="s">
        <v>231</v>
      </c>
      <c r="X809" s="0" t="s">
        <v>232</v>
      </c>
      <c r="Y809" s="0" t="s">
        <v>260</v>
      </c>
      <c r="Z809" s="0" t="s">
        <v>3310</v>
      </c>
      <c r="AA809" s="0" t="s">
        <v>235</v>
      </c>
      <c r="AB809" s="32" t="n">
        <v>4300</v>
      </c>
      <c r="AC809" s="32" t="n">
        <v>4380</v>
      </c>
      <c r="AD809" s="26" t="n">
        <f aca="false">IFERROR(AB809/B809,"")</f>
        <v>4.14258188824663</v>
      </c>
      <c r="AE809" s="26" t="n">
        <f aca="false">IFERROR(AC809/B809,"")</f>
        <v>4.21965317919075</v>
      </c>
      <c r="AF809" s="0" t="s">
        <v>236</v>
      </c>
      <c r="AG809" s="0" t="s">
        <v>236</v>
      </c>
      <c r="AH809" s="0" t="s">
        <v>230</v>
      </c>
      <c r="AI809" s="0" t="s">
        <v>3633</v>
      </c>
      <c r="AJ809" s="0" t="s">
        <v>3634</v>
      </c>
      <c r="AK809" s="0" t="s">
        <v>3635</v>
      </c>
      <c r="AL809" s="0" t="s">
        <v>3636</v>
      </c>
      <c r="AM809" s="0" t="s">
        <v>94</v>
      </c>
      <c r="AN809" s="26" t="n">
        <f aca="false">IFERROR(E809*(1+IF(AM809="Apartment",Data_Summary!$C$3,0)),"")</f>
        <v>4.14258188824663</v>
      </c>
      <c r="AO809" s="4" t="n">
        <v>46195</v>
      </c>
    </row>
    <row r="810" customFormat="false" ht="15" hidden="false" customHeight="false" outlineLevel="0" collapsed="false">
      <c r="A810" s="0" t="n">
        <f aca="false">IF(AND(ISNUMBER(B810),B810&gt;0,ISNUMBER(AB810),AB810&gt;0,J810&gt;=Data_Summary!$C$1),1,0)</f>
        <v>1</v>
      </c>
      <c r="B810" s="30" t="n">
        <v>756</v>
      </c>
      <c r="C810" s="5" t="n">
        <f aca="false">IF(ISNUMBER(AB810),AB810,"")</f>
        <v>3150</v>
      </c>
      <c r="D810" s="0" t="n">
        <f aca="false">IF(ISNUMBER(C810),C810-U810*Data_Summary!$C$2,"")</f>
        <v>3000</v>
      </c>
      <c r="E810" s="31" t="n">
        <f aca="false">IFERROR(C810/B810,"")</f>
        <v>4.16666666666667</v>
      </c>
      <c r="F810" s="26" t="n">
        <f aca="false">IFERROR(D810/B810,"")</f>
        <v>3.96825396825397</v>
      </c>
      <c r="G810" s="0" t="str">
        <f aca="false">Q810</f>
        <v>2</v>
      </c>
      <c r="H810" s="0" t="str">
        <f aca="false">IFERROR(LEFT(G810,1),"")</f>
        <v>2</v>
      </c>
      <c r="I810" s="0" t="n">
        <f aca="false">IF(LEN(G810)&gt;1,1,0)</f>
        <v>0</v>
      </c>
      <c r="J810" s="4" t="n">
        <v>45862</v>
      </c>
      <c r="K810" s="0" t="s">
        <v>14</v>
      </c>
      <c r="L810" s="0" t="s">
        <v>104</v>
      </c>
      <c r="M810" s="0" t="s">
        <v>226</v>
      </c>
      <c r="N810" s="0" t="s">
        <v>93</v>
      </c>
      <c r="O810" s="0" t="s">
        <v>2523</v>
      </c>
      <c r="Q810" s="0" t="s">
        <v>251</v>
      </c>
      <c r="R810" s="0" t="n">
        <v>2</v>
      </c>
      <c r="S810" s="5" t="n">
        <v>756</v>
      </c>
      <c r="T810" s="0" t="s">
        <v>252</v>
      </c>
      <c r="U810" s="0" t="n">
        <v>1</v>
      </c>
      <c r="V810" s="0" t="s">
        <v>230</v>
      </c>
      <c r="W810" s="0" t="s">
        <v>244</v>
      </c>
      <c r="X810" s="0" t="s">
        <v>232</v>
      </c>
      <c r="Y810" s="0" t="s">
        <v>297</v>
      </c>
      <c r="Z810" s="0" t="s">
        <v>3310</v>
      </c>
      <c r="AA810" s="0" t="s">
        <v>235</v>
      </c>
      <c r="AB810" s="32" t="n">
        <v>3150</v>
      </c>
      <c r="AC810" s="32" t="n">
        <v>3200</v>
      </c>
      <c r="AD810" s="26" t="n">
        <f aca="false">IFERROR(AB810/B810,"")</f>
        <v>4.16666666666667</v>
      </c>
      <c r="AE810" s="26" t="n">
        <f aca="false">IFERROR(AC810/B810,"")</f>
        <v>4.23280423280423</v>
      </c>
      <c r="AF810" s="0" t="s">
        <v>236</v>
      </c>
      <c r="AG810" s="0" t="s">
        <v>236</v>
      </c>
      <c r="AH810" s="0" t="s">
        <v>230</v>
      </c>
      <c r="AI810" s="0" t="s">
        <v>1021</v>
      </c>
      <c r="AJ810" s="0" t="s">
        <v>3637</v>
      </c>
      <c r="AK810" s="0" t="s">
        <v>3638</v>
      </c>
      <c r="AL810" s="0" t="s">
        <v>3639</v>
      </c>
      <c r="AM810" s="0" t="s">
        <v>94</v>
      </c>
      <c r="AN810" s="26" t="n">
        <f aca="false">IFERROR(E810*(1+IF(AM810="Apartment",Data_Summary!$C$3,0)),"")</f>
        <v>4.16666666666667</v>
      </c>
      <c r="AO810" s="4" t="n">
        <v>46195</v>
      </c>
    </row>
    <row r="811" customFormat="false" ht="15" hidden="false" customHeight="false" outlineLevel="0" collapsed="false">
      <c r="A811" s="0" t="n">
        <f aca="false">IF(AND(ISNUMBER(B811),B811&gt;0,ISNUMBER(AB811),AB811&gt;0,J811&gt;=Data_Summary!$C$1),1,0)</f>
        <v>1</v>
      </c>
      <c r="B811" s="30" t="n">
        <v>505</v>
      </c>
      <c r="C811" s="5" t="n">
        <f aca="false">IF(ISNUMBER(AB811),AB811,"")</f>
        <v>2325</v>
      </c>
      <c r="D811" s="0" t="n">
        <f aca="false">IF(ISNUMBER(C811),C811-U811*Data_Summary!$C$2,"")</f>
        <v>2325</v>
      </c>
      <c r="E811" s="31" t="n">
        <f aca="false">IFERROR(C811/B811,"")</f>
        <v>4.6039603960396</v>
      </c>
      <c r="F811" s="26" t="n">
        <f aca="false">IFERROR(D811/B811,"")</f>
        <v>4.6039603960396</v>
      </c>
      <c r="G811" s="0" t="str">
        <f aca="false">Q811</f>
        <v>1</v>
      </c>
      <c r="H811" s="0" t="str">
        <f aca="false">IFERROR(LEFT(G811,1),"")</f>
        <v>1</v>
      </c>
      <c r="I811" s="0" t="n">
        <f aca="false">IF(LEN(G811)&gt;1,1,0)</f>
        <v>0</v>
      </c>
      <c r="J811" s="4" t="n">
        <v>45859</v>
      </c>
      <c r="K811" s="0" t="s">
        <v>14</v>
      </c>
      <c r="L811" s="0" t="s">
        <v>104</v>
      </c>
      <c r="M811" s="0" t="s">
        <v>226</v>
      </c>
      <c r="N811" s="0" t="s">
        <v>93</v>
      </c>
      <c r="O811" s="0" t="s">
        <v>3640</v>
      </c>
      <c r="Q811" s="0" t="s">
        <v>242</v>
      </c>
      <c r="R811" s="0" t="n">
        <v>1</v>
      </c>
      <c r="S811" s="5" t="n">
        <v>505</v>
      </c>
      <c r="T811" s="0" t="s">
        <v>243</v>
      </c>
      <c r="U811" s="0" t="n">
        <v>0</v>
      </c>
      <c r="V811" s="0" t="s">
        <v>230</v>
      </c>
      <c r="X811" s="0" t="s">
        <v>232</v>
      </c>
      <c r="Y811" s="0" t="s">
        <v>278</v>
      </c>
      <c r="Z811" s="0" t="s">
        <v>3310</v>
      </c>
      <c r="AA811" s="0" t="s">
        <v>235</v>
      </c>
      <c r="AB811" s="32" t="n">
        <v>2325</v>
      </c>
      <c r="AC811" s="32" t="n">
        <v>2300</v>
      </c>
      <c r="AD811" s="26" t="n">
        <f aca="false">IFERROR(AB811/B811,"")</f>
        <v>4.6039603960396</v>
      </c>
      <c r="AE811" s="26" t="n">
        <f aca="false">IFERROR(AC811/B811,"")</f>
        <v>4.55445544554455</v>
      </c>
      <c r="AF811" s="0" t="s">
        <v>236</v>
      </c>
      <c r="AG811" s="0" t="s">
        <v>236</v>
      </c>
      <c r="AH811" s="0" t="s">
        <v>236</v>
      </c>
      <c r="AI811" s="0" t="s">
        <v>2106</v>
      </c>
      <c r="AJ811" s="0" t="s">
        <v>3641</v>
      </c>
      <c r="AK811" s="0" t="s">
        <v>3642</v>
      </c>
      <c r="AL811" s="0" t="s">
        <v>3643</v>
      </c>
      <c r="AM811" s="0" t="s">
        <v>94</v>
      </c>
      <c r="AN811" s="26" t="n">
        <f aca="false">IFERROR(E811*(1+IF(AM811="Apartment",Data_Summary!$C$3,0)),"")</f>
        <v>4.6039603960396</v>
      </c>
      <c r="AO811" s="4" t="n">
        <v>46195</v>
      </c>
    </row>
    <row r="812" customFormat="false" ht="15" hidden="false" customHeight="false" outlineLevel="0" collapsed="false">
      <c r="A812" s="0" t="n">
        <f aca="false">IF(AND(ISNUMBER(B812),B812&gt;0,ISNUMBER(AB812),AB812&gt;0,J812&gt;=Data_Summary!$C$1),1,0)</f>
        <v>1</v>
      </c>
      <c r="B812" s="30" t="n">
        <v>802</v>
      </c>
      <c r="C812" s="5" t="n">
        <f aca="false">IF(ISNUMBER(AB812),AB812,"")</f>
        <v>3300</v>
      </c>
      <c r="D812" s="0" t="n">
        <f aca="false">IF(ISNUMBER(C812),C812-U812*Data_Summary!$C$2,"")</f>
        <v>3150</v>
      </c>
      <c r="E812" s="31" t="n">
        <f aca="false">IFERROR(C812/B812,"")</f>
        <v>4.11471321695761</v>
      </c>
      <c r="F812" s="26" t="n">
        <f aca="false">IFERROR(D812/B812,"")</f>
        <v>3.92768079800499</v>
      </c>
      <c r="G812" s="0" t="str">
        <f aca="false">Q812</f>
        <v>2</v>
      </c>
      <c r="H812" s="0" t="str">
        <f aca="false">IFERROR(LEFT(G812,1),"")</f>
        <v>2</v>
      </c>
      <c r="I812" s="0" t="n">
        <f aca="false">IF(LEN(G812)&gt;1,1,0)</f>
        <v>0</v>
      </c>
      <c r="J812" s="4" t="n">
        <v>45858</v>
      </c>
      <c r="K812" s="0" t="s">
        <v>14</v>
      </c>
      <c r="L812" s="0" t="s">
        <v>104</v>
      </c>
      <c r="M812" s="0" t="s">
        <v>226</v>
      </c>
      <c r="N812" s="0" t="s">
        <v>93</v>
      </c>
      <c r="O812" s="0" t="s">
        <v>2315</v>
      </c>
      <c r="Q812" s="0" t="s">
        <v>251</v>
      </c>
      <c r="R812" s="0" t="n">
        <v>2</v>
      </c>
      <c r="S812" s="5" t="n">
        <v>802</v>
      </c>
      <c r="T812" s="0" t="s">
        <v>229</v>
      </c>
      <c r="U812" s="0" t="n">
        <v>1</v>
      </c>
      <c r="V812" s="0" t="s">
        <v>230</v>
      </c>
      <c r="W812" s="0" t="s">
        <v>244</v>
      </c>
      <c r="X812" s="0" t="s">
        <v>232</v>
      </c>
      <c r="Y812" s="0" t="s">
        <v>272</v>
      </c>
      <c r="Z812" s="0" t="s">
        <v>3310</v>
      </c>
      <c r="AA812" s="0" t="s">
        <v>235</v>
      </c>
      <c r="AB812" s="32" t="n">
        <v>3300</v>
      </c>
      <c r="AC812" s="32" t="n">
        <v>3300</v>
      </c>
      <c r="AD812" s="26" t="n">
        <f aca="false">IFERROR(AB812/B812,"")</f>
        <v>4.11471321695761</v>
      </c>
      <c r="AE812" s="26" t="n">
        <f aca="false">IFERROR(AC812/B812,"")</f>
        <v>4.11471321695761</v>
      </c>
      <c r="AF812" s="0" t="s">
        <v>236</v>
      </c>
      <c r="AG812" s="0" t="s">
        <v>236</v>
      </c>
      <c r="AH812" s="0" t="s">
        <v>230</v>
      </c>
      <c r="AI812" s="0" t="s">
        <v>1031</v>
      </c>
      <c r="AJ812" s="0" t="s">
        <v>3644</v>
      </c>
      <c r="AK812" s="0" t="s">
        <v>3645</v>
      </c>
      <c r="AL812" s="0" t="s">
        <v>3646</v>
      </c>
      <c r="AM812" s="0" t="s">
        <v>94</v>
      </c>
      <c r="AN812" s="26" t="n">
        <f aca="false">IFERROR(E812*(1+IF(AM812="Apartment",Data_Summary!$C$3,0)),"")</f>
        <v>4.11471321695761</v>
      </c>
      <c r="AO812" s="4" t="n">
        <v>46195</v>
      </c>
    </row>
    <row r="813" customFormat="false" ht="15" hidden="false" customHeight="false" outlineLevel="0" collapsed="false">
      <c r="A813" s="0" t="n">
        <f aca="false">IF(AND(ISNUMBER(B813),B813&gt;0,ISNUMBER(AB813),AB813&gt;0,J813&gt;=Data_Summary!$C$1),1,0)</f>
        <v>1</v>
      </c>
      <c r="B813" s="33" t="n">
        <v>575</v>
      </c>
      <c r="C813" s="5" t="n">
        <f aca="false">IF(ISNUMBER(AB813),AB813,"")</f>
        <v>2700</v>
      </c>
      <c r="D813" s="0" t="n">
        <f aca="false">IF(ISNUMBER(C813),C813-U813*Data_Summary!$C$2,"")</f>
        <v>2550</v>
      </c>
      <c r="E813" s="34" t="n">
        <f aca="false">IFERROR(C813/B813,"")</f>
        <v>4.69565217391304</v>
      </c>
      <c r="F813" s="26" t="n">
        <f aca="false">IFERROR(D813/B813,"")</f>
        <v>4.43478260869565</v>
      </c>
      <c r="G813" s="0" t="str">
        <f aca="false">Q813</f>
        <v>1+1</v>
      </c>
      <c r="H813" s="0" t="str">
        <f aca="false">IFERROR(LEFT(G813,1),"")</f>
        <v>1</v>
      </c>
      <c r="I813" s="0" t="n">
        <f aca="false">IF(LEN(G813)&gt;1,1,0)</f>
        <v>1</v>
      </c>
      <c r="J813" s="4" t="n">
        <v>45855</v>
      </c>
      <c r="K813" s="0" t="s">
        <v>14</v>
      </c>
      <c r="L813" s="0" t="s">
        <v>104</v>
      </c>
      <c r="M813" s="0" t="s">
        <v>226</v>
      </c>
      <c r="N813" s="0" t="s">
        <v>93</v>
      </c>
      <c r="O813" s="0" t="s">
        <v>1496</v>
      </c>
      <c r="Q813" s="0" t="s">
        <v>270</v>
      </c>
      <c r="R813" s="0" t="n">
        <v>1</v>
      </c>
      <c r="S813" s="5" t="n">
        <v>575</v>
      </c>
      <c r="T813" s="0" t="s">
        <v>243</v>
      </c>
      <c r="U813" s="0" t="n">
        <v>1</v>
      </c>
      <c r="V813" s="0" t="s">
        <v>230</v>
      </c>
      <c r="W813" s="0" t="s">
        <v>244</v>
      </c>
      <c r="X813" s="0" t="s">
        <v>232</v>
      </c>
      <c r="Y813" s="0" t="s">
        <v>272</v>
      </c>
      <c r="Z813" s="0" t="s">
        <v>3310</v>
      </c>
      <c r="AA813" s="0" t="s">
        <v>235</v>
      </c>
      <c r="AB813" s="32" t="n">
        <v>2700</v>
      </c>
      <c r="AC813" s="32" t="n">
        <v>2600</v>
      </c>
      <c r="AD813" s="26" t="n">
        <f aca="false">IFERROR(AB813/B813,"")</f>
        <v>4.69565217391304</v>
      </c>
      <c r="AE813" s="26" t="n">
        <f aca="false">IFERROR(AC813/B813,"")</f>
        <v>4.52173913043478</v>
      </c>
      <c r="AF813" s="0" t="s">
        <v>421</v>
      </c>
      <c r="AG813" s="0" t="s">
        <v>236</v>
      </c>
      <c r="AH813" s="0" t="s">
        <v>230</v>
      </c>
      <c r="AI813" s="0" t="s">
        <v>1058</v>
      </c>
      <c r="AJ813" s="0" t="s">
        <v>3647</v>
      </c>
      <c r="AK813" s="0" t="s">
        <v>3648</v>
      </c>
      <c r="AL813" s="0" t="s">
        <v>3649</v>
      </c>
      <c r="AM813" s="0" t="s">
        <v>94</v>
      </c>
      <c r="AN813" s="26" t="n">
        <f aca="false">IFERROR(E813*(1+IF(AM813="Apartment",Data_Summary!$C$3,0)),"")</f>
        <v>4.69565217391304</v>
      </c>
      <c r="AO813" s="4" t="n">
        <v>46195</v>
      </c>
    </row>
    <row r="814" customFormat="false" ht="15" hidden="false" customHeight="false" outlineLevel="0" collapsed="false">
      <c r="A814" s="0" t="n">
        <f aca="false">IF(AND(ISNUMBER(B814),B814&gt;0,ISNUMBER(AB814),AB814&gt;0,J814&gt;=Data_Summary!$C$1),1,0)</f>
        <v>1</v>
      </c>
      <c r="B814" s="30" t="n">
        <v>1103</v>
      </c>
      <c r="C814" s="5" t="n">
        <f aca="false">IF(ISNUMBER(AB814),AB814,"")</f>
        <v>4300</v>
      </c>
      <c r="D814" s="0" t="n">
        <f aca="false">IF(ISNUMBER(C814),C814-U814*Data_Summary!$C$2,"")</f>
        <v>4150</v>
      </c>
      <c r="E814" s="31" t="n">
        <f aca="false">IFERROR(C814/B814,"")</f>
        <v>3.89845874886673</v>
      </c>
      <c r="F814" s="26" t="n">
        <f aca="false">IFERROR(D814/B814,"")</f>
        <v>3.76246600181324</v>
      </c>
      <c r="G814" s="0" t="str">
        <f aca="false">Q814</f>
        <v>3</v>
      </c>
      <c r="H814" s="0" t="str">
        <f aca="false">IFERROR(LEFT(G814,1),"")</f>
        <v>3</v>
      </c>
      <c r="I814" s="0" t="n">
        <f aca="false">IF(LEN(G814)&gt;1,1,0)</f>
        <v>0</v>
      </c>
      <c r="J814" s="4" t="n">
        <v>45849</v>
      </c>
      <c r="K814" s="0" t="s">
        <v>14</v>
      </c>
      <c r="L814" s="0" t="s">
        <v>104</v>
      </c>
      <c r="M814" s="0" t="s">
        <v>226</v>
      </c>
      <c r="N814" s="0" t="s">
        <v>93</v>
      </c>
      <c r="O814" s="0" t="s">
        <v>647</v>
      </c>
      <c r="Q814" s="0" t="s">
        <v>228</v>
      </c>
      <c r="R814" s="0" t="n">
        <v>2</v>
      </c>
      <c r="S814" s="5" t="n">
        <v>1103</v>
      </c>
      <c r="T814" s="0" t="s">
        <v>265</v>
      </c>
      <c r="U814" s="0" t="n">
        <v>1</v>
      </c>
      <c r="V814" s="0" t="s">
        <v>230</v>
      </c>
      <c r="W814" s="0" t="s">
        <v>244</v>
      </c>
      <c r="X814" s="0" t="s">
        <v>232</v>
      </c>
      <c r="Y814" s="0" t="s">
        <v>233</v>
      </c>
      <c r="Z814" s="0" t="s">
        <v>3310</v>
      </c>
      <c r="AA814" s="0" t="s">
        <v>235</v>
      </c>
      <c r="AB814" s="32" t="n">
        <v>4300</v>
      </c>
      <c r="AC814" s="32" t="n">
        <v>4300</v>
      </c>
      <c r="AD814" s="26" t="n">
        <f aca="false">IFERROR(AB814/B814,"")</f>
        <v>3.89845874886673</v>
      </c>
      <c r="AE814" s="26" t="n">
        <f aca="false">IFERROR(AC814/B814,"")</f>
        <v>3.89845874886673</v>
      </c>
      <c r="AF814" s="0" t="s">
        <v>236</v>
      </c>
      <c r="AG814" s="0" t="s">
        <v>236</v>
      </c>
      <c r="AH814" s="0" t="s">
        <v>230</v>
      </c>
      <c r="AI814" s="0" t="s">
        <v>1111</v>
      </c>
      <c r="AJ814" s="0" t="s">
        <v>3650</v>
      </c>
      <c r="AK814" s="0" t="s">
        <v>3651</v>
      </c>
      <c r="AL814" s="0" t="s">
        <v>3652</v>
      </c>
      <c r="AM814" s="0" t="s">
        <v>94</v>
      </c>
      <c r="AN814" s="26" t="n">
        <f aca="false">IFERROR(E814*(1+IF(AM814="Apartment",Data_Summary!$C$3,0)),"")</f>
        <v>3.89845874886673</v>
      </c>
      <c r="AO814" s="4" t="n">
        <v>46195</v>
      </c>
    </row>
    <row r="815" customFormat="false" ht="15" hidden="false" customHeight="false" outlineLevel="0" collapsed="false">
      <c r="A815" s="0" t="n">
        <f aca="false">IF(AND(ISNUMBER(B815),B815&gt;0,ISNUMBER(AB815),AB815&gt;0,J815&gt;=Data_Summary!$C$1),1,0)</f>
        <v>1</v>
      </c>
      <c r="B815" s="30" t="n">
        <v>705</v>
      </c>
      <c r="C815" s="5" t="n">
        <f aca="false">IF(ISNUMBER(AB815),AB815,"")</f>
        <v>3000</v>
      </c>
      <c r="D815" s="0" t="n">
        <f aca="false">IF(ISNUMBER(C815),C815-U815*Data_Summary!$C$2,"")</f>
        <v>2850</v>
      </c>
      <c r="E815" s="31" t="n">
        <f aca="false">IFERROR(C815/B815,"")</f>
        <v>4.25531914893617</v>
      </c>
      <c r="F815" s="26" t="n">
        <f aca="false">IFERROR(D815/B815,"")</f>
        <v>4.04255319148936</v>
      </c>
      <c r="G815" s="0" t="str">
        <f aca="false">Q815</f>
        <v>2+1</v>
      </c>
      <c r="H815" s="0" t="str">
        <f aca="false">IFERROR(LEFT(G815,1),"")</f>
        <v>2</v>
      </c>
      <c r="I815" s="0" t="n">
        <f aca="false">IF(LEN(G815)&gt;1,1,0)</f>
        <v>1</v>
      </c>
      <c r="J815" s="4" t="n">
        <v>45842</v>
      </c>
      <c r="K815" s="0" t="s">
        <v>14</v>
      </c>
      <c r="L815" s="0" t="s">
        <v>104</v>
      </c>
      <c r="M815" s="0" t="s">
        <v>226</v>
      </c>
      <c r="N815" s="0" t="s">
        <v>93</v>
      </c>
      <c r="O815" s="0" t="s">
        <v>652</v>
      </c>
      <c r="Q815" s="0" t="s">
        <v>451</v>
      </c>
      <c r="R815" s="0" t="n">
        <v>1</v>
      </c>
      <c r="S815" s="5" t="n">
        <v>705</v>
      </c>
      <c r="T815" s="0" t="s">
        <v>252</v>
      </c>
      <c r="U815" s="0" t="n">
        <v>1</v>
      </c>
      <c r="V815" s="0" t="s">
        <v>230</v>
      </c>
      <c r="W815" s="0" t="s">
        <v>231</v>
      </c>
      <c r="X815" s="0" t="s">
        <v>232</v>
      </c>
      <c r="Y815" s="0" t="s">
        <v>233</v>
      </c>
      <c r="Z815" s="0" t="s">
        <v>3310</v>
      </c>
      <c r="AA815" s="0" t="s">
        <v>235</v>
      </c>
      <c r="AB815" s="32" t="n">
        <v>3000</v>
      </c>
      <c r="AC815" s="32" t="n">
        <v>3000</v>
      </c>
      <c r="AD815" s="26" t="n">
        <f aca="false">IFERROR(AB815/B815,"")</f>
        <v>4.25531914893617</v>
      </c>
      <c r="AE815" s="26" t="n">
        <f aca="false">IFERROR(AC815/B815,"")</f>
        <v>4.25531914893617</v>
      </c>
      <c r="AF815" s="0" t="s">
        <v>236</v>
      </c>
      <c r="AG815" s="0" t="s">
        <v>236</v>
      </c>
      <c r="AH815" s="0" t="s">
        <v>230</v>
      </c>
      <c r="AI815" s="0" t="s">
        <v>1166</v>
      </c>
      <c r="AJ815" s="0" t="s">
        <v>3653</v>
      </c>
      <c r="AK815" s="0" t="s">
        <v>3654</v>
      </c>
      <c r="AL815" s="0" t="s">
        <v>3655</v>
      </c>
      <c r="AM815" s="0" t="s">
        <v>94</v>
      </c>
      <c r="AN815" s="26" t="n">
        <f aca="false">IFERROR(E815*(1+IF(AM815="Apartment",Data_Summary!$C$3,0)),"")</f>
        <v>4.25531914893617</v>
      </c>
      <c r="AO815" s="4" t="n">
        <v>46195</v>
      </c>
    </row>
    <row r="816" customFormat="false" ht="15" hidden="false" customHeight="false" outlineLevel="0" collapsed="false">
      <c r="A816" s="0" t="n">
        <f aca="false">IF(AND(ISNUMBER(B816),B816&gt;0,ISNUMBER(AB816),AB816&gt;0,J816&gt;=Data_Summary!$C$1),1,0)</f>
        <v>1</v>
      </c>
      <c r="B816" s="30" t="n">
        <v>1038</v>
      </c>
      <c r="C816" s="5" t="n">
        <f aca="false">IF(ISNUMBER(AB816),AB816,"")</f>
        <v>3900</v>
      </c>
      <c r="D816" s="0" t="n">
        <f aca="false">IF(ISNUMBER(C816),C816-U816*Data_Summary!$C$2,"")</f>
        <v>3750</v>
      </c>
      <c r="E816" s="31" t="n">
        <f aca="false">IFERROR(C816/B816,"")</f>
        <v>3.75722543352601</v>
      </c>
      <c r="F816" s="26" t="n">
        <f aca="false">IFERROR(D816/B816,"")</f>
        <v>3.61271676300578</v>
      </c>
      <c r="G816" s="0" t="str">
        <f aca="false">Q816</f>
        <v>3</v>
      </c>
      <c r="H816" s="0" t="str">
        <f aca="false">IFERROR(LEFT(G816,1),"")</f>
        <v>3</v>
      </c>
      <c r="I816" s="0" t="n">
        <f aca="false">IF(LEN(G816)&gt;1,1,0)</f>
        <v>0</v>
      </c>
      <c r="J816" s="4" t="n">
        <v>45841</v>
      </c>
      <c r="K816" s="0" t="s">
        <v>14</v>
      </c>
      <c r="L816" s="0" t="s">
        <v>104</v>
      </c>
      <c r="M816" s="0" t="s">
        <v>226</v>
      </c>
      <c r="N816" s="0" t="s">
        <v>93</v>
      </c>
      <c r="O816" s="0" t="s">
        <v>1891</v>
      </c>
      <c r="Q816" s="0" t="s">
        <v>228</v>
      </c>
      <c r="R816" s="0" t="n">
        <v>2</v>
      </c>
      <c r="S816" s="5" t="n">
        <v>1038</v>
      </c>
      <c r="T816" s="0" t="s">
        <v>265</v>
      </c>
      <c r="U816" s="0" t="n">
        <v>1</v>
      </c>
      <c r="V816" s="0" t="s">
        <v>230</v>
      </c>
      <c r="W816" s="0" t="s">
        <v>231</v>
      </c>
      <c r="X816" s="0" t="s">
        <v>232</v>
      </c>
      <c r="Y816" s="0" t="s">
        <v>260</v>
      </c>
      <c r="Z816" s="0" t="s">
        <v>3310</v>
      </c>
      <c r="AA816" s="0" t="s">
        <v>235</v>
      </c>
      <c r="AB816" s="32" t="n">
        <v>3900</v>
      </c>
      <c r="AC816" s="32" t="n">
        <v>3900</v>
      </c>
      <c r="AD816" s="26" t="n">
        <f aca="false">IFERROR(AB816/B816,"")</f>
        <v>3.75722543352601</v>
      </c>
      <c r="AE816" s="26" t="n">
        <f aca="false">IFERROR(AC816/B816,"")</f>
        <v>3.75722543352601</v>
      </c>
      <c r="AF816" s="0" t="s">
        <v>236</v>
      </c>
      <c r="AG816" s="0" t="s">
        <v>236</v>
      </c>
      <c r="AH816" s="0" t="s">
        <v>230</v>
      </c>
      <c r="AI816" s="0" t="s">
        <v>1171</v>
      </c>
      <c r="AJ816" s="0" t="s">
        <v>3656</v>
      </c>
      <c r="AK816" s="0" t="s">
        <v>3657</v>
      </c>
      <c r="AL816" s="0" t="s">
        <v>3658</v>
      </c>
      <c r="AM816" s="0" t="s">
        <v>94</v>
      </c>
      <c r="AN816" s="26" t="n">
        <f aca="false">IFERROR(E816*(1+IF(AM816="Apartment",Data_Summary!$C$3,0)),"")</f>
        <v>3.75722543352601</v>
      </c>
      <c r="AO816" s="4" t="n">
        <v>46195</v>
      </c>
    </row>
    <row r="817" customFormat="false" ht="15" hidden="false" customHeight="false" outlineLevel="0" collapsed="false">
      <c r="A817" s="0" t="n">
        <f aca="false">IF(AND(ISNUMBER(B817),B817&gt;0,ISNUMBER(AB817),AB817&gt;0,J817&gt;=Data_Summary!$C$1),1,0)</f>
        <v>1</v>
      </c>
      <c r="B817" s="30" t="n">
        <v>507</v>
      </c>
      <c r="C817" s="5" t="n">
        <f aca="false">IF(ISNUMBER(AB817),AB817,"")</f>
        <v>2450</v>
      </c>
      <c r="D817" s="0" t="n">
        <f aca="false">IF(ISNUMBER(C817),C817-U817*Data_Summary!$C$2,"")</f>
        <v>2300</v>
      </c>
      <c r="E817" s="31" t="n">
        <f aca="false">IFERROR(C817/B817,"")</f>
        <v>4.83234714003945</v>
      </c>
      <c r="F817" s="26" t="n">
        <f aca="false">IFERROR(D817/B817,"")</f>
        <v>4.53648915187377</v>
      </c>
      <c r="G817" s="0" t="str">
        <f aca="false">Q817</f>
        <v>1</v>
      </c>
      <c r="H817" s="0" t="str">
        <f aca="false">IFERROR(LEFT(G817,1),"")</f>
        <v>1</v>
      </c>
      <c r="I817" s="0" t="n">
        <f aca="false">IF(LEN(G817)&gt;1,1,0)</f>
        <v>0</v>
      </c>
      <c r="J817" s="4" t="n">
        <v>45840</v>
      </c>
      <c r="K817" s="0" t="s">
        <v>14</v>
      </c>
      <c r="L817" s="0" t="s">
        <v>104</v>
      </c>
      <c r="M817" s="0" t="s">
        <v>226</v>
      </c>
      <c r="N817" s="0" t="s">
        <v>93</v>
      </c>
      <c r="O817" s="0" t="s">
        <v>622</v>
      </c>
      <c r="Q817" s="0" t="s">
        <v>242</v>
      </c>
      <c r="R817" s="0" t="n">
        <v>1</v>
      </c>
      <c r="S817" s="5" t="n">
        <v>507</v>
      </c>
      <c r="T817" s="0" t="s">
        <v>243</v>
      </c>
      <c r="U817" s="0" t="n">
        <v>1</v>
      </c>
      <c r="V817" s="0" t="s">
        <v>230</v>
      </c>
      <c r="W817" s="0" t="s">
        <v>231</v>
      </c>
      <c r="X817" s="0" t="s">
        <v>232</v>
      </c>
      <c r="Y817" s="0" t="s">
        <v>297</v>
      </c>
      <c r="Z817" s="0" t="s">
        <v>3310</v>
      </c>
      <c r="AA817" s="0" t="s">
        <v>235</v>
      </c>
      <c r="AB817" s="32" t="n">
        <v>2450</v>
      </c>
      <c r="AC817" s="32" t="n">
        <v>2450</v>
      </c>
      <c r="AD817" s="26" t="n">
        <f aca="false">IFERROR(AB817/B817,"")</f>
        <v>4.83234714003945</v>
      </c>
      <c r="AE817" s="26" t="n">
        <f aca="false">IFERROR(AC817/B817,"")</f>
        <v>4.83234714003945</v>
      </c>
      <c r="AF817" s="0" t="s">
        <v>236</v>
      </c>
      <c r="AG817" s="0" t="s">
        <v>236</v>
      </c>
      <c r="AH817" s="0" t="s">
        <v>230</v>
      </c>
      <c r="AI817" s="0" t="s">
        <v>1192</v>
      </c>
      <c r="AJ817" s="0" t="s">
        <v>3659</v>
      </c>
      <c r="AK817" s="0" t="s">
        <v>3660</v>
      </c>
      <c r="AL817" s="0" t="s">
        <v>3661</v>
      </c>
      <c r="AM817" s="0" t="s">
        <v>94</v>
      </c>
      <c r="AN817" s="26" t="n">
        <f aca="false">IFERROR(E817*(1+IF(AM817="Apartment",Data_Summary!$C$3,0)),"")</f>
        <v>4.83234714003945</v>
      </c>
      <c r="AO817" s="4" t="n">
        <v>46195</v>
      </c>
    </row>
    <row r="818" customFormat="false" ht="15" hidden="false" customHeight="false" outlineLevel="0" collapsed="false">
      <c r="A818" s="0" t="n">
        <f aca="false">IF(AND(ISNUMBER(B818),B818&gt;0,ISNUMBER(AB818),AB818&gt;0,J818&gt;=Data_Summary!$C$1),1,0)</f>
        <v>1</v>
      </c>
      <c r="B818" s="30" t="n">
        <v>507</v>
      </c>
      <c r="C818" s="5" t="n">
        <f aca="false">IF(ISNUMBER(AB818),AB818,"")</f>
        <v>2150</v>
      </c>
      <c r="D818" s="0" t="n">
        <f aca="false">IF(ISNUMBER(C818),C818-U818*Data_Summary!$C$2,"")</f>
        <v>2150</v>
      </c>
      <c r="E818" s="31" t="n">
        <f aca="false">IFERROR(C818/B818,"")</f>
        <v>4.24063116370809</v>
      </c>
      <c r="F818" s="26" t="n">
        <f aca="false">IFERROR(D818/B818,"")</f>
        <v>4.24063116370809</v>
      </c>
      <c r="G818" s="0" t="str">
        <f aca="false">Q818</f>
        <v>1</v>
      </c>
      <c r="H818" s="0" t="str">
        <f aca="false">IFERROR(LEFT(G818,1),"")</f>
        <v>1</v>
      </c>
      <c r="I818" s="0" t="n">
        <f aca="false">IF(LEN(G818)&gt;1,1,0)</f>
        <v>0</v>
      </c>
      <c r="J818" s="4" t="n">
        <v>45836</v>
      </c>
      <c r="K818" s="0" t="s">
        <v>14</v>
      </c>
      <c r="L818" s="0" t="s">
        <v>104</v>
      </c>
      <c r="M818" s="0" t="s">
        <v>226</v>
      </c>
      <c r="N818" s="0" t="s">
        <v>93</v>
      </c>
      <c r="O818" s="0" t="s">
        <v>3509</v>
      </c>
      <c r="Q818" s="0" t="s">
        <v>242</v>
      </c>
      <c r="R818" s="0" t="n">
        <v>1</v>
      </c>
      <c r="S818" s="5" t="n">
        <v>507</v>
      </c>
      <c r="T818" s="0" t="s">
        <v>243</v>
      </c>
      <c r="U818" s="0" t="n">
        <v>0</v>
      </c>
      <c r="V818" s="0" t="s">
        <v>230</v>
      </c>
      <c r="W818" s="0" t="s">
        <v>244</v>
      </c>
      <c r="X818" s="0" t="s">
        <v>232</v>
      </c>
      <c r="Y818" s="0" t="s">
        <v>233</v>
      </c>
      <c r="Z818" s="0" t="s">
        <v>3310</v>
      </c>
      <c r="AA818" s="0" t="s">
        <v>235</v>
      </c>
      <c r="AB818" s="32" t="n">
        <v>2150</v>
      </c>
      <c r="AC818" s="32" t="n">
        <v>2150</v>
      </c>
      <c r="AD818" s="26" t="n">
        <f aca="false">IFERROR(AB818/B818,"")</f>
        <v>4.24063116370809</v>
      </c>
      <c r="AE818" s="26" t="n">
        <f aca="false">IFERROR(AC818/B818,"")</f>
        <v>4.24063116370809</v>
      </c>
      <c r="AF818" s="0" t="s">
        <v>236</v>
      </c>
      <c r="AG818" s="0" t="s">
        <v>236</v>
      </c>
      <c r="AH818" s="0" t="s">
        <v>230</v>
      </c>
      <c r="AI818" s="0" t="s">
        <v>1224</v>
      </c>
      <c r="AJ818" s="0" t="s">
        <v>3662</v>
      </c>
      <c r="AK818" s="0" t="s">
        <v>3663</v>
      </c>
      <c r="AL818" s="0" t="s">
        <v>3664</v>
      </c>
      <c r="AM818" s="0" t="s">
        <v>94</v>
      </c>
      <c r="AN818" s="26" t="n">
        <f aca="false">IFERROR(E818*(1+IF(AM818="Apartment",Data_Summary!$C$3,0)),"")</f>
        <v>4.24063116370809</v>
      </c>
      <c r="AO818" s="4" t="n">
        <v>46195</v>
      </c>
    </row>
    <row r="819" customFormat="false" ht="15" hidden="false" customHeight="false" outlineLevel="0" collapsed="false">
      <c r="A819" s="0" t="n">
        <f aca="false">IF(AND(ISNUMBER(B819),B819&gt;0,ISNUMBER(AB819),AB819&gt;0,J819&gt;=Data_Summary!$C$1),1,0)</f>
        <v>1</v>
      </c>
      <c r="B819" s="30" t="n">
        <v>505</v>
      </c>
      <c r="C819" s="5" t="n">
        <f aca="false">IF(ISNUMBER(AB819),AB819,"")</f>
        <v>2250</v>
      </c>
      <c r="D819" s="0" t="n">
        <f aca="false">IF(ISNUMBER(C819),C819-U819*Data_Summary!$C$2,"")</f>
        <v>2250</v>
      </c>
      <c r="E819" s="31" t="n">
        <f aca="false">IFERROR(C819/B819,"")</f>
        <v>4.45544554455446</v>
      </c>
      <c r="F819" s="26" t="n">
        <f aca="false">IFERROR(D819/B819,"")</f>
        <v>4.45544554455446</v>
      </c>
      <c r="G819" s="0" t="str">
        <f aca="false">Q819</f>
        <v>1</v>
      </c>
      <c r="H819" s="0" t="str">
        <f aca="false">IFERROR(LEFT(G819,1),"")</f>
        <v>1</v>
      </c>
      <c r="I819" s="0" t="n">
        <f aca="false">IF(LEN(G819)&gt;1,1,0)</f>
        <v>0</v>
      </c>
      <c r="J819" s="4" t="n">
        <v>45835</v>
      </c>
      <c r="K819" s="0" t="s">
        <v>14</v>
      </c>
      <c r="L819" s="0" t="s">
        <v>104</v>
      </c>
      <c r="M819" s="0" t="s">
        <v>226</v>
      </c>
      <c r="N819" s="0" t="s">
        <v>93</v>
      </c>
      <c r="O819" s="0" t="s">
        <v>2289</v>
      </c>
      <c r="Q819" s="0" t="s">
        <v>242</v>
      </c>
      <c r="R819" s="0" t="n">
        <v>1</v>
      </c>
      <c r="S819" s="5" t="n">
        <v>505</v>
      </c>
      <c r="T819" s="0" t="s">
        <v>243</v>
      </c>
      <c r="U819" s="0" t="n">
        <v>0</v>
      </c>
      <c r="V819" s="0" t="s">
        <v>230</v>
      </c>
      <c r="X819" s="0" t="s">
        <v>232</v>
      </c>
      <c r="Y819" s="0" t="s">
        <v>272</v>
      </c>
      <c r="Z819" s="0" t="s">
        <v>3310</v>
      </c>
      <c r="AA819" s="0" t="s">
        <v>235</v>
      </c>
      <c r="AB819" s="32" t="n">
        <v>2250</v>
      </c>
      <c r="AC819" s="32" t="n">
        <v>2250</v>
      </c>
      <c r="AD819" s="26" t="n">
        <f aca="false">IFERROR(AB819/B819,"")</f>
        <v>4.45544554455446</v>
      </c>
      <c r="AE819" s="26" t="n">
        <f aca="false">IFERROR(AC819/B819,"")</f>
        <v>4.45544554455446</v>
      </c>
      <c r="AF819" s="0" t="s">
        <v>236</v>
      </c>
      <c r="AG819" s="0" t="s">
        <v>236</v>
      </c>
      <c r="AH819" s="0" t="s">
        <v>230</v>
      </c>
      <c r="AI819" s="0" t="s">
        <v>1233</v>
      </c>
      <c r="AJ819" s="0" t="s">
        <v>3665</v>
      </c>
      <c r="AK819" s="0" t="s">
        <v>3666</v>
      </c>
      <c r="AL819" s="0" t="s">
        <v>1239</v>
      </c>
      <c r="AM819" s="0" t="s">
        <v>94</v>
      </c>
      <c r="AN819" s="26" t="n">
        <f aca="false">IFERROR(E819*(1+IF(AM819="Apartment",Data_Summary!$C$3,0)),"")</f>
        <v>4.45544554455446</v>
      </c>
      <c r="AO819" s="4" t="n">
        <v>46195</v>
      </c>
    </row>
    <row r="820" customFormat="false" ht="15" hidden="false" customHeight="false" outlineLevel="0" collapsed="false">
      <c r="A820" s="0" t="n">
        <f aca="false">IF(AND(ISNUMBER(B820),B820&gt;0,ISNUMBER(AB820),AB820&gt;0,J820&gt;=Data_Summary!$C$1),1,0)</f>
        <v>1</v>
      </c>
      <c r="B820" s="30" t="n">
        <v>537</v>
      </c>
      <c r="C820" s="5" t="n">
        <f aca="false">IF(ISNUMBER(AB820),AB820,"")</f>
        <v>2100</v>
      </c>
      <c r="D820" s="0" t="n">
        <f aca="false">IF(ISNUMBER(C820),C820-U820*Data_Summary!$C$2,"")</f>
        <v>2100</v>
      </c>
      <c r="E820" s="31" t="n">
        <f aca="false">IFERROR(C820/B820,"")</f>
        <v>3.91061452513967</v>
      </c>
      <c r="F820" s="26" t="n">
        <f aca="false">IFERROR(D820/B820,"")</f>
        <v>3.91061452513967</v>
      </c>
      <c r="G820" s="0" t="str">
        <f aca="false">Q820</f>
        <v>1</v>
      </c>
      <c r="H820" s="0" t="str">
        <f aca="false">IFERROR(LEFT(G820,1),"")</f>
        <v>1</v>
      </c>
      <c r="I820" s="0" t="n">
        <f aca="false">IF(LEN(G820)&gt;1,1,0)</f>
        <v>0</v>
      </c>
      <c r="J820" s="4" t="n">
        <v>45834</v>
      </c>
      <c r="K820" s="0" t="s">
        <v>14</v>
      </c>
      <c r="L820" s="0" t="s">
        <v>104</v>
      </c>
      <c r="M820" s="0" t="s">
        <v>226</v>
      </c>
      <c r="N820" s="0" t="s">
        <v>93</v>
      </c>
      <c r="O820" s="0" t="s">
        <v>2110</v>
      </c>
      <c r="Q820" s="0" t="s">
        <v>242</v>
      </c>
      <c r="R820" s="0" t="n">
        <v>1</v>
      </c>
      <c r="S820" s="5" t="n">
        <v>537</v>
      </c>
      <c r="T820" s="0" t="s">
        <v>243</v>
      </c>
      <c r="U820" s="0" t="n">
        <v>0</v>
      </c>
      <c r="V820" s="0" t="s">
        <v>230</v>
      </c>
      <c r="W820" s="0" t="s">
        <v>244</v>
      </c>
      <c r="X820" s="0" t="s">
        <v>232</v>
      </c>
      <c r="Y820" s="0" t="s">
        <v>245</v>
      </c>
      <c r="Z820" s="0" t="s">
        <v>3310</v>
      </c>
      <c r="AA820" s="0" t="s">
        <v>235</v>
      </c>
      <c r="AB820" s="32" t="n">
        <v>2100</v>
      </c>
      <c r="AC820" s="32" t="n">
        <v>2100</v>
      </c>
      <c r="AD820" s="26" t="n">
        <f aca="false">IFERROR(AB820/B820,"")</f>
        <v>3.91061452513967</v>
      </c>
      <c r="AE820" s="26" t="n">
        <f aca="false">IFERROR(AC820/B820,"")</f>
        <v>3.91061452513967</v>
      </c>
      <c r="AF820" s="0" t="s">
        <v>236</v>
      </c>
      <c r="AG820" s="0" t="s">
        <v>236</v>
      </c>
      <c r="AH820" s="0" t="s">
        <v>236</v>
      </c>
      <c r="AI820" s="0" t="s">
        <v>1241</v>
      </c>
      <c r="AJ820" s="0" t="s">
        <v>3667</v>
      </c>
      <c r="AK820" s="0" t="s">
        <v>3668</v>
      </c>
      <c r="AL820" s="0" t="s">
        <v>3669</v>
      </c>
      <c r="AM820" s="0" t="s">
        <v>94</v>
      </c>
      <c r="AN820" s="26" t="n">
        <f aca="false">IFERROR(E820*(1+IF(AM820="Apartment",Data_Summary!$C$3,0)),"")</f>
        <v>3.91061452513967</v>
      </c>
      <c r="AO820" s="4" t="n">
        <v>46195</v>
      </c>
    </row>
    <row r="821" customFormat="false" ht="15" hidden="false" customHeight="false" outlineLevel="0" collapsed="false">
      <c r="A821" s="0" t="n">
        <f aca="false">IF(AND(ISNUMBER(B821),B821&gt;0,ISNUMBER(AB821),AB821&gt;0,J821&gt;=Data_Summary!$C$1),1,0)</f>
        <v>1</v>
      </c>
      <c r="B821" s="30" t="n">
        <v>655</v>
      </c>
      <c r="C821" s="5" t="n">
        <f aca="false">IF(ISNUMBER(AB821),AB821,"")</f>
        <v>2750</v>
      </c>
      <c r="D821" s="0" t="n">
        <f aca="false">IF(ISNUMBER(C821),C821-U821*Data_Summary!$C$2,"")</f>
        <v>2600</v>
      </c>
      <c r="E821" s="31" t="n">
        <f aca="false">IFERROR(C821/B821,"")</f>
        <v>4.19847328244275</v>
      </c>
      <c r="F821" s="26" t="n">
        <f aca="false">IFERROR(D821/B821,"")</f>
        <v>3.96946564885496</v>
      </c>
      <c r="G821" s="0" t="str">
        <f aca="false">Q821</f>
        <v>1+1</v>
      </c>
      <c r="H821" s="0" t="str">
        <f aca="false">IFERROR(LEFT(G821,1),"")</f>
        <v>1</v>
      </c>
      <c r="I821" s="0" t="n">
        <f aca="false">IF(LEN(G821)&gt;1,1,0)</f>
        <v>1</v>
      </c>
      <c r="J821" s="4" t="n">
        <v>45830</v>
      </c>
      <c r="K821" s="0" t="s">
        <v>14</v>
      </c>
      <c r="L821" s="0" t="s">
        <v>104</v>
      </c>
      <c r="M821" s="0" t="s">
        <v>226</v>
      </c>
      <c r="N821" s="0" t="s">
        <v>93</v>
      </c>
      <c r="O821" s="0" t="s">
        <v>3670</v>
      </c>
      <c r="Q821" s="0" t="s">
        <v>270</v>
      </c>
      <c r="R821" s="0" t="n">
        <v>1</v>
      </c>
      <c r="S821" s="5" t="n">
        <v>655</v>
      </c>
      <c r="T821" s="0" t="s">
        <v>271</v>
      </c>
      <c r="U821" s="0" t="n">
        <v>1</v>
      </c>
      <c r="V821" s="0" t="s">
        <v>230</v>
      </c>
      <c r="W821" s="0" t="s">
        <v>244</v>
      </c>
      <c r="X821" s="0" t="s">
        <v>232</v>
      </c>
      <c r="Y821" s="0" t="s">
        <v>278</v>
      </c>
      <c r="Z821" s="0" t="s">
        <v>3310</v>
      </c>
      <c r="AA821" s="0" t="s">
        <v>235</v>
      </c>
      <c r="AB821" s="32" t="n">
        <v>2750</v>
      </c>
      <c r="AC821" s="32" t="n">
        <v>2800</v>
      </c>
      <c r="AD821" s="26" t="n">
        <f aca="false">IFERROR(AB821/B821,"")</f>
        <v>4.19847328244275</v>
      </c>
      <c r="AE821" s="26" t="n">
        <f aca="false">IFERROR(AC821/B821,"")</f>
        <v>4.27480916030534</v>
      </c>
      <c r="AF821" s="0" t="s">
        <v>236</v>
      </c>
      <c r="AG821" s="0" t="s">
        <v>236</v>
      </c>
      <c r="AH821" s="0" t="s">
        <v>230</v>
      </c>
      <c r="AI821" s="0" t="s">
        <v>1305</v>
      </c>
      <c r="AJ821" s="0" t="s">
        <v>3671</v>
      </c>
      <c r="AK821" s="0" t="s">
        <v>3672</v>
      </c>
      <c r="AL821" s="0" t="s">
        <v>3673</v>
      </c>
      <c r="AM821" s="0" t="s">
        <v>94</v>
      </c>
      <c r="AN821" s="26" t="n">
        <f aca="false">IFERROR(E821*(1+IF(AM821="Apartment",Data_Summary!$C$3,0)),"")</f>
        <v>4.19847328244275</v>
      </c>
      <c r="AO821" s="4" t="n">
        <v>46195</v>
      </c>
    </row>
    <row r="822" customFormat="false" ht="15" hidden="false" customHeight="false" outlineLevel="0" collapsed="false">
      <c r="A822" s="0" t="n">
        <f aca="false">IF(AND(ISNUMBER(B822),B822&gt;0,ISNUMBER(AB822),AB822&gt;0,J822&gt;=Data_Summary!$C$1),1,0)</f>
        <v>1</v>
      </c>
      <c r="B822" s="30" t="n">
        <v>655</v>
      </c>
      <c r="C822" s="5" t="n">
        <f aca="false">IF(ISNUMBER(AB822),AB822,"")</f>
        <v>2300</v>
      </c>
      <c r="D822" s="0" t="n">
        <f aca="false">IF(ISNUMBER(C822),C822-U822*Data_Summary!$C$2,"")</f>
        <v>2300</v>
      </c>
      <c r="E822" s="31" t="n">
        <f aca="false">IFERROR(C822/B822,"")</f>
        <v>3.51145038167939</v>
      </c>
      <c r="F822" s="26" t="n">
        <f aca="false">IFERROR(D822/B822,"")</f>
        <v>3.51145038167939</v>
      </c>
      <c r="G822" s="0" t="str">
        <f aca="false">Q822</f>
        <v>1+1</v>
      </c>
      <c r="H822" s="0" t="str">
        <f aca="false">IFERROR(LEFT(G822,1),"")</f>
        <v>1</v>
      </c>
      <c r="I822" s="0" t="n">
        <f aca="false">IF(LEN(G822)&gt;1,1,0)</f>
        <v>1</v>
      </c>
      <c r="J822" s="4" t="n">
        <v>45828</v>
      </c>
      <c r="K822" s="0" t="s">
        <v>14</v>
      </c>
      <c r="L822" s="0" t="s">
        <v>104</v>
      </c>
      <c r="M822" s="0" t="s">
        <v>226</v>
      </c>
      <c r="N822" s="0" t="s">
        <v>93</v>
      </c>
      <c r="O822" s="0" t="s">
        <v>1482</v>
      </c>
      <c r="Q822" s="0" t="s">
        <v>270</v>
      </c>
      <c r="R822" s="0" t="n">
        <v>1</v>
      </c>
      <c r="S822" s="5" t="n">
        <v>655</v>
      </c>
      <c r="T822" s="0" t="s">
        <v>271</v>
      </c>
      <c r="U822" s="0" t="n">
        <v>0</v>
      </c>
      <c r="V822" s="0" t="s">
        <v>230</v>
      </c>
      <c r="W822" s="0" t="s">
        <v>244</v>
      </c>
      <c r="X822" s="0" t="s">
        <v>232</v>
      </c>
      <c r="Y822" s="0" t="s">
        <v>278</v>
      </c>
      <c r="Z822" s="0" t="s">
        <v>3310</v>
      </c>
      <c r="AA822" s="0" t="s">
        <v>235</v>
      </c>
      <c r="AB822" s="32" t="n">
        <v>2300</v>
      </c>
      <c r="AC822" s="32" t="n">
        <v>2300</v>
      </c>
      <c r="AD822" s="26" t="n">
        <f aca="false">IFERROR(AB822/B822,"")</f>
        <v>3.51145038167939</v>
      </c>
      <c r="AE822" s="26" t="n">
        <f aca="false">IFERROR(AC822/B822,"")</f>
        <v>3.51145038167939</v>
      </c>
      <c r="AF822" s="0" t="s">
        <v>236</v>
      </c>
      <c r="AG822" s="0" t="s">
        <v>236</v>
      </c>
      <c r="AH822" s="0" t="s">
        <v>230</v>
      </c>
      <c r="AI822" s="0" t="s">
        <v>1315</v>
      </c>
      <c r="AJ822" s="0" t="s">
        <v>3674</v>
      </c>
      <c r="AK822" s="0" t="s">
        <v>3675</v>
      </c>
      <c r="AL822" s="0" t="s">
        <v>3676</v>
      </c>
      <c r="AM822" s="0" t="s">
        <v>94</v>
      </c>
      <c r="AN822" s="26" t="n">
        <f aca="false">IFERROR(E822*(1+IF(AM822="Apartment",Data_Summary!$C$3,0)),"")</f>
        <v>3.51145038167939</v>
      </c>
      <c r="AO822" s="4" t="n">
        <v>46195</v>
      </c>
    </row>
    <row r="823" customFormat="false" ht="15" hidden="false" customHeight="false" outlineLevel="0" collapsed="false">
      <c r="A823" s="0" t="n">
        <f aca="false">IF(AND(ISNUMBER(B823),B823&gt;0,ISNUMBER(AB823),AB823&gt;0,J823&gt;=Data_Summary!$C$1),1,0)</f>
        <v>1</v>
      </c>
      <c r="B823" s="33" t="n">
        <v>533</v>
      </c>
      <c r="C823" s="5" t="n">
        <f aca="false">IF(ISNUMBER(AB823),AB823,"")</f>
        <v>2500</v>
      </c>
      <c r="D823" s="0" t="n">
        <f aca="false">IF(ISNUMBER(C823),C823-U823*Data_Summary!$C$2,"")</f>
        <v>2500</v>
      </c>
      <c r="E823" s="34" t="n">
        <f aca="false">IFERROR(C823/B823,"")</f>
        <v>4.69043151969981</v>
      </c>
      <c r="F823" s="26" t="n">
        <f aca="false">IFERROR(D823/B823,"")</f>
        <v>4.69043151969981</v>
      </c>
      <c r="G823" s="0" t="str">
        <f aca="false">Q823</f>
        <v>1</v>
      </c>
      <c r="H823" s="0" t="str">
        <f aca="false">IFERROR(LEFT(G823,1),"")</f>
        <v>1</v>
      </c>
      <c r="I823" s="0" t="n">
        <f aca="false">IF(LEN(G823)&gt;1,1,0)</f>
        <v>0</v>
      </c>
      <c r="J823" s="4" t="n">
        <v>45828</v>
      </c>
      <c r="K823" s="0" t="s">
        <v>14</v>
      </c>
      <c r="L823" s="0" t="s">
        <v>104</v>
      </c>
      <c r="M823" s="0" t="s">
        <v>226</v>
      </c>
      <c r="N823" s="0" t="s">
        <v>93</v>
      </c>
      <c r="O823" s="0" t="s">
        <v>2206</v>
      </c>
      <c r="Q823" s="0" t="s">
        <v>242</v>
      </c>
      <c r="R823" s="0" t="n">
        <v>1</v>
      </c>
      <c r="S823" s="5" t="n">
        <v>533</v>
      </c>
      <c r="T823" s="0" t="s">
        <v>243</v>
      </c>
      <c r="U823" s="0" t="n">
        <v>0</v>
      </c>
      <c r="V823" s="0" t="s">
        <v>230</v>
      </c>
      <c r="W823" s="0" t="s">
        <v>244</v>
      </c>
      <c r="X823" s="0" t="s">
        <v>232</v>
      </c>
      <c r="Y823" s="0" t="s">
        <v>253</v>
      </c>
      <c r="Z823" s="0" t="s">
        <v>3310</v>
      </c>
      <c r="AA823" s="0" t="s">
        <v>235</v>
      </c>
      <c r="AB823" s="32" t="n">
        <v>2500</v>
      </c>
      <c r="AC823" s="32" t="n">
        <v>2500</v>
      </c>
      <c r="AD823" s="26" t="n">
        <f aca="false">IFERROR(AB823/B823,"")</f>
        <v>4.69043151969981</v>
      </c>
      <c r="AE823" s="26" t="n">
        <f aca="false">IFERROR(AC823/B823,"")</f>
        <v>4.69043151969981</v>
      </c>
      <c r="AF823" s="0" t="s">
        <v>230</v>
      </c>
      <c r="AG823" s="0" t="s">
        <v>236</v>
      </c>
      <c r="AH823" s="0" t="s">
        <v>230</v>
      </c>
      <c r="AI823" s="0" t="s">
        <v>1315</v>
      </c>
      <c r="AJ823" s="0" t="s">
        <v>3677</v>
      </c>
      <c r="AK823" s="0" t="s">
        <v>3678</v>
      </c>
      <c r="AL823" s="0" t="s">
        <v>3679</v>
      </c>
      <c r="AM823" s="0" t="s">
        <v>94</v>
      </c>
      <c r="AN823" s="26" t="n">
        <f aca="false">IFERROR(E823*(1+IF(AM823="Apartment",Data_Summary!$C$3,0)),"")</f>
        <v>4.69043151969981</v>
      </c>
      <c r="AO823" s="4" t="n">
        <v>46195</v>
      </c>
    </row>
    <row r="824" customFormat="false" ht="15" hidden="false" customHeight="false" outlineLevel="0" collapsed="false">
      <c r="A824" s="0" t="n">
        <f aca="false">IF(AND(ISNUMBER(B824),B824&gt;0,ISNUMBER(AB824),AB824&gt;0,J824&gt;=Data_Summary!$C$1),1,0)</f>
        <v>1</v>
      </c>
      <c r="B824" s="30" t="n">
        <v>575</v>
      </c>
      <c r="C824" s="5" t="n">
        <f aca="false">IF(ISNUMBER(AB824),AB824,"")</f>
        <v>2600</v>
      </c>
      <c r="D824" s="0" t="n">
        <f aca="false">IF(ISNUMBER(C824),C824-U824*Data_Summary!$C$2,"")</f>
        <v>2450</v>
      </c>
      <c r="E824" s="31" t="n">
        <f aca="false">IFERROR(C824/B824,"")</f>
        <v>4.52173913043478</v>
      </c>
      <c r="F824" s="26" t="n">
        <f aca="false">IFERROR(D824/B824,"")</f>
        <v>4.26086956521739</v>
      </c>
      <c r="G824" s="0" t="str">
        <f aca="false">Q824</f>
        <v>1</v>
      </c>
      <c r="H824" s="0" t="str">
        <f aca="false">IFERROR(LEFT(G824,1),"")</f>
        <v>1</v>
      </c>
      <c r="I824" s="0" t="n">
        <f aca="false">IF(LEN(G824)&gt;1,1,0)</f>
        <v>0</v>
      </c>
      <c r="J824" s="4" t="n">
        <v>45825</v>
      </c>
      <c r="K824" s="0" t="s">
        <v>14</v>
      </c>
      <c r="L824" s="0" t="s">
        <v>104</v>
      </c>
      <c r="M824" s="0" t="s">
        <v>226</v>
      </c>
      <c r="N824" s="0" t="s">
        <v>93</v>
      </c>
      <c r="O824" s="0" t="s">
        <v>3680</v>
      </c>
      <c r="Q824" s="0" t="s">
        <v>242</v>
      </c>
      <c r="R824" s="0" t="n">
        <v>1</v>
      </c>
      <c r="S824" s="5" t="n">
        <v>575</v>
      </c>
      <c r="T824" s="0" t="s">
        <v>243</v>
      </c>
      <c r="U824" s="0" t="n">
        <v>1</v>
      </c>
      <c r="V824" s="0" t="s">
        <v>230</v>
      </c>
      <c r="W824" s="0" t="s">
        <v>231</v>
      </c>
      <c r="X824" s="0" t="s">
        <v>232</v>
      </c>
      <c r="Y824" s="0" t="s">
        <v>272</v>
      </c>
      <c r="Z824" s="0" t="s">
        <v>3310</v>
      </c>
      <c r="AA824" s="0" t="s">
        <v>235</v>
      </c>
      <c r="AB824" s="32" t="n">
        <v>2600</v>
      </c>
      <c r="AC824" s="32" t="n">
        <v>2650</v>
      </c>
      <c r="AD824" s="26" t="n">
        <f aca="false">IFERROR(AB824/B824,"")</f>
        <v>4.52173913043478</v>
      </c>
      <c r="AE824" s="26" t="n">
        <f aca="false">IFERROR(AC824/B824,"")</f>
        <v>4.60869565217391</v>
      </c>
      <c r="AF824" s="0" t="s">
        <v>236</v>
      </c>
      <c r="AG824" s="0" t="s">
        <v>236</v>
      </c>
      <c r="AH824" s="0" t="s">
        <v>230</v>
      </c>
      <c r="AI824" s="0" t="s">
        <v>1356</v>
      </c>
      <c r="AJ824" s="0" t="s">
        <v>3681</v>
      </c>
      <c r="AK824" s="0" t="s">
        <v>3682</v>
      </c>
      <c r="AL824" s="0" t="s">
        <v>3683</v>
      </c>
      <c r="AM824" s="0" t="s">
        <v>94</v>
      </c>
      <c r="AN824" s="26" t="n">
        <f aca="false">IFERROR(E824*(1+IF(AM824="Apartment",Data_Summary!$C$3,0)),"")</f>
        <v>4.52173913043478</v>
      </c>
      <c r="AO824" s="4" t="n">
        <v>46195</v>
      </c>
    </row>
    <row r="825" customFormat="false" ht="15" hidden="false" customHeight="false" outlineLevel="0" collapsed="false">
      <c r="A825" s="0" t="n">
        <f aca="false">IF(AND(ISNUMBER(B825),B825&gt;0,ISNUMBER(AB825),AB825&gt;0,J825&gt;=Data_Summary!$C$1),1,0)</f>
        <v>1</v>
      </c>
      <c r="B825" s="30" t="n">
        <v>533</v>
      </c>
      <c r="C825" s="5" t="n">
        <f aca="false">IF(ISNUMBER(AB825),AB825,"")</f>
        <v>2200</v>
      </c>
      <c r="D825" s="0" t="n">
        <f aca="false">IF(ISNUMBER(C825),C825-U825*Data_Summary!$C$2,"")</f>
        <v>2200</v>
      </c>
      <c r="E825" s="31" t="n">
        <f aca="false">IFERROR(C825/B825,"")</f>
        <v>4.12757973733584</v>
      </c>
      <c r="F825" s="26" t="n">
        <f aca="false">IFERROR(D825/B825,"")</f>
        <v>4.12757973733584</v>
      </c>
      <c r="G825" s="0" t="str">
        <f aca="false">Q825</f>
        <v>1</v>
      </c>
      <c r="H825" s="0" t="str">
        <f aca="false">IFERROR(LEFT(G825,1),"")</f>
        <v>1</v>
      </c>
      <c r="I825" s="0" t="n">
        <f aca="false">IF(LEN(G825)&gt;1,1,0)</f>
        <v>0</v>
      </c>
      <c r="J825" s="4" t="n">
        <v>45820</v>
      </c>
      <c r="K825" s="0" t="s">
        <v>14</v>
      </c>
      <c r="L825" s="0" t="s">
        <v>104</v>
      </c>
      <c r="M825" s="0" t="s">
        <v>226</v>
      </c>
      <c r="N825" s="0" t="s">
        <v>93</v>
      </c>
      <c r="O825" s="0" t="s">
        <v>754</v>
      </c>
      <c r="Q825" s="0" t="s">
        <v>242</v>
      </c>
      <c r="R825" s="0" t="n">
        <v>1</v>
      </c>
      <c r="S825" s="5" t="n">
        <v>533</v>
      </c>
      <c r="T825" s="0" t="s">
        <v>243</v>
      </c>
      <c r="U825" s="0" t="n">
        <v>0</v>
      </c>
      <c r="V825" s="0" t="s">
        <v>230</v>
      </c>
      <c r="W825" s="0" t="s">
        <v>244</v>
      </c>
      <c r="X825" s="0" t="s">
        <v>232</v>
      </c>
      <c r="Y825" s="0" t="s">
        <v>253</v>
      </c>
      <c r="Z825" s="0" t="s">
        <v>3310</v>
      </c>
      <c r="AA825" s="0" t="s">
        <v>235</v>
      </c>
      <c r="AB825" s="32" t="n">
        <v>2200</v>
      </c>
      <c r="AC825" s="32" t="n">
        <v>2250</v>
      </c>
      <c r="AD825" s="26" t="n">
        <f aca="false">IFERROR(AB825/B825,"")</f>
        <v>4.12757973733584</v>
      </c>
      <c r="AE825" s="26" t="n">
        <f aca="false">IFERROR(AC825/B825,"")</f>
        <v>4.22138836772983</v>
      </c>
      <c r="AF825" s="0" t="s">
        <v>236</v>
      </c>
      <c r="AG825" s="0" t="s">
        <v>236</v>
      </c>
      <c r="AH825" s="0" t="s">
        <v>230</v>
      </c>
      <c r="AI825" s="0" t="s">
        <v>1393</v>
      </c>
      <c r="AJ825" s="0" t="s">
        <v>3684</v>
      </c>
      <c r="AK825" s="0" t="s">
        <v>3685</v>
      </c>
      <c r="AL825" s="0" t="s">
        <v>3686</v>
      </c>
      <c r="AM825" s="0" t="s">
        <v>94</v>
      </c>
      <c r="AN825" s="26" t="n">
        <f aca="false">IFERROR(E825*(1+IF(AM825="Apartment",Data_Summary!$C$3,0)),"")</f>
        <v>4.12757973733584</v>
      </c>
      <c r="AO825" s="4" t="n">
        <v>46195</v>
      </c>
    </row>
    <row r="826" customFormat="false" ht="15" hidden="false" customHeight="false" outlineLevel="0" collapsed="false">
      <c r="A826" s="0" t="n">
        <f aca="false">IF(AND(ISNUMBER(B826),B826&gt;0,ISNUMBER(AB826),AB826&gt;0,J826&gt;=Data_Summary!$C$1),1,0)</f>
        <v>1</v>
      </c>
      <c r="B826" s="30" t="n">
        <v>833</v>
      </c>
      <c r="C826" s="5" t="n">
        <f aca="false">IF(ISNUMBER(AB826),AB826,"")</f>
        <v>3350</v>
      </c>
      <c r="D826" s="0" t="n">
        <f aca="false">IF(ISNUMBER(C826),C826-U826*Data_Summary!$C$2,"")</f>
        <v>3200</v>
      </c>
      <c r="E826" s="31" t="n">
        <f aca="false">IFERROR(C826/B826,"")</f>
        <v>4.02160864345738</v>
      </c>
      <c r="F826" s="26" t="n">
        <f aca="false">IFERROR(D826/B826,"")</f>
        <v>3.84153661464586</v>
      </c>
      <c r="G826" s="0" t="str">
        <f aca="false">Q826</f>
        <v>2+1</v>
      </c>
      <c r="H826" s="0" t="str">
        <f aca="false">IFERROR(LEFT(G826,1),"")</f>
        <v>2</v>
      </c>
      <c r="I826" s="0" t="n">
        <f aca="false">IF(LEN(G826)&gt;1,1,0)</f>
        <v>1</v>
      </c>
      <c r="J826" s="4" t="n">
        <v>45819</v>
      </c>
      <c r="K826" s="0" t="s">
        <v>14</v>
      </c>
      <c r="L826" s="0" t="s">
        <v>104</v>
      </c>
      <c r="M826" s="0" t="s">
        <v>226</v>
      </c>
      <c r="N826" s="0" t="s">
        <v>93</v>
      </c>
      <c r="O826" s="0" t="s">
        <v>2078</v>
      </c>
      <c r="Q826" s="0" t="s">
        <v>451</v>
      </c>
      <c r="R826" s="0" t="n">
        <v>2</v>
      </c>
      <c r="S826" s="5" t="n">
        <v>833</v>
      </c>
      <c r="T826" s="0" t="s">
        <v>229</v>
      </c>
      <c r="U826" s="0" t="n">
        <v>1</v>
      </c>
      <c r="V826" s="0" t="s">
        <v>230</v>
      </c>
      <c r="W826" s="0" t="s">
        <v>231</v>
      </c>
      <c r="X826" s="0" t="s">
        <v>232</v>
      </c>
      <c r="Y826" s="0" t="s">
        <v>308</v>
      </c>
      <c r="Z826" s="0" t="s">
        <v>3310</v>
      </c>
      <c r="AA826" s="0" t="s">
        <v>235</v>
      </c>
      <c r="AB826" s="32" t="n">
        <v>3350</v>
      </c>
      <c r="AC826" s="32" t="n">
        <v>3400</v>
      </c>
      <c r="AD826" s="26" t="n">
        <f aca="false">IFERROR(AB826/B826,"")</f>
        <v>4.02160864345738</v>
      </c>
      <c r="AE826" s="26" t="n">
        <f aca="false">IFERROR(AC826/B826,"")</f>
        <v>4.08163265306123</v>
      </c>
      <c r="AF826" s="0" t="s">
        <v>236</v>
      </c>
      <c r="AG826" s="0" t="s">
        <v>236</v>
      </c>
      <c r="AH826" s="0" t="s">
        <v>230</v>
      </c>
      <c r="AI826" s="0" t="s">
        <v>1409</v>
      </c>
      <c r="AJ826" s="0" t="s">
        <v>3687</v>
      </c>
      <c r="AK826" s="0" t="s">
        <v>3688</v>
      </c>
      <c r="AL826" s="0" t="s">
        <v>3689</v>
      </c>
      <c r="AM826" s="0" t="s">
        <v>94</v>
      </c>
      <c r="AN826" s="26" t="n">
        <f aca="false">IFERROR(E826*(1+IF(AM826="Apartment",Data_Summary!$C$3,0)),"")</f>
        <v>4.02160864345738</v>
      </c>
      <c r="AO826" s="4" t="n">
        <v>46195</v>
      </c>
    </row>
    <row r="827" customFormat="false" ht="15" hidden="false" customHeight="false" outlineLevel="0" collapsed="false">
      <c r="A827" s="0" t="n">
        <f aca="false">IF(AND(ISNUMBER(B827),B827&gt;0,ISNUMBER(AB827),AB827&gt;0,J827&gt;=Data_Summary!$C$1),1,0)</f>
        <v>1</v>
      </c>
      <c r="B827" s="30" t="n">
        <v>579</v>
      </c>
      <c r="C827" s="5" t="n">
        <f aca="false">IF(ISNUMBER(AB827),AB827,"")</f>
        <v>2400</v>
      </c>
      <c r="D827" s="0" t="n">
        <f aca="false">IF(ISNUMBER(C827),C827-U827*Data_Summary!$C$2,"")</f>
        <v>2400</v>
      </c>
      <c r="E827" s="31" t="n">
        <f aca="false">IFERROR(C827/B827,"")</f>
        <v>4.14507772020725</v>
      </c>
      <c r="F827" s="26" t="n">
        <f aca="false">IFERROR(D827/B827,"")</f>
        <v>4.14507772020725</v>
      </c>
      <c r="G827" s="0" t="str">
        <f aca="false">Q827</f>
        <v>1+1</v>
      </c>
      <c r="H827" s="0" t="str">
        <f aca="false">IFERROR(LEFT(G827,1),"")</f>
        <v>1</v>
      </c>
      <c r="I827" s="0" t="n">
        <f aca="false">IF(LEN(G827)&gt;1,1,0)</f>
        <v>1</v>
      </c>
      <c r="J827" s="4" t="n">
        <v>45819</v>
      </c>
      <c r="K827" s="0" t="s">
        <v>14</v>
      </c>
      <c r="L827" s="0" t="s">
        <v>104</v>
      </c>
      <c r="M827" s="0" t="s">
        <v>226</v>
      </c>
      <c r="N827" s="0" t="s">
        <v>93</v>
      </c>
      <c r="O827" s="0" t="s">
        <v>1435</v>
      </c>
      <c r="Q827" s="0" t="s">
        <v>270</v>
      </c>
      <c r="R827" s="0" t="n">
        <v>1</v>
      </c>
      <c r="S827" s="5" t="n">
        <v>579</v>
      </c>
      <c r="T827" s="0" t="s">
        <v>243</v>
      </c>
      <c r="U827" s="0" t="n">
        <v>0</v>
      </c>
      <c r="V827" s="0" t="s">
        <v>230</v>
      </c>
      <c r="W827" s="0" t="s">
        <v>244</v>
      </c>
      <c r="X827" s="0" t="s">
        <v>232</v>
      </c>
      <c r="Y827" s="0" t="s">
        <v>278</v>
      </c>
      <c r="Z827" s="0" t="s">
        <v>3310</v>
      </c>
      <c r="AA827" s="0" t="s">
        <v>235</v>
      </c>
      <c r="AB827" s="32" t="n">
        <v>2400</v>
      </c>
      <c r="AC827" s="32" t="n">
        <v>2450</v>
      </c>
      <c r="AD827" s="26" t="n">
        <f aca="false">IFERROR(AB827/B827,"")</f>
        <v>4.14507772020725</v>
      </c>
      <c r="AE827" s="26" t="n">
        <f aca="false">IFERROR(AC827/B827,"")</f>
        <v>4.23143350604491</v>
      </c>
      <c r="AF827" s="0" t="s">
        <v>236</v>
      </c>
      <c r="AG827" s="0" t="s">
        <v>236</v>
      </c>
      <c r="AH827" s="0" t="s">
        <v>230</v>
      </c>
      <c r="AI827" s="0" t="s">
        <v>1409</v>
      </c>
      <c r="AJ827" s="0" t="s">
        <v>3690</v>
      </c>
      <c r="AK827" s="0" t="s">
        <v>3691</v>
      </c>
      <c r="AL827" s="0" t="s">
        <v>3692</v>
      </c>
      <c r="AM827" s="0" t="s">
        <v>94</v>
      </c>
      <c r="AN827" s="26" t="n">
        <f aca="false">IFERROR(E827*(1+IF(AM827="Apartment",Data_Summary!$C$3,0)),"")</f>
        <v>4.14507772020725</v>
      </c>
      <c r="AO827" s="4" t="n">
        <v>46195</v>
      </c>
    </row>
    <row r="828" customFormat="false" ht="15" hidden="false" customHeight="false" outlineLevel="0" collapsed="false">
      <c r="A828" s="0" t="n">
        <f aca="false">IF(AND(ISNUMBER(B828),B828&gt;0,ISNUMBER(AB828),AB828&gt;0,J828&gt;=Data_Summary!$C$1),1,0)</f>
        <v>1</v>
      </c>
      <c r="B828" s="33" t="n">
        <v>575</v>
      </c>
      <c r="C828" s="5" t="n">
        <f aca="false">IF(ISNUMBER(AB828),AB828,"")</f>
        <v>2600</v>
      </c>
      <c r="D828" s="0" t="n">
        <f aca="false">IF(ISNUMBER(C828),C828-U828*Data_Summary!$C$2,"")</f>
        <v>2450</v>
      </c>
      <c r="E828" s="34" t="n">
        <f aca="false">IFERROR(C828/B828,"")</f>
        <v>4.52173913043478</v>
      </c>
      <c r="F828" s="26" t="n">
        <f aca="false">IFERROR(D828/B828,"")</f>
        <v>4.26086956521739</v>
      </c>
      <c r="G828" s="0" t="str">
        <f aca="false">Q828</f>
        <v>1+1</v>
      </c>
      <c r="H828" s="0" t="str">
        <f aca="false">IFERROR(LEFT(G828,1),"")</f>
        <v>1</v>
      </c>
      <c r="I828" s="0" t="n">
        <f aca="false">IF(LEN(G828)&gt;1,1,0)</f>
        <v>1</v>
      </c>
      <c r="J828" s="4" t="n">
        <v>45817</v>
      </c>
      <c r="K828" s="0" t="s">
        <v>14</v>
      </c>
      <c r="L828" s="0" t="s">
        <v>104</v>
      </c>
      <c r="M828" s="0" t="s">
        <v>226</v>
      </c>
      <c r="N828" s="0" t="s">
        <v>93</v>
      </c>
      <c r="O828" s="0" t="s">
        <v>1209</v>
      </c>
      <c r="Q828" s="0" t="s">
        <v>270</v>
      </c>
      <c r="R828" s="0" t="n">
        <v>1</v>
      </c>
      <c r="S828" s="5" t="n">
        <v>575</v>
      </c>
      <c r="T828" s="0" t="s">
        <v>271</v>
      </c>
      <c r="U828" s="0" t="n">
        <v>1</v>
      </c>
      <c r="V828" s="0" t="s">
        <v>230</v>
      </c>
      <c r="W828" s="0" t="s">
        <v>231</v>
      </c>
      <c r="X828" s="0" t="s">
        <v>232</v>
      </c>
      <c r="Y828" s="0" t="s">
        <v>272</v>
      </c>
      <c r="Z828" s="0" t="s">
        <v>3310</v>
      </c>
      <c r="AA828" s="0" t="s">
        <v>235</v>
      </c>
      <c r="AB828" s="32" t="n">
        <v>2600</v>
      </c>
      <c r="AC828" s="32" t="n">
        <v>2600</v>
      </c>
      <c r="AD828" s="26" t="n">
        <f aca="false">IFERROR(AB828/B828,"")</f>
        <v>4.52173913043478</v>
      </c>
      <c r="AE828" s="26" t="n">
        <f aca="false">IFERROR(AC828/B828,"")</f>
        <v>4.52173913043478</v>
      </c>
      <c r="AF828" s="0" t="s">
        <v>236</v>
      </c>
      <c r="AG828" s="0" t="s">
        <v>236</v>
      </c>
      <c r="AH828" s="0" t="s">
        <v>230</v>
      </c>
      <c r="AI828" s="0" t="s">
        <v>1425</v>
      </c>
      <c r="AJ828" s="0" t="s">
        <v>3693</v>
      </c>
      <c r="AK828" s="0" t="s">
        <v>3694</v>
      </c>
      <c r="AL828" s="0" t="s">
        <v>3695</v>
      </c>
      <c r="AM828" s="0" t="s">
        <v>94</v>
      </c>
      <c r="AN828" s="26" t="n">
        <f aca="false">IFERROR(E828*(1+IF(AM828="Apartment",Data_Summary!$C$3,0)),"")</f>
        <v>4.52173913043478</v>
      </c>
      <c r="AO828" s="4" t="n">
        <v>46195</v>
      </c>
    </row>
    <row r="829" customFormat="false" ht="15" hidden="false" customHeight="false" outlineLevel="0" collapsed="false">
      <c r="A829" s="0" t="n">
        <f aca="false">IF(AND(ISNUMBER(B829),B829&gt;0,ISNUMBER(AB829),AB829&gt;0,J829&gt;=Data_Summary!$C$1),1,0)</f>
        <v>1</v>
      </c>
      <c r="B829" s="30" t="n">
        <v>500</v>
      </c>
      <c r="C829" s="5" t="n">
        <f aca="false">IF(ISNUMBER(AB829),AB829,"")</f>
        <v>2425</v>
      </c>
      <c r="D829" s="0" t="n">
        <f aca="false">IF(ISNUMBER(C829),C829-U829*Data_Summary!$C$2,"")</f>
        <v>2425</v>
      </c>
      <c r="E829" s="31" t="n">
        <f aca="false">IFERROR(C829/B829,"")</f>
        <v>4.85</v>
      </c>
      <c r="F829" s="26" t="n">
        <f aca="false">IFERROR(D829/B829,"")</f>
        <v>4.85</v>
      </c>
      <c r="G829" s="0" t="str">
        <f aca="false">Q829</f>
        <v>1</v>
      </c>
      <c r="H829" s="0" t="str">
        <f aca="false">IFERROR(LEFT(G829,1),"")</f>
        <v>1</v>
      </c>
      <c r="I829" s="0" t="n">
        <f aca="false">IF(LEN(G829)&gt;1,1,0)</f>
        <v>0</v>
      </c>
      <c r="J829" s="4" t="n">
        <v>45812</v>
      </c>
      <c r="K829" s="0" t="s">
        <v>14</v>
      </c>
      <c r="L829" s="0" t="s">
        <v>104</v>
      </c>
      <c r="M829" s="0" t="s">
        <v>226</v>
      </c>
      <c r="N829" s="0" t="s">
        <v>93</v>
      </c>
      <c r="O829" s="0" t="s">
        <v>2509</v>
      </c>
      <c r="Q829" s="0" t="s">
        <v>242</v>
      </c>
      <c r="R829" s="0" t="n">
        <v>1</v>
      </c>
      <c r="S829" s="5" t="n">
        <v>500</v>
      </c>
      <c r="T829" s="0" t="s">
        <v>243</v>
      </c>
      <c r="U829" s="0" t="n">
        <v>0</v>
      </c>
      <c r="V829" s="0" t="s">
        <v>230</v>
      </c>
      <c r="W829" s="0" t="s">
        <v>244</v>
      </c>
      <c r="X829" s="0" t="s">
        <v>232</v>
      </c>
      <c r="Y829" s="0" t="s">
        <v>245</v>
      </c>
      <c r="Z829" s="0" t="s">
        <v>3310</v>
      </c>
      <c r="AA829" s="0" t="s">
        <v>235</v>
      </c>
      <c r="AB829" s="32" t="n">
        <v>2425</v>
      </c>
      <c r="AC829" s="32" t="n">
        <v>2425</v>
      </c>
      <c r="AD829" s="26" t="n">
        <f aca="false">IFERROR(AB829/B829,"")</f>
        <v>4.85</v>
      </c>
      <c r="AE829" s="26" t="n">
        <f aca="false">IFERROR(AC829/B829,"")</f>
        <v>4.85</v>
      </c>
      <c r="AF829" s="0" t="s">
        <v>236</v>
      </c>
      <c r="AG829" s="0" t="s">
        <v>236</v>
      </c>
      <c r="AH829" s="0" t="s">
        <v>236</v>
      </c>
      <c r="AI829" s="0" t="s">
        <v>1466</v>
      </c>
      <c r="AJ829" s="0" t="s">
        <v>3696</v>
      </c>
      <c r="AK829" s="0" t="s">
        <v>3697</v>
      </c>
      <c r="AL829" s="0" t="s">
        <v>3698</v>
      </c>
      <c r="AM829" s="0" t="s">
        <v>94</v>
      </c>
      <c r="AN829" s="26" t="n">
        <f aca="false">IFERROR(E829*(1+IF(AM829="Apartment",Data_Summary!$C$3,0)),"")</f>
        <v>4.85</v>
      </c>
      <c r="AO829" s="4" t="n">
        <v>46195</v>
      </c>
    </row>
    <row r="830" customFormat="false" ht="15" hidden="false" customHeight="false" outlineLevel="0" collapsed="false">
      <c r="A830" s="0" t="n">
        <f aca="false">IF(AND(ISNUMBER(B830),B830&gt;0,ISNUMBER(AB830),AB830&gt;0,J830&gt;=Data_Summary!$C$1),1,0)</f>
        <v>1</v>
      </c>
      <c r="B830" s="33" t="n">
        <v>708</v>
      </c>
      <c r="C830" s="5" t="n">
        <f aca="false">IF(ISNUMBER(AB830),AB830,"")</f>
        <v>3100</v>
      </c>
      <c r="D830" s="0" t="n">
        <f aca="false">IF(ISNUMBER(C830),C830-U830*Data_Summary!$C$2,"")</f>
        <v>2950</v>
      </c>
      <c r="E830" s="34" t="n">
        <f aca="false">IFERROR(C830/B830,"")</f>
        <v>4.37853107344633</v>
      </c>
      <c r="F830" s="26" t="n">
        <f aca="false">IFERROR(D830/B830,"")</f>
        <v>4.16666666666667</v>
      </c>
      <c r="G830" s="0" t="str">
        <f aca="false">Q830</f>
        <v>2</v>
      </c>
      <c r="H830" s="0" t="str">
        <f aca="false">IFERROR(LEFT(G830,1),"")</f>
        <v>2</v>
      </c>
      <c r="I830" s="0" t="n">
        <f aca="false">IF(LEN(G830)&gt;1,1,0)</f>
        <v>0</v>
      </c>
      <c r="J830" s="4" t="n">
        <v>45806</v>
      </c>
      <c r="K830" s="0" t="s">
        <v>14</v>
      </c>
      <c r="L830" s="0" t="s">
        <v>104</v>
      </c>
      <c r="M830" s="0" t="s">
        <v>226</v>
      </c>
      <c r="N830" s="0" t="s">
        <v>93</v>
      </c>
      <c r="O830" s="0" t="s">
        <v>692</v>
      </c>
      <c r="Q830" s="0" t="s">
        <v>251</v>
      </c>
      <c r="R830" s="0" t="n">
        <v>1</v>
      </c>
      <c r="S830" s="5" t="n">
        <v>708</v>
      </c>
      <c r="T830" s="0" t="s">
        <v>252</v>
      </c>
      <c r="U830" s="0" t="n">
        <v>1</v>
      </c>
      <c r="V830" s="0" t="s">
        <v>230</v>
      </c>
      <c r="W830" s="0" t="s">
        <v>244</v>
      </c>
      <c r="X830" s="0" t="s">
        <v>232</v>
      </c>
      <c r="Y830" s="0" t="s">
        <v>297</v>
      </c>
      <c r="Z830" s="0" t="s">
        <v>3310</v>
      </c>
      <c r="AA830" s="0" t="s">
        <v>235</v>
      </c>
      <c r="AB830" s="32" t="n">
        <v>3100</v>
      </c>
      <c r="AC830" s="32" t="n">
        <v>3100</v>
      </c>
      <c r="AD830" s="26" t="n">
        <f aca="false">IFERROR(AB830/B830,"")</f>
        <v>4.37853107344633</v>
      </c>
      <c r="AE830" s="26" t="n">
        <f aca="false">IFERROR(AC830/B830,"")</f>
        <v>4.37853107344633</v>
      </c>
      <c r="AF830" s="0" t="s">
        <v>230</v>
      </c>
      <c r="AG830" s="0" t="s">
        <v>236</v>
      </c>
      <c r="AH830" s="0" t="s">
        <v>230</v>
      </c>
      <c r="AI830" s="0" t="s">
        <v>1492</v>
      </c>
      <c r="AJ830" s="0" t="s">
        <v>3699</v>
      </c>
      <c r="AK830" s="0" t="s">
        <v>3700</v>
      </c>
      <c r="AL830" s="0" t="s">
        <v>3701</v>
      </c>
      <c r="AM830" s="0" t="s">
        <v>94</v>
      </c>
      <c r="AN830" s="26" t="n">
        <f aca="false">IFERROR(E830*(1+IF(AM830="Apartment",Data_Summary!$C$3,0)),"")</f>
        <v>4.37853107344633</v>
      </c>
      <c r="AO830" s="4" t="n">
        <v>46195</v>
      </c>
    </row>
    <row r="831" customFormat="false" ht="15" hidden="false" customHeight="false" outlineLevel="0" collapsed="false">
      <c r="A831" s="0" t="n">
        <f aca="false">IF(AND(ISNUMBER(B831),B831&gt;0,ISNUMBER(AB831),AB831&gt;0,J831&gt;=Data_Summary!$C$1),1,0)</f>
        <v>1</v>
      </c>
      <c r="B831" s="30" t="n">
        <v>708</v>
      </c>
      <c r="C831" s="5" t="n">
        <f aca="false">IF(ISNUMBER(AB831),AB831,"")</f>
        <v>2800</v>
      </c>
      <c r="D831" s="0" t="n">
        <f aca="false">IF(ISNUMBER(C831),C831-U831*Data_Summary!$C$2,"")</f>
        <v>2800</v>
      </c>
      <c r="E831" s="31" t="n">
        <f aca="false">IFERROR(C831/B831,"")</f>
        <v>3.95480225988701</v>
      </c>
      <c r="F831" s="26" t="n">
        <f aca="false">IFERROR(D831/B831,"")</f>
        <v>3.95480225988701</v>
      </c>
      <c r="G831" s="0" t="str">
        <f aca="false">Q831</f>
        <v>1+1</v>
      </c>
      <c r="H831" s="0" t="str">
        <f aca="false">IFERROR(LEFT(G831,1),"")</f>
        <v>1</v>
      </c>
      <c r="I831" s="0" t="n">
        <f aca="false">IF(LEN(G831)&gt;1,1,0)</f>
        <v>1</v>
      </c>
      <c r="J831" s="4" t="n">
        <v>45801</v>
      </c>
      <c r="K831" s="0" t="s">
        <v>14</v>
      </c>
      <c r="L831" s="0" t="s">
        <v>104</v>
      </c>
      <c r="M831" s="0" t="s">
        <v>226</v>
      </c>
      <c r="N831" s="0" t="s">
        <v>93</v>
      </c>
      <c r="O831" s="0" t="s">
        <v>3702</v>
      </c>
      <c r="Q831" s="0" t="s">
        <v>270</v>
      </c>
      <c r="R831" s="0" t="n">
        <v>1</v>
      </c>
      <c r="S831" s="5" t="n">
        <v>708</v>
      </c>
      <c r="T831" s="0" t="s">
        <v>252</v>
      </c>
      <c r="U831" s="0" t="n">
        <v>0</v>
      </c>
      <c r="V831" s="0" t="s">
        <v>230</v>
      </c>
      <c r="W831" s="0" t="s">
        <v>231</v>
      </c>
      <c r="X831" s="0" t="s">
        <v>232</v>
      </c>
      <c r="Y831" s="0" t="s">
        <v>297</v>
      </c>
      <c r="Z831" s="0" t="s">
        <v>3310</v>
      </c>
      <c r="AA831" s="0" t="s">
        <v>235</v>
      </c>
      <c r="AB831" s="32" t="n">
        <v>2800</v>
      </c>
      <c r="AC831" s="32" t="n">
        <v>2800</v>
      </c>
      <c r="AD831" s="26" t="n">
        <f aca="false">IFERROR(AB831/B831,"")</f>
        <v>3.95480225988701</v>
      </c>
      <c r="AE831" s="26" t="n">
        <f aca="false">IFERROR(AC831/B831,"")</f>
        <v>3.95480225988701</v>
      </c>
      <c r="AF831" s="0" t="s">
        <v>236</v>
      </c>
      <c r="AG831" s="0" t="s">
        <v>236</v>
      </c>
      <c r="AH831" s="0" t="s">
        <v>230</v>
      </c>
      <c r="AI831" s="0" t="s">
        <v>1527</v>
      </c>
      <c r="AJ831" s="0" t="s">
        <v>3703</v>
      </c>
      <c r="AK831" s="0" t="s">
        <v>3704</v>
      </c>
      <c r="AL831" s="0" t="s">
        <v>3705</v>
      </c>
      <c r="AM831" s="0" t="s">
        <v>94</v>
      </c>
      <c r="AN831" s="26" t="n">
        <f aca="false">IFERROR(E831*(1+IF(AM831="Apartment",Data_Summary!$C$3,0)),"")</f>
        <v>3.95480225988701</v>
      </c>
      <c r="AO831" s="4" t="n">
        <v>46195</v>
      </c>
    </row>
    <row r="832" customFormat="false" ht="15" hidden="false" customHeight="false" outlineLevel="0" collapsed="false">
      <c r="A832" s="0" t="n">
        <f aca="false">IF(AND(ISNUMBER(B832),B832&gt;0,ISNUMBER(AB832),AB832&gt;0,J832&gt;=Data_Summary!$C$1),1,0)</f>
        <v>1</v>
      </c>
      <c r="B832" s="30" t="n">
        <v>705</v>
      </c>
      <c r="C832" s="5" t="n">
        <f aca="false">IF(ISNUMBER(AB832),AB832,"")</f>
        <v>2900</v>
      </c>
      <c r="D832" s="0" t="n">
        <f aca="false">IF(ISNUMBER(C832),C832-U832*Data_Summary!$C$2,"")</f>
        <v>2900</v>
      </c>
      <c r="E832" s="31" t="n">
        <f aca="false">IFERROR(C832/B832,"")</f>
        <v>4.11347517730497</v>
      </c>
      <c r="F832" s="26" t="n">
        <f aca="false">IFERROR(D832/B832,"")</f>
        <v>4.11347517730497</v>
      </c>
      <c r="G832" s="0" t="str">
        <f aca="false">Q832</f>
        <v>2</v>
      </c>
      <c r="H832" s="0" t="str">
        <f aca="false">IFERROR(LEFT(G832,1),"")</f>
        <v>2</v>
      </c>
      <c r="I832" s="0" t="n">
        <f aca="false">IF(LEN(G832)&gt;1,1,0)</f>
        <v>0</v>
      </c>
      <c r="J832" s="4" t="n">
        <v>45798</v>
      </c>
      <c r="K832" s="0" t="s">
        <v>14</v>
      </c>
      <c r="L832" s="0" t="s">
        <v>104</v>
      </c>
      <c r="M832" s="0" t="s">
        <v>226</v>
      </c>
      <c r="N832" s="0" t="s">
        <v>93</v>
      </c>
      <c r="O832" s="0" t="s">
        <v>2059</v>
      </c>
      <c r="Q832" s="0" t="s">
        <v>251</v>
      </c>
      <c r="R832" s="0" t="n">
        <v>1</v>
      </c>
      <c r="S832" s="5" t="n">
        <v>705</v>
      </c>
      <c r="T832" s="0" t="s">
        <v>252</v>
      </c>
      <c r="U832" s="0" t="n">
        <v>0</v>
      </c>
      <c r="V832" s="0" t="s">
        <v>230</v>
      </c>
      <c r="W832" s="0" t="s">
        <v>244</v>
      </c>
      <c r="X832" s="0" t="s">
        <v>232</v>
      </c>
      <c r="Y832" s="0" t="s">
        <v>278</v>
      </c>
      <c r="Z832" s="0" t="s">
        <v>3310</v>
      </c>
      <c r="AA832" s="0" t="s">
        <v>235</v>
      </c>
      <c r="AB832" s="32" t="n">
        <v>2900</v>
      </c>
      <c r="AC832" s="32" t="n">
        <v>2900</v>
      </c>
      <c r="AD832" s="26" t="n">
        <f aca="false">IFERROR(AB832/B832,"")</f>
        <v>4.11347517730497</v>
      </c>
      <c r="AE832" s="26" t="n">
        <f aca="false">IFERROR(AC832/B832,"")</f>
        <v>4.11347517730497</v>
      </c>
      <c r="AF832" s="0" t="s">
        <v>236</v>
      </c>
      <c r="AG832" s="0" t="s">
        <v>236</v>
      </c>
      <c r="AH832" s="0" t="s">
        <v>230</v>
      </c>
      <c r="AI832" s="0" t="s">
        <v>3706</v>
      </c>
      <c r="AJ832" s="0" t="s">
        <v>3707</v>
      </c>
      <c r="AK832" s="0" t="s">
        <v>3708</v>
      </c>
      <c r="AL832" s="0" t="s">
        <v>3709</v>
      </c>
      <c r="AM832" s="0" t="s">
        <v>94</v>
      </c>
      <c r="AN832" s="26" t="n">
        <f aca="false">IFERROR(E832*(1+IF(AM832="Apartment",Data_Summary!$C$3,0)),"")</f>
        <v>4.11347517730497</v>
      </c>
      <c r="AO832" s="4" t="n">
        <v>46195</v>
      </c>
    </row>
    <row r="833" customFormat="false" ht="15" hidden="false" customHeight="false" outlineLevel="0" collapsed="false">
      <c r="A833" s="0" t="n">
        <f aca="false">IF(AND(ISNUMBER(B833),B833&gt;0,ISNUMBER(AB833),AB833&gt;0,J833&gt;=Data_Summary!$C$1),1,0)</f>
        <v>1</v>
      </c>
      <c r="B833" s="30" t="n">
        <v>505</v>
      </c>
      <c r="C833" s="5" t="n">
        <f aca="false">IF(ISNUMBER(AB833),AB833,"")</f>
        <v>2250</v>
      </c>
      <c r="D833" s="0" t="n">
        <f aca="false">IF(ISNUMBER(C833),C833-U833*Data_Summary!$C$2,"")</f>
        <v>2250</v>
      </c>
      <c r="E833" s="31" t="n">
        <f aca="false">IFERROR(C833/B833,"")</f>
        <v>4.45544554455446</v>
      </c>
      <c r="F833" s="26" t="n">
        <f aca="false">IFERROR(D833/B833,"")</f>
        <v>4.45544554455446</v>
      </c>
      <c r="G833" s="0" t="str">
        <f aca="false">Q833</f>
        <v>1</v>
      </c>
      <c r="H833" s="0" t="str">
        <f aca="false">IFERROR(LEFT(G833,1),"")</f>
        <v>1</v>
      </c>
      <c r="I833" s="0" t="n">
        <f aca="false">IF(LEN(G833)&gt;1,1,0)</f>
        <v>0</v>
      </c>
      <c r="J833" s="4" t="n">
        <v>45798</v>
      </c>
      <c r="K833" s="0" t="s">
        <v>14</v>
      </c>
      <c r="L833" s="0" t="s">
        <v>104</v>
      </c>
      <c r="M833" s="0" t="s">
        <v>226</v>
      </c>
      <c r="N833" s="0" t="s">
        <v>93</v>
      </c>
      <c r="O833" s="0" t="s">
        <v>1691</v>
      </c>
      <c r="Q833" s="0" t="s">
        <v>242</v>
      </c>
      <c r="R833" s="0" t="n">
        <v>1</v>
      </c>
      <c r="S833" s="5" t="n">
        <v>505</v>
      </c>
      <c r="T833" s="0" t="s">
        <v>243</v>
      </c>
      <c r="U833" s="0" t="n">
        <v>0</v>
      </c>
      <c r="V833" s="0" t="s">
        <v>230</v>
      </c>
      <c r="W833" s="0" t="s">
        <v>244</v>
      </c>
      <c r="X833" s="0" t="s">
        <v>232</v>
      </c>
      <c r="Y833" s="0" t="s">
        <v>253</v>
      </c>
      <c r="Z833" s="0" t="s">
        <v>3310</v>
      </c>
      <c r="AA833" s="0" t="s">
        <v>235</v>
      </c>
      <c r="AB833" s="32" t="n">
        <v>2250</v>
      </c>
      <c r="AC833" s="32" t="n">
        <v>2300</v>
      </c>
      <c r="AD833" s="26" t="n">
        <f aca="false">IFERROR(AB833/B833,"")</f>
        <v>4.45544554455446</v>
      </c>
      <c r="AE833" s="26" t="n">
        <f aca="false">IFERROR(AC833/B833,"")</f>
        <v>4.55445544554455</v>
      </c>
      <c r="AF833" s="0" t="s">
        <v>236</v>
      </c>
      <c r="AG833" s="0" t="s">
        <v>236</v>
      </c>
      <c r="AH833" s="0" t="s">
        <v>230</v>
      </c>
      <c r="AI833" s="0" t="s">
        <v>3706</v>
      </c>
      <c r="AJ833" s="0" t="s">
        <v>3710</v>
      </c>
      <c r="AK833" s="0" t="s">
        <v>3711</v>
      </c>
      <c r="AL833" s="0" t="s">
        <v>3712</v>
      </c>
      <c r="AM833" s="0" t="s">
        <v>94</v>
      </c>
      <c r="AN833" s="26" t="n">
        <f aca="false">IFERROR(E833*(1+IF(AM833="Apartment",Data_Summary!$C$3,0)),"")</f>
        <v>4.45544554455446</v>
      </c>
      <c r="AO833" s="4" t="n">
        <v>46195</v>
      </c>
    </row>
    <row r="834" customFormat="false" ht="15" hidden="false" customHeight="false" outlineLevel="0" collapsed="false">
      <c r="A834" s="0" t="n">
        <f aca="false">IF(AND(ISNUMBER(B834),B834&gt;0,ISNUMBER(AB834),AB834&gt;0,J834&gt;=Data_Summary!$C$1),1,0)</f>
        <v>1</v>
      </c>
      <c r="B834" s="30" t="n">
        <v>500</v>
      </c>
      <c r="C834" s="5" t="n">
        <f aca="false">IF(ISNUMBER(AB834),AB834,"")</f>
        <v>2200</v>
      </c>
      <c r="D834" s="0" t="n">
        <f aca="false">IF(ISNUMBER(C834),C834-U834*Data_Summary!$C$2,"")</f>
        <v>2200</v>
      </c>
      <c r="E834" s="31" t="n">
        <f aca="false">IFERROR(C834/B834,"")</f>
        <v>4.4</v>
      </c>
      <c r="F834" s="26" t="n">
        <f aca="false">IFERROR(D834/B834,"")</f>
        <v>4.4</v>
      </c>
      <c r="G834" s="0" t="str">
        <f aca="false">Q834</f>
        <v>1</v>
      </c>
      <c r="H834" s="0" t="str">
        <f aca="false">IFERROR(LEFT(G834,1),"")</f>
        <v>1</v>
      </c>
      <c r="I834" s="0" t="n">
        <f aca="false">IF(LEN(G834)&gt;1,1,0)</f>
        <v>0</v>
      </c>
      <c r="J834" s="4" t="n">
        <v>45792</v>
      </c>
      <c r="K834" s="0" t="s">
        <v>14</v>
      </c>
      <c r="L834" s="0" t="s">
        <v>104</v>
      </c>
      <c r="M834" s="0" t="s">
        <v>226</v>
      </c>
      <c r="N834" s="0" t="s">
        <v>93</v>
      </c>
      <c r="O834" s="0" t="s">
        <v>3192</v>
      </c>
      <c r="Q834" s="0" t="s">
        <v>242</v>
      </c>
      <c r="R834" s="0" t="n">
        <v>1</v>
      </c>
      <c r="S834" s="5" t="n">
        <v>500</v>
      </c>
      <c r="T834" s="0" t="s">
        <v>243</v>
      </c>
      <c r="U834" s="0" t="n">
        <v>0</v>
      </c>
      <c r="V834" s="0" t="s">
        <v>230</v>
      </c>
      <c r="W834" s="0" t="s">
        <v>244</v>
      </c>
      <c r="X834" s="0" t="s">
        <v>232</v>
      </c>
      <c r="Y834" s="0" t="s">
        <v>245</v>
      </c>
      <c r="Z834" s="0" t="s">
        <v>3310</v>
      </c>
      <c r="AA834" s="0" t="s">
        <v>235</v>
      </c>
      <c r="AB834" s="32" t="n">
        <v>2200</v>
      </c>
      <c r="AC834" s="32" t="n">
        <v>2300</v>
      </c>
      <c r="AD834" s="26" t="n">
        <f aca="false">IFERROR(AB834/B834,"")</f>
        <v>4.4</v>
      </c>
      <c r="AE834" s="26" t="n">
        <f aca="false">IFERROR(AC834/B834,"")</f>
        <v>4.6</v>
      </c>
      <c r="AF834" s="0" t="s">
        <v>236</v>
      </c>
      <c r="AG834" s="0" t="s">
        <v>236</v>
      </c>
      <c r="AH834" s="0" t="s">
        <v>230</v>
      </c>
      <c r="AI834" s="0" t="s">
        <v>3713</v>
      </c>
      <c r="AJ834" s="0" t="s">
        <v>3714</v>
      </c>
      <c r="AK834" s="0" t="s">
        <v>3715</v>
      </c>
      <c r="AL834" s="0" t="s">
        <v>3716</v>
      </c>
      <c r="AM834" s="0" t="s">
        <v>94</v>
      </c>
      <c r="AN834" s="26" t="n">
        <f aca="false">IFERROR(E834*(1+IF(AM834="Apartment",Data_Summary!$C$3,0)),"")</f>
        <v>4.4</v>
      </c>
      <c r="AO834" s="4" t="n">
        <v>46195</v>
      </c>
    </row>
    <row r="835" customFormat="false" ht="15" hidden="false" customHeight="false" outlineLevel="0" collapsed="false">
      <c r="A835" s="0" t="n">
        <f aca="false">IF(AND(ISNUMBER(B835),B835&gt;0,ISNUMBER(AB835),AB835&gt;0,J835&gt;=Data_Summary!$C$1),1,0)</f>
        <v>1</v>
      </c>
      <c r="B835" s="30" t="n">
        <v>505</v>
      </c>
      <c r="C835" s="5" t="n">
        <f aca="false">IF(ISNUMBER(AB835),AB835,"")</f>
        <v>2250</v>
      </c>
      <c r="D835" s="0" t="n">
        <f aca="false">IF(ISNUMBER(C835),C835-U835*Data_Summary!$C$2,"")</f>
        <v>2250</v>
      </c>
      <c r="E835" s="31" t="n">
        <f aca="false">IFERROR(C835/B835,"")</f>
        <v>4.45544554455446</v>
      </c>
      <c r="F835" s="26" t="n">
        <f aca="false">IFERROR(D835/B835,"")</f>
        <v>4.45544554455446</v>
      </c>
      <c r="G835" s="0" t="str">
        <f aca="false">Q835</f>
        <v>1</v>
      </c>
      <c r="H835" s="0" t="str">
        <f aca="false">IFERROR(LEFT(G835,1),"")</f>
        <v>1</v>
      </c>
      <c r="I835" s="0" t="n">
        <f aca="false">IF(LEN(G835)&gt;1,1,0)</f>
        <v>0</v>
      </c>
      <c r="J835" s="4" t="n">
        <v>45791</v>
      </c>
      <c r="K835" s="0" t="s">
        <v>14</v>
      </c>
      <c r="L835" s="0" t="s">
        <v>104</v>
      </c>
      <c r="M835" s="0" t="s">
        <v>226</v>
      </c>
      <c r="N835" s="0" t="s">
        <v>93</v>
      </c>
      <c r="O835" s="0" t="s">
        <v>296</v>
      </c>
      <c r="Q835" s="0" t="s">
        <v>242</v>
      </c>
      <c r="R835" s="0" t="n">
        <v>1</v>
      </c>
      <c r="S835" s="5" t="n">
        <v>505</v>
      </c>
      <c r="T835" s="0" t="s">
        <v>243</v>
      </c>
      <c r="U835" s="0" t="n">
        <v>0</v>
      </c>
      <c r="V835" s="0" t="s">
        <v>230</v>
      </c>
      <c r="W835" s="0" t="s">
        <v>244</v>
      </c>
      <c r="X835" s="0" t="s">
        <v>232</v>
      </c>
      <c r="Y835" s="0" t="s">
        <v>253</v>
      </c>
      <c r="Z835" s="0" t="s">
        <v>3310</v>
      </c>
      <c r="AA835" s="0" t="s">
        <v>235</v>
      </c>
      <c r="AB835" s="32" t="n">
        <v>2250</v>
      </c>
      <c r="AC835" s="32" t="n">
        <v>2250</v>
      </c>
      <c r="AD835" s="26" t="n">
        <f aca="false">IFERROR(AB835/B835,"")</f>
        <v>4.45544554455446</v>
      </c>
      <c r="AE835" s="26" t="n">
        <f aca="false">IFERROR(AC835/B835,"")</f>
        <v>4.45544554455446</v>
      </c>
      <c r="AF835" s="0" t="s">
        <v>236</v>
      </c>
      <c r="AG835" s="0" t="s">
        <v>236</v>
      </c>
      <c r="AH835" s="0" t="s">
        <v>236</v>
      </c>
      <c r="AI835" s="0" t="s">
        <v>2211</v>
      </c>
      <c r="AJ835" s="0" t="s">
        <v>3717</v>
      </c>
      <c r="AK835" s="0" t="s">
        <v>3718</v>
      </c>
      <c r="AL835" s="0" t="s">
        <v>3719</v>
      </c>
      <c r="AM835" s="0" t="s">
        <v>94</v>
      </c>
      <c r="AN835" s="26" t="n">
        <f aca="false">IFERROR(E835*(1+IF(AM835="Apartment",Data_Summary!$C$3,0)),"")</f>
        <v>4.45544554455446</v>
      </c>
      <c r="AO835" s="4" t="n">
        <v>46195</v>
      </c>
    </row>
    <row r="836" customFormat="false" ht="15" hidden="false" customHeight="false" outlineLevel="0" collapsed="false">
      <c r="A836" s="0" t="n">
        <f aca="false">IF(AND(ISNUMBER(B836),B836&gt;0,ISNUMBER(AB836),AB836&gt;0,J836&gt;=Data_Summary!$C$1),1,0)</f>
        <v>1</v>
      </c>
      <c r="B836" s="30" t="n">
        <v>708</v>
      </c>
      <c r="C836" s="5" t="n">
        <f aca="false">IF(ISNUMBER(AB836),AB836,"")</f>
        <v>2800</v>
      </c>
      <c r="D836" s="0" t="n">
        <f aca="false">IF(ISNUMBER(C836),C836-U836*Data_Summary!$C$2,"")</f>
        <v>2800</v>
      </c>
      <c r="E836" s="31" t="n">
        <f aca="false">IFERROR(C836/B836,"")</f>
        <v>3.95480225988701</v>
      </c>
      <c r="F836" s="26" t="n">
        <f aca="false">IFERROR(D836/B836,"")</f>
        <v>3.95480225988701</v>
      </c>
      <c r="G836" s="0" t="str">
        <f aca="false">Q836</f>
        <v>1+1</v>
      </c>
      <c r="H836" s="0" t="str">
        <f aca="false">IFERROR(LEFT(G836,1),"")</f>
        <v>1</v>
      </c>
      <c r="I836" s="0" t="n">
        <f aca="false">IF(LEN(G836)&gt;1,1,0)</f>
        <v>1</v>
      </c>
      <c r="J836" s="4" t="n">
        <v>45785</v>
      </c>
      <c r="K836" s="0" t="s">
        <v>14</v>
      </c>
      <c r="L836" s="0" t="s">
        <v>104</v>
      </c>
      <c r="M836" s="0" t="s">
        <v>226</v>
      </c>
      <c r="N836" s="0" t="s">
        <v>93</v>
      </c>
      <c r="O836" s="0" t="s">
        <v>1187</v>
      </c>
      <c r="Q836" s="0" t="s">
        <v>270</v>
      </c>
      <c r="R836" s="0" t="n">
        <v>1</v>
      </c>
      <c r="S836" s="5" t="n">
        <v>708</v>
      </c>
      <c r="T836" s="0" t="s">
        <v>252</v>
      </c>
      <c r="U836" s="0" t="n">
        <v>0</v>
      </c>
      <c r="V836" s="0" t="s">
        <v>230</v>
      </c>
      <c r="W836" s="0" t="s">
        <v>244</v>
      </c>
      <c r="X836" s="0" t="s">
        <v>232</v>
      </c>
      <c r="Y836" s="0" t="s">
        <v>278</v>
      </c>
      <c r="Z836" s="0" t="s">
        <v>3310</v>
      </c>
      <c r="AA836" s="0" t="s">
        <v>235</v>
      </c>
      <c r="AB836" s="32" t="n">
        <v>2800</v>
      </c>
      <c r="AC836" s="32" t="n">
        <v>2800</v>
      </c>
      <c r="AD836" s="26" t="n">
        <f aca="false">IFERROR(AB836/B836,"")</f>
        <v>3.95480225988701</v>
      </c>
      <c r="AE836" s="26" t="n">
        <f aca="false">IFERROR(AC836/B836,"")</f>
        <v>3.95480225988701</v>
      </c>
      <c r="AF836" s="0" t="s">
        <v>236</v>
      </c>
      <c r="AG836" s="0" t="s">
        <v>236</v>
      </c>
      <c r="AH836" s="0" t="s">
        <v>236</v>
      </c>
      <c r="AI836" s="0" t="s">
        <v>3720</v>
      </c>
      <c r="AJ836" s="0" t="s">
        <v>3721</v>
      </c>
      <c r="AK836" s="0" t="s">
        <v>3722</v>
      </c>
      <c r="AL836" s="0" t="s">
        <v>3723</v>
      </c>
      <c r="AM836" s="0" t="s">
        <v>94</v>
      </c>
      <c r="AN836" s="26" t="n">
        <f aca="false">IFERROR(E836*(1+IF(AM836="Apartment",Data_Summary!$C$3,0)),"")</f>
        <v>3.95480225988701</v>
      </c>
      <c r="AO836" s="4" t="n">
        <v>46195</v>
      </c>
    </row>
    <row r="837" customFormat="false" ht="15" hidden="false" customHeight="false" outlineLevel="0" collapsed="false">
      <c r="A837" s="0" t="n">
        <f aca="false">IF(AND(ISNUMBER(B837),B837&gt;0,ISNUMBER(AB837),AB837&gt;0,J837&gt;=Data_Summary!$C$1),1,0)</f>
        <v>1</v>
      </c>
      <c r="B837" s="33" t="n">
        <v>575</v>
      </c>
      <c r="C837" s="5" t="n">
        <f aca="false">IF(ISNUMBER(AB837),AB837,"")</f>
        <v>2600</v>
      </c>
      <c r="D837" s="0" t="n">
        <f aca="false">IF(ISNUMBER(C837),C837-U837*Data_Summary!$C$2,"")</f>
        <v>2450</v>
      </c>
      <c r="E837" s="34" t="n">
        <f aca="false">IFERROR(C837/B837,"")</f>
        <v>4.52173913043478</v>
      </c>
      <c r="F837" s="26" t="n">
        <f aca="false">IFERROR(D837/B837,"")</f>
        <v>4.26086956521739</v>
      </c>
      <c r="G837" s="0" t="str">
        <f aca="false">Q837</f>
        <v>1+1</v>
      </c>
      <c r="H837" s="0" t="str">
        <f aca="false">IFERROR(LEFT(G837,1),"")</f>
        <v>1</v>
      </c>
      <c r="I837" s="0" t="n">
        <f aca="false">IF(LEN(G837)&gt;1,1,0)</f>
        <v>1</v>
      </c>
      <c r="J837" s="4" t="n">
        <v>45785</v>
      </c>
      <c r="K837" s="0" t="s">
        <v>14</v>
      </c>
      <c r="L837" s="0" t="s">
        <v>104</v>
      </c>
      <c r="M837" s="0" t="s">
        <v>226</v>
      </c>
      <c r="N837" s="0" t="s">
        <v>93</v>
      </c>
      <c r="O837" s="0" t="s">
        <v>3724</v>
      </c>
      <c r="Q837" s="0" t="s">
        <v>270</v>
      </c>
      <c r="R837" s="0" t="n">
        <v>1</v>
      </c>
      <c r="S837" s="5" t="n">
        <v>575</v>
      </c>
      <c r="T837" s="0" t="s">
        <v>271</v>
      </c>
      <c r="U837" s="0" t="n">
        <v>1</v>
      </c>
      <c r="V837" s="0" t="s">
        <v>230</v>
      </c>
      <c r="W837" s="0" t="s">
        <v>244</v>
      </c>
      <c r="X837" s="0" t="s">
        <v>232</v>
      </c>
      <c r="Y837" s="0" t="s">
        <v>308</v>
      </c>
      <c r="Z837" s="0" t="s">
        <v>3310</v>
      </c>
      <c r="AA837" s="0" t="s">
        <v>235</v>
      </c>
      <c r="AB837" s="32" t="n">
        <v>2600</v>
      </c>
      <c r="AC837" s="32" t="n">
        <v>2600</v>
      </c>
      <c r="AD837" s="26" t="n">
        <f aca="false">IFERROR(AB837/B837,"")</f>
        <v>4.52173913043478</v>
      </c>
      <c r="AE837" s="26" t="n">
        <f aca="false">IFERROR(AC837/B837,"")</f>
        <v>4.52173913043478</v>
      </c>
      <c r="AF837" s="0" t="s">
        <v>236</v>
      </c>
      <c r="AG837" s="0" t="s">
        <v>236</v>
      </c>
      <c r="AH837" s="0" t="s">
        <v>230</v>
      </c>
      <c r="AI837" s="0" t="s">
        <v>3720</v>
      </c>
      <c r="AJ837" s="0" t="s">
        <v>3725</v>
      </c>
      <c r="AK837" s="0" t="s">
        <v>3726</v>
      </c>
      <c r="AL837" s="0" t="s">
        <v>3727</v>
      </c>
      <c r="AM837" s="0" t="s">
        <v>94</v>
      </c>
      <c r="AN837" s="26" t="n">
        <f aca="false">IFERROR(E837*(1+IF(AM837="Apartment",Data_Summary!$C$3,0)),"")</f>
        <v>4.52173913043478</v>
      </c>
      <c r="AO837" s="4" t="n">
        <v>46195</v>
      </c>
    </row>
    <row r="838" customFormat="false" ht="15" hidden="false" customHeight="false" outlineLevel="0" collapsed="false">
      <c r="A838" s="0" t="n">
        <f aca="false">IF(AND(ISNUMBER(B838),B838&gt;0,ISNUMBER(AB838),AB838&gt;0,J838&gt;=Data_Summary!$C$1),1,0)</f>
        <v>1</v>
      </c>
      <c r="B838" s="30" t="n">
        <v>525</v>
      </c>
      <c r="C838" s="5" t="n">
        <f aca="false">IF(ISNUMBER(AB838),AB838,"")</f>
        <v>2350</v>
      </c>
      <c r="D838" s="0" t="n">
        <f aca="false">IF(ISNUMBER(C838),C838-U838*Data_Summary!$C$2,"")</f>
        <v>2200</v>
      </c>
      <c r="E838" s="31" t="n">
        <f aca="false">IFERROR(C838/B838,"")</f>
        <v>4.47619047619048</v>
      </c>
      <c r="F838" s="26" t="n">
        <f aca="false">IFERROR(D838/B838,"")</f>
        <v>4.19047619047619</v>
      </c>
      <c r="G838" s="0" t="str">
        <f aca="false">Q838</f>
        <v>1</v>
      </c>
      <c r="H838" s="0" t="str">
        <f aca="false">IFERROR(LEFT(G838,1),"")</f>
        <v>1</v>
      </c>
      <c r="I838" s="0" t="n">
        <f aca="false">IF(LEN(G838)&gt;1,1,0)</f>
        <v>0</v>
      </c>
      <c r="J838" s="4" t="n">
        <v>45779</v>
      </c>
      <c r="K838" s="0" t="s">
        <v>14</v>
      </c>
      <c r="L838" s="0" t="s">
        <v>104</v>
      </c>
      <c r="M838" s="0" t="s">
        <v>226</v>
      </c>
      <c r="N838" s="0" t="s">
        <v>93</v>
      </c>
      <c r="O838" s="0" t="s">
        <v>3192</v>
      </c>
      <c r="Q838" s="0" t="s">
        <v>242</v>
      </c>
      <c r="R838" s="0" t="n">
        <v>1</v>
      </c>
      <c r="S838" s="5" t="n">
        <v>525</v>
      </c>
      <c r="T838" s="0" t="s">
        <v>243</v>
      </c>
      <c r="U838" s="0" t="n">
        <v>1</v>
      </c>
      <c r="V838" s="0" t="s">
        <v>230</v>
      </c>
      <c r="W838" s="0" t="s">
        <v>231</v>
      </c>
      <c r="Y838" s="0" t="s">
        <v>233</v>
      </c>
      <c r="Z838" s="0" t="s">
        <v>3310</v>
      </c>
      <c r="AA838" s="0" t="s">
        <v>235</v>
      </c>
      <c r="AB838" s="32" t="n">
        <v>2350</v>
      </c>
      <c r="AC838" s="32" t="n">
        <v>2350</v>
      </c>
      <c r="AD838" s="26" t="n">
        <f aca="false">IFERROR(AB838/B838,"")</f>
        <v>4.47619047619048</v>
      </c>
      <c r="AE838" s="26" t="n">
        <f aca="false">IFERROR(AC838/B838,"")</f>
        <v>4.47619047619048</v>
      </c>
      <c r="AF838" s="0" t="s">
        <v>236</v>
      </c>
      <c r="AG838" s="0" t="s">
        <v>236</v>
      </c>
      <c r="AH838" s="0" t="s">
        <v>230</v>
      </c>
      <c r="AI838" s="0" t="s">
        <v>3728</v>
      </c>
      <c r="AJ838" s="0" t="s">
        <v>3729</v>
      </c>
      <c r="AK838" s="0" t="s">
        <v>3730</v>
      </c>
      <c r="AL838" s="0" t="s">
        <v>3731</v>
      </c>
      <c r="AM838" s="0" t="s">
        <v>94</v>
      </c>
      <c r="AN838" s="26" t="n">
        <f aca="false">IFERROR(E838*(1+IF(AM838="Apartment",Data_Summary!$C$3,0)),"")</f>
        <v>4.47619047619048</v>
      </c>
      <c r="AO838" s="4" t="n">
        <v>46195</v>
      </c>
    </row>
    <row r="839" customFormat="false" ht="15" hidden="false" customHeight="false" outlineLevel="0" collapsed="false">
      <c r="A839" s="0" t="n">
        <f aca="false">IF(AND(ISNUMBER(B839),B839&gt;0,ISNUMBER(AB839),AB839&gt;0,J839&gt;=Data_Summary!$C$1),1,0)</f>
        <v>1</v>
      </c>
      <c r="B839" s="33" t="n">
        <v>575</v>
      </c>
      <c r="C839" s="5" t="n">
        <f aca="false">IF(ISNUMBER(AB839),AB839,"")</f>
        <v>2600</v>
      </c>
      <c r="D839" s="0" t="n">
        <f aca="false">IF(ISNUMBER(C839),C839-U839*Data_Summary!$C$2,"")</f>
        <v>2450</v>
      </c>
      <c r="E839" s="34" t="n">
        <f aca="false">IFERROR(C839/B839,"")</f>
        <v>4.52173913043478</v>
      </c>
      <c r="F839" s="26" t="n">
        <f aca="false">IFERROR(D839/B839,"")</f>
        <v>4.26086956521739</v>
      </c>
      <c r="G839" s="0" t="str">
        <f aca="false">Q839</f>
        <v>1+1</v>
      </c>
      <c r="H839" s="0" t="str">
        <f aca="false">IFERROR(LEFT(G839,1),"")</f>
        <v>1</v>
      </c>
      <c r="I839" s="0" t="n">
        <f aca="false">IF(LEN(G839)&gt;1,1,0)</f>
        <v>1</v>
      </c>
      <c r="J839" s="4" t="n">
        <v>45777</v>
      </c>
      <c r="K839" s="0" t="s">
        <v>14</v>
      </c>
      <c r="L839" s="0" t="s">
        <v>104</v>
      </c>
      <c r="M839" s="0" t="s">
        <v>226</v>
      </c>
      <c r="N839" s="0" t="s">
        <v>93</v>
      </c>
      <c r="O839" s="0" t="s">
        <v>3732</v>
      </c>
      <c r="Q839" s="0" t="s">
        <v>270</v>
      </c>
      <c r="R839" s="0" t="n">
        <v>1</v>
      </c>
      <c r="S839" s="5" t="n">
        <v>575</v>
      </c>
      <c r="T839" s="0" t="s">
        <v>271</v>
      </c>
      <c r="U839" s="0" t="n">
        <v>1</v>
      </c>
      <c r="V839" s="0" t="s">
        <v>230</v>
      </c>
      <c r="W839" s="0" t="s">
        <v>231</v>
      </c>
      <c r="X839" s="0" t="s">
        <v>232</v>
      </c>
      <c r="Y839" s="0" t="s">
        <v>272</v>
      </c>
      <c r="Z839" s="0" t="s">
        <v>3310</v>
      </c>
      <c r="AA839" s="0" t="s">
        <v>235</v>
      </c>
      <c r="AB839" s="32" t="n">
        <v>2600</v>
      </c>
      <c r="AC839" s="32" t="n">
        <v>2600</v>
      </c>
      <c r="AD839" s="26" t="n">
        <f aca="false">IFERROR(AB839/B839,"")</f>
        <v>4.52173913043478</v>
      </c>
      <c r="AE839" s="26" t="n">
        <f aca="false">IFERROR(AC839/B839,"")</f>
        <v>4.52173913043478</v>
      </c>
      <c r="AF839" s="0" t="s">
        <v>236</v>
      </c>
      <c r="AG839" s="0" t="s">
        <v>230</v>
      </c>
      <c r="AH839" s="0" t="s">
        <v>230</v>
      </c>
      <c r="AI839" s="0" t="s">
        <v>2239</v>
      </c>
      <c r="AJ839" s="0" t="s">
        <v>3733</v>
      </c>
      <c r="AK839" s="0" t="s">
        <v>3734</v>
      </c>
      <c r="AL839" s="0" t="s">
        <v>3735</v>
      </c>
      <c r="AM839" s="0" t="s">
        <v>94</v>
      </c>
      <c r="AN839" s="26" t="n">
        <f aca="false">IFERROR(E839*(1+IF(AM839="Apartment",Data_Summary!$C$3,0)),"")</f>
        <v>4.52173913043478</v>
      </c>
      <c r="AO839" s="4" t="n">
        <v>46195</v>
      </c>
    </row>
    <row r="840" customFormat="false" ht="15" hidden="false" customHeight="false" outlineLevel="0" collapsed="false">
      <c r="A840" s="0" t="n">
        <f aca="false">IF(AND(ISNUMBER(B840),B840&gt;0,ISNUMBER(AB840),AB840&gt;0,J840&gt;=Data_Summary!$C$1),1,0)</f>
        <v>1</v>
      </c>
      <c r="B840" s="30" t="n">
        <v>833</v>
      </c>
      <c r="C840" s="5" t="n">
        <f aca="false">IF(ISNUMBER(AB840),AB840,"")</f>
        <v>3300</v>
      </c>
      <c r="D840" s="0" t="n">
        <f aca="false">IF(ISNUMBER(C840),C840-U840*Data_Summary!$C$2,"")</f>
        <v>3150</v>
      </c>
      <c r="E840" s="31" t="n">
        <f aca="false">IFERROR(C840/B840,"")</f>
        <v>3.96158463385354</v>
      </c>
      <c r="F840" s="26" t="n">
        <f aca="false">IFERROR(D840/B840,"")</f>
        <v>3.78151260504202</v>
      </c>
      <c r="G840" s="0" t="str">
        <f aca="false">Q840</f>
        <v>2+1</v>
      </c>
      <c r="H840" s="0" t="str">
        <f aca="false">IFERROR(LEFT(G840,1),"")</f>
        <v>2</v>
      </c>
      <c r="I840" s="0" t="n">
        <f aca="false">IF(LEN(G840)&gt;1,1,0)</f>
        <v>1</v>
      </c>
      <c r="J840" s="4" t="n">
        <v>45771</v>
      </c>
      <c r="K840" s="0" t="s">
        <v>14</v>
      </c>
      <c r="L840" s="0" t="s">
        <v>104</v>
      </c>
      <c r="M840" s="0" t="s">
        <v>226</v>
      </c>
      <c r="N840" s="0" t="s">
        <v>93</v>
      </c>
      <c r="O840" s="0" t="s">
        <v>3497</v>
      </c>
      <c r="Q840" s="0" t="s">
        <v>451</v>
      </c>
      <c r="R840" s="0" t="n">
        <v>2</v>
      </c>
      <c r="S840" s="5" t="n">
        <v>833</v>
      </c>
      <c r="T840" s="0" t="s">
        <v>229</v>
      </c>
      <c r="U840" s="0" t="n">
        <v>1</v>
      </c>
      <c r="V840" s="0" t="s">
        <v>230</v>
      </c>
      <c r="W840" s="0" t="s">
        <v>244</v>
      </c>
      <c r="X840" s="0" t="s">
        <v>232</v>
      </c>
      <c r="Y840" s="0" t="s">
        <v>308</v>
      </c>
      <c r="Z840" s="0" t="s">
        <v>3310</v>
      </c>
      <c r="AA840" s="0" t="s">
        <v>235</v>
      </c>
      <c r="AB840" s="32" t="n">
        <v>3300</v>
      </c>
      <c r="AC840" s="32" t="n">
        <v>3300</v>
      </c>
      <c r="AD840" s="26" t="n">
        <f aca="false">IFERROR(AB840/B840,"")</f>
        <v>3.96158463385354</v>
      </c>
      <c r="AE840" s="26" t="n">
        <f aca="false">IFERROR(AC840/B840,"")</f>
        <v>3.96158463385354</v>
      </c>
      <c r="AF840" s="0" t="s">
        <v>236</v>
      </c>
      <c r="AG840" s="0" t="s">
        <v>236</v>
      </c>
      <c r="AH840" s="0" t="s">
        <v>230</v>
      </c>
      <c r="AI840" s="0" t="s">
        <v>2258</v>
      </c>
      <c r="AJ840" s="0" t="s">
        <v>3736</v>
      </c>
      <c r="AK840" s="0" t="s">
        <v>3737</v>
      </c>
      <c r="AL840" s="0" t="s">
        <v>3738</v>
      </c>
      <c r="AM840" s="0" t="s">
        <v>94</v>
      </c>
      <c r="AN840" s="26" t="n">
        <f aca="false">IFERROR(E840*(1+IF(AM840="Apartment",Data_Summary!$C$3,0)),"")</f>
        <v>3.96158463385354</v>
      </c>
      <c r="AO840" s="4" t="n">
        <v>46195</v>
      </c>
    </row>
    <row r="841" customFormat="false" ht="15" hidden="false" customHeight="false" outlineLevel="0" collapsed="false">
      <c r="A841" s="0" t="n">
        <f aca="false">IF(AND(ISNUMBER(B841),B841&gt;0,ISNUMBER(AB841),AB841&gt;0,J841&gt;=Data_Summary!$C$1),1,0)</f>
        <v>1</v>
      </c>
      <c r="B841" s="30" t="n">
        <v>535</v>
      </c>
      <c r="C841" s="5" t="n">
        <f aca="false">IF(ISNUMBER(AB841),AB841,"")</f>
        <v>2200</v>
      </c>
      <c r="D841" s="0" t="n">
        <f aca="false">IF(ISNUMBER(C841),C841-U841*Data_Summary!$C$2,"")</f>
        <v>2200</v>
      </c>
      <c r="E841" s="31" t="n">
        <f aca="false">IFERROR(C841/B841,"")</f>
        <v>4.11214953271028</v>
      </c>
      <c r="F841" s="26" t="n">
        <f aca="false">IFERROR(D841/B841,"")</f>
        <v>4.11214953271028</v>
      </c>
      <c r="G841" s="0" t="str">
        <f aca="false">Q841</f>
        <v>1</v>
      </c>
      <c r="H841" s="0" t="str">
        <f aca="false">IFERROR(LEFT(G841,1),"")</f>
        <v>1</v>
      </c>
      <c r="I841" s="0" t="n">
        <f aca="false">IF(LEN(G841)&gt;1,1,0)</f>
        <v>0</v>
      </c>
      <c r="J841" s="4" t="n">
        <v>45766</v>
      </c>
      <c r="K841" s="0" t="s">
        <v>14</v>
      </c>
      <c r="L841" s="0" t="s">
        <v>104</v>
      </c>
      <c r="M841" s="0" t="s">
        <v>226</v>
      </c>
      <c r="N841" s="0" t="s">
        <v>93</v>
      </c>
      <c r="O841" s="0" t="s">
        <v>2929</v>
      </c>
      <c r="Q841" s="0" t="s">
        <v>242</v>
      </c>
      <c r="R841" s="0" t="n">
        <v>1</v>
      </c>
      <c r="S841" s="5" t="n">
        <v>535</v>
      </c>
      <c r="T841" s="0" t="s">
        <v>243</v>
      </c>
      <c r="U841" s="0" t="n">
        <v>0</v>
      </c>
      <c r="V841" s="0" t="s">
        <v>230</v>
      </c>
      <c r="W841" s="0" t="s">
        <v>244</v>
      </c>
      <c r="X841" s="0" t="s">
        <v>232</v>
      </c>
      <c r="Y841" s="0" t="s">
        <v>297</v>
      </c>
      <c r="Z841" s="0" t="s">
        <v>3310</v>
      </c>
      <c r="AA841" s="0" t="s">
        <v>235</v>
      </c>
      <c r="AB841" s="32" t="n">
        <v>2200</v>
      </c>
      <c r="AC841" s="32" t="n">
        <v>2200</v>
      </c>
      <c r="AD841" s="26" t="n">
        <f aca="false">IFERROR(AB841/B841,"")</f>
        <v>4.11214953271028</v>
      </c>
      <c r="AE841" s="26" t="n">
        <f aca="false">IFERROR(AC841/B841,"")</f>
        <v>4.11214953271028</v>
      </c>
      <c r="AF841" s="0" t="s">
        <v>236</v>
      </c>
      <c r="AG841" s="0" t="s">
        <v>236</v>
      </c>
      <c r="AH841" s="0" t="s">
        <v>230</v>
      </c>
      <c r="AI841" s="0" t="s">
        <v>3739</v>
      </c>
      <c r="AJ841" s="0" t="s">
        <v>3740</v>
      </c>
      <c r="AK841" s="0" t="s">
        <v>3741</v>
      </c>
      <c r="AL841" s="0" t="s">
        <v>3742</v>
      </c>
      <c r="AM841" s="0" t="s">
        <v>94</v>
      </c>
      <c r="AN841" s="26" t="n">
        <f aca="false">IFERROR(E841*(1+IF(AM841="Apartment",Data_Summary!$C$3,0)),"")</f>
        <v>4.11214953271028</v>
      </c>
      <c r="AO841" s="4" t="n">
        <v>46195</v>
      </c>
    </row>
    <row r="842" customFormat="false" ht="15" hidden="false" customHeight="false" outlineLevel="0" collapsed="false">
      <c r="A842" s="0" t="n">
        <f aca="false">IF(AND(ISNUMBER(B842),B842&gt;0,ISNUMBER(AB842),AB842&gt;0,J842&gt;=Data_Summary!$C$1),1,0)</f>
        <v>1</v>
      </c>
      <c r="B842" s="30" t="n">
        <v>505</v>
      </c>
      <c r="C842" s="5" t="n">
        <f aca="false">IF(ISNUMBER(AB842),AB842,"")</f>
        <v>2300</v>
      </c>
      <c r="D842" s="0" t="n">
        <f aca="false">IF(ISNUMBER(C842),C842-U842*Data_Summary!$C$2,"")</f>
        <v>2300</v>
      </c>
      <c r="E842" s="31" t="n">
        <f aca="false">IFERROR(C842/B842,"")</f>
        <v>4.55445544554455</v>
      </c>
      <c r="F842" s="26" t="n">
        <f aca="false">IFERROR(D842/B842,"")</f>
        <v>4.55445544554455</v>
      </c>
      <c r="G842" s="0" t="str">
        <f aca="false">Q842</f>
        <v>1</v>
      </c>
      <c r="H842" s="0" t="str">
        <f aca="false">IFERROR(LEFT(G842,1),"")</f>
        <v>1</v>
      </c>
      <c r="I842" s="0" t="n">
        <f aca="false">IF(LEN(G842)&gt;1,1,0)</f>
        <v>0</v>
      </c>
      <c r="J842" s="4" t="n">
        <v>45765</v>
      </c>
      <c r="K842" s="0" t="s">
        <v>14</v>
      </c>
      <c r="L842" s="0" t="s">
        <v>104</v>
      </c>
      <c r="M842" s="0" t="s">
        <v>226</v>
      </c>
      <c r="N842" s="0" t="s">
        <v>93</v>
      </c>
      <c r="O842" s="0" t="s">
        <v>2154</v>
      </c>
      <c r="Q842" s="0" t="s">
        <v>242</v>
      </c>
      <c r="R842" s="0" t="n">
        <v>1</v>
      </c>
      <c r="S842" s="5" t="n">
        <v>505</v>
      </c>
      <c r="T842" s="0" t="s">
        <v>243</v>
      </c>
      <c r="U842" s="0" t="n">
        <v>0</v>
      </c>
      <c r="V842" s="0" t="s">
        <v>230</v>
      </c>
      <c r="W842" s="0" t="s">
        <v>244</v>
      </c>
      <c r="X842" s="0" t="s">
        <v>232</v>
      </c>
      <c r="Y842" s="0" t="s">
        <v>245</v>
      </c>
      <c r="Z842" s="0" t="s">
        <v>3310</v>
      </c>
      <c r="AA842" s="0" t="s">
        <v>235</v>
      </c>
      <c r="AB842" s="32" t="n">
        <v>2300</v>
      </c>
      <c r="AC842" s="32" t="n">
        <v>2300</v>
      </c>
      <c r="AD842" s="26" t="n">
        <f aca="false">IFERROR(AB842/B842,"")</f>
        <v>4.55445544554455</v>
      </c>
      <c r="AE842" s="26" t="n">
        <f aca="false">IFERROR(AC842/B842,"")</f>
        <v>4.55445544554455</v>
      </c>
      <c r="AF842" s="0" t="s">
        <v>236</v>
      </c>
      <c r="AG842" s="0" t="s">
        <v>236</v>
      </c>
      <c r="AH842" s="0" t="s">
        <v>230</v>
      </c>
      <c r="AI842" s="0" t="s">
        <v>3743</v>
      </c>
      <c r="AJ842" s="0" t="s">
        <v>3744</v>
      </c>
      <c r="AK842" s="0" t="s">
        <v>3745</v>
      </c>
      <c r="AL842" s="0" t="s">
        <v>3746</v>
      </c>
      <c r="AM842" s="0" t="s">
        <v>94</v>
      </c>
      <c r="AN842" s="26" t="n">
        <f aca="false">IFERROR(E842*(1+IF(AM842="Apartment",Data_Summary!$C$3,0)),"")</f>
        <v>4.55445544554455</v>
      </c>
      <c r="AO842" s="4" t="n">
        <v>46195</v>
      </c>
    </row>
    <row r="843" customFormat="false" ht="15" hidden="false" customHeight="false" outlineLevel="0" collapsed="false">
      <c r="A843" s="0" t="n">
        <f aca="false">IF(AND(ISNUMBER(B843),B843&gt;0,ISNUMBER(AB843),AB843&gt;0,J843&gt;=Data_Summary!$C$1),1,0)</f>
        <v>1</v>
      </c>
      <c r="B843" s="30" t="n">
        <v>736</v>
      </c>
      <c r="C843" s="5" t="n">
        <f aca="false">IF(ISNUMBER(AB843),AB843,"")</f>
        <v>3100</v>
      </c>
      <c r="D843" s="0" t="n">
        <f aca="false">IF(ISNUMBER(C843),C843-U843*Data_Summary!$C$2,"")</f>
        <v>3100</v>
      </c>
      <c r="E843" s="31" t="n">
        <f aca="false">IFERROR(C843/B843,"")</f>
        <v>4.21195652173913</v>
      </c>
      <c r="F843" s="26" t="n">
        <f aca="false">IFERROR(D843/B843,"")</f>
        <v>4.21195652173913</v>
      </c>
      <c r="G843" s="0" t="str">
        <f aca="false">Q843</f>
        <v>2</v>
      </c>
      <c r="H843" s="0" t="str">
        <f aca="false">IFERROR(LEFT(G843,1),"")</f>
        <v>2</v>
      </c>
      <c r="I843" s="0" t="n">
        <f aca="false">IF(LEN(G843)&gt;1,1,0)</f>
        <v>0</v>
      </c>
      <c r="J843" s="4" t="n">
        <v>45762</v>
      </c>
      <c r="K843" s="0" t="s">
        <v>14</v>
      </c>
      <c r="L843" s="0" t="s">
        <v>104</v>
      </c>
      <c r="M843" s="0" t="s">
        <v>226</v>
      </c>
      <c r="N843" s="0" t="s">
        <v>93</v>
      </c>
      <c r="O843" s="0" t="s">
        <v>2468</v>
      </c>
      <c r="Q843" s="0" t="s">
        <v>251</v>
      </c>
      <c r="R843" s="0" t="n">
        <v>2</v>
      </c>
      <c r="S843" s="5" t="n">
        <v>736</v>
      </c>
      <c r="T843" s="0" t="s">
        <v>252</v>
      </c>
      <c r="U843" s="0" t="n">
        <v>0</v>
      </c>
      <c r="V843" s="0" t="s">
        <v>230</v>
      </c>
      <c r="W843" s="0" t="s">
        <v>244</v>
      </c>
      <c r="X843" s="0" t="s">
        <v>232</v>
      </c>
      <c r="Y843" s="0" t="s">
        <v>260</v>
      </c>
      <c r="Z843" s="0" t="s">
        <v>3310</v>
      </c>
      <c r="AA843" s="0" t="s">
        <v>235</v>
      </c>
      <c r="AB843" s="32" t="n">
        <v>3100</v>
      </c>
      <c r="AC843" s="32" t="n">
        <v>3100</v>
      </c>
      <c r="AD843" s="26" t="n">
        <f aca="false">IFERROR(AB843/B843,"")</f>
        <v>4.21195652173913</v>
      </c>
      <c r="AE843" s="26" t="n">
        <f aca="false">IFERROR(AC843/B843,"")</f>
        <v>4.21195652173913</v>
      </c>
      <c r="AF843" s="0" t="s">
        <v>236</v>
      </c>
      <c r="AG843" s="0" t="s">
        <v>236</v>
      </c>
      <c r="AH843" s="0" t="s">
        <v>230</v>
      </c>
      <c r="AI843" s="0" t="s">
        <v>3747</v>
      </c>
      <c r="AJ843" s="0" t="s">
        <v>3748</v>
      </c>
      <c r="AK843" s="0" t="s">
        <v>3749</v>
      </c>
      <c r="AL843" s="0" t="s">
        <v>3750</v>
      </c>
      <c r="AM843" s="0" t="s">
        <v>94</v>
      </c>
      <c r="AN843" s="26" t="n">
        <f aca="false">IFERROR(E843*(1+IF(AM843="Apartment",Data_Summary!$C$3,0)),"")</f>
        <v>4.21195652173913</v>
      </c>
      <c r="AO843" s="4" t="n">
        <v>46195</v>
      </c>
    </row>
    <row r="844" customFormat="false" ht="15" hidden="false" customHeight="false" outlineLevel="0" collapsed="false">
      <c r="A844" s="0" t="n">
        <f aca="false">IF(AND(ISNUMBER(B844),B844&gt;0,ISNUMBER(AB844),AB844&gt;0,J844&gt;=Data_Summary!$C$1),1,0)</f>
        <v>1</v>
      </c>
      <c r="B844" s="30" t="n">
        <v>577</v>
      </c>
      <c r="C844" s="5" t="n">
        <f aca="false">IF(ISNUMBER(AB844),AB844,"")</f>
        <v>2350</v>
      </c>
      <c r="D844" s="0" t="n">
        <f aca="false">IF(ISNUMBER(C844),C844-U844*Data_Summary!$C$2,"")</f>
        <v>2350</v>
      </c>
      <c r="E844" s="31" t="n">
        <f aca="false">IFERROR(C844/B844,"")</f>
        <v>4.07279029462738</v>
      </c>
      <c r="F844" s="26" t="n">
        <f aca="false">IFERROR(D844/B844,"")</f>
        <v>4.07279029462738</v>
      </c>
      <c r="G844" s="0" t="str">
        <f aca="false">Q844</f>
        <v>1+1</v>
      </c>
      <c r="H844" s="0" t="str">
        <f aca="false">IFERROR(LEFT(G844,1),"")</f>
        <v>1</v>
      </c>
      <c r="I844" s="0" t="n">
        <f aca="false">IF(LEN(G844)&gt;1,1,0)</f>
        <v>1</v>
      </c>
      <c r="J844" s="4" t="n">
        <v>45762</v>
      </c>
      <c r="K844" s="0" t="s">
        <v>14</v>
      </c>
      <c r="L844" s="0" t="s">
        <v>104</v>
      </c>
      <c r="M844" s="0" t="s">
        <v>226</v>
      </c>
      <c r="N844" s="0" t="s">
        <v>93</v>
      </c>
      <c r="O844" s="0" t="s">
        <v>2574</v>
      </c>
      <c r="Q844" s="0" t="s">
        <v>270</v>
      </c>
      <c r="R844" s="0" t="n">
        <v>1</v>
      </c>
      <c r="S844" s="5" t="n">
        <v>577</v>
      </c>
      <c r="T844" s="0" t="s">
        <v>243</v>
      </c>
      <c r="U844" s="0" t="n">
        <v>0</v>
      </c>
      <c r="V844" s="0" t="s">
        <v>230</v>
      </c>
      <c r="W844" s="0" t="s">
        <v>244</v>
      </c>
      <c r="X844" s="0" t="s">
        <v>232</v>
      </c>
      <c r="Y844" s="0" t="s">
        <v>272</v>
      </c>
      <c r="Z844" s="0" t="s">
        <v>3310</v>
      </c>
      <c r="AA844" s="0" t="s">
        <v>235</v>
      </c>
      <c r="AB844" s="32" t="n">
        <v>2350</v>
      </c>
      <c r="AC844" s="32" t="n">
        <v>2400</v>
      </c>
      <c r="AD844" s="26" t="n">
        <f aca="false">IFERROR(AB844/B844,"")</f>
        <v>4.07279029462738</v>
      </c>
      <c r="AE844" s="26" t="n">
        <f aca="false">IFERROR(AC844/B844,"")</f>
        <v>4.15944540727903</v>
      </c>
      <c r="AF844" s="0" t="s">
        <v>236</v>
      </c>
      <c r="AG844" s="0" t="s">
        <v>236</v>
      </c>
      <c r="AH844" s="0" t="s">
        <v>230</v>
      </c>
      <c r="AI844" s="0" t="s">
        <v>3747</v>
      </c>
      <c r="AJ844" s="0" t="s">
        <v>3751</v>
      </c>
      <c r="AK844" s="0" t="s">
        <v>3752</v>
      </c>
      <c r="AL844" s="0" t="s">
        <v>3753</v>
      </c>
      <c r="AM844" s="0" t="s">
        <v>94</v>
      </c>
      <c r="AN844" s="26" t="n">
        <f aca="false">IFERROR(E844*(1+IF(AM844="Apartment",Data_Summary!$C$3,0)),"")</f>
        <v>4.07279029462738</v>
      </c>
      <c r="AO844" s="4" t="n">
        <v>46195</v>
      </c>
    </row>
    <row r="845" customFormat="false" ht="15" hidden="false" customHeight="false" outlineLevel="0" collapsed="false">
      <c r="A845" s="0" t="n">
        <f aca="false">IF(AND(ISNUMBER(B845),B845&gt;0,ISNUMBER(AB845),AB845&gt;0,J845&gt;=Data_Summary!$C$1),1,0)</f>
        <v>1</v>
      </c>
      <c r="B845" s="30" t="n">
        <v>560</v>
      </c>
      <c r="C845" s="5" t="n">
        <f aca="false">IF(ISNUMBER(AB845),AB845,"")</f>
        <v>2400</v>
      </c>
      <c r="D845" s="0" t="n">
        <f aca="false">IF(ISNUMBER(C845),C845-U845*Data_Summary!$C$2,"")</f>
        <v>2400</v>
      </c>
      <c r="E845" s="31" t="n">
        <f aca="false">IFERROR(C845/B845,"")</f>
        <v>4.28571428571429</v>
      </c>
      <c r="F845" s="26" t="n">
        <f aca="false">IFERROR(D845/B845,"")</f>
        <v>4.28571428571429</v>
      </c>
      <c r="G845" s="0" t="str">
        <f aca="false">Q845</f>
        <v>1+1</v>
      </c>
      <c r="H845" s="0" t="str">
        <f aca="false">IFERROR(LEFT(G845,1),"")</f>
        <v>1</v>
      </c>
      <c r="I845" s="0" t="n">
        <f aca="false">IF(LEN(G845)&gt;1,1,0)</f>
        <v>1</v>
      </c>
      <c r="J845" s="4" t="n">
        <v>45762</v>
      </c>
      <c r="K845" s="0" t="s">
        <v>14</v>
      </c>
      <c r="L845" s="0" t="s">
        <v>104</v>
      </c>
      <c r="M845" s="0" t="s">
        <v>226</v>
      </c>
      <c r="N845" s="0" t="s">
        <v>93</v>
      </c>
      <c r="O845" s="0" t="s">
        <v>1896</v>
      </c>
      <c r="Q845" s="0" t="s">
        <v>270</v>
      </c>
      <c r="R845" s="0" t="n">
        <v>1</v>
      </c>
      <c r="S845" s="5" t="n">
        <v>560</v>
      </c>
      <c r="T845" s="0" t="s">
        <v>243</v>
      </c>
      <c r="U845" s="0" t="n">
        <v>0</v>
      </c>
      <c r="V845" s="0" t="s">
        <v>230</v>
      </c>
      <c r="W845" s="0" t="s">
        <v>244</v>
      </c>
      <c r="X845" s="0" t="s">
        <v>232</v>
      </c>
      <c r="Y845" s="0" t="s">
        <v>272</v>
      </c>
      <c r="Z845" s="0" t="s">
        <v>3310</v>
      </c>
      <c r="AA845" s="0" t="s">
        <v>235</v>
      </c>
      <c r="AB845" s="32" t="n">
        <v>2400</v>
      </c>
      <c r="AC845" s="32" t="n">
        <v>2400</v>
      </c>
      <c r="AD845" s="26" t="n">
        <f aca="false">IFERROR(AB845/B845,"")</f>
        <v>4.28571428571429</v>
      </c>
      <c r="AE845" s="26" t="n">
        <f aca="false">IFERROR(AC845/B845,"")</f>
        <v>4.28571428571429</v>
      </c>
      <c r="AF845" s="0" t="s">
        <v>236</v>
      </c>
      <c r="AG845" s="0" t="s">
        <v>236</v>
      </c>
      <c r="AH845" s="0" t="s">
        <v>230</v>
      </c>
      <c r="AI845" s="0" t="s">
        <v>3747</v>
      </c>
      <c r="AJ845" s="0" t="s">
        <v>3754</v>
      </c>
      <c r="AK845" s="0" t="s">
        <v>3755</v>
      </c>
      <c r="AL845" s="0" t="s">
        <v>3756</v>
      </c>
      <c r="AM845" s="0" t="s">
        <v>94</v>
      </c>
      <c r="AN845" s="26" t="n">
        <f aca="false">IFERROR(E845*(1+IF(AM845="Apartment",Data_Summary!$C$3,0)),"")</f>
        <v>4.28571428571429</v>
      </c>
      <c r="AO845" s="4" t="n">
        <v>46195</v>
      </c>
    </row>
    <row r="846" customFormat="false" ht="15" hidden="false" customHeight="false" outlineLevel="0" collapsed="false">
      <c r="A846" s="0" t="n">
        <f aca="false">IF(AND(ISNUMBER(B846),B846&gt;0,ISNUMBER(AB846),AB846&gt;0,J846&gt;=Data_Summary!$C$1),1,0)</f>
        <v>1</v>
      </c>
      <c r="B846" s="30" t="n">
        <v>705</v>
      </c>
      <c r="C846" s="5" t="n">
        <f aca="false">IF(ISNUMBER(AB846),AB846,"")</f>
        <v>2700</v>
      </c>
      <c r="D846" s="0" t="n">
        <f aca="false">IF(ISNUMBER(C846),C846-U846*Data_Summary!$C$2,"")</f>
        <v>2700</v>
      </c>
      <c r="E846" s="31" t="n">
        <f aca="false">IFERROR(C846/B846,"")</f>
        <v>3.82978723404255</v>
      </c>
      <c r="F846" s="26" t="n">
        <f aca="false">IFERROR(D846/B846,"")</f>
        <v>3.82978723404255</v>
      </c>
      <c r="G846" s="0" t="str">
        <f aca="false">Q846</f>
        <v>2+1</v>
      </c>
      <c r="H846" s="0" t="str">
        <f aca="false">IFERROR(LEFT(G846,1),"")</f>
        <v>2</v>
      </c>
      <c r="I846" s="0" t="n">
        <f aca="false">IF(LEN(G846)&gt;1,1,0)</f>
        <v>1</v>
      </c>
      <c r="J846" s="4" t="n">
        <v>45761</v>
      </c>
      <c r="K846" s="0" t="s">
        <v>14</v>
      </c>
      <c r="L846" s="0" t="s">
        <v>104</v>
      </c>
      <c r="M846" s="0" t="s">
        <v>226</v>
      </c>
      <c r="N846" s="0" t="s">
        <v>93</v>
      </c>
      <c r="O846" s="0" t="s">
        <v>1574</v>
      </c>
      <c r="Q846" s="0" t="s">
        <v>451</v>
      </c>
      <c r="R846" s="0" t="n">
        <v>1</v>
      </c>
      <c r="S846" s="5" t="n">
        <v>705</v>
      </c>
      <c r="T846" s="0" t="s">
        <v>252</v>
      </c>
      <c r="U846" s="0" t="n">
        <v>0</v>
      </c>
      <c r="V846" s="0" t="s">
        <v>230</v>
      </c>
      <c r="W846" s="0" t="s">
        <v>244</v>
      </c>
      <c r="X846" s="0" t="s">
        <v>232</v>
      </c>
      <c r="Y846" s="0" t="s">
        <v>233</v>
      </c>
      <c r="Z846" s="0" t="s">
        <v>3310</v>
      </c>
      <c r="AA846" s="0" t="s">
        <v>235</v>
      </c>
      <c r="AB846" s="32" t="n">
        <v>2700</v>
      </c>
      <c r="AC846" s="32" t="n">
        <v>2700</v>
      </c>
      <c r="AD846" s="26" t="n">
        <f aca="false">IFERROR(AB846/B846,"")</f>
        <v>3.82978723404255</v>
      </c>
      <c r="AE846" s="26" t="n">
        <f aca="false">IFERROR(AC846/B846,"")</f>
        <v>3.82978723404255</v>
      </c>
      <c r="AF846" s="0" t="s">
        <v>236</v>
      </c>
      <c r="AG846" s="0" t="s">
        <v>236</v>
      </c>
      <c r="AH846" s="0" t="s">
        <v>230</v>
      </c>
      <c r="AI846" s="0" t="s">
        <v>2285</v>
      </c>
      <c r="AJ846" s="0" t="s">
        <v>3757</v>
      </c>
      <c r="AK846" s="0" t="s">
        <v>3758</v>
      </c>
      <c r="AL846" s="0" t="s">
        <v>3759</v>
      </c>
      <c r="AM846" s="0" t="s">
        <v>94</v>
      </c>
      <c r="AN846" s="26" t="n">
        <f aca="false">IFERROR(E846*(1+IF(AM846="Apartment",Data_Summary!$C$3,0)),"")</f>
        <v>3.82978723404255</v>
      </c>
      <c r="AO846" s="4" t="n">
        <v>46195</v>
      </c>
    </row>
    <row r="847" customFormat="false" ht="15" hidden="false" customHeight="false" outlineLevel="0" collapsed="false">
      <c r="A847" s="0" t="n">
        <f aca="false">IF(AND(ISNUMBER(B847),B847&gt;0,ISNUMBER(AB847),AB847&gt;0,J847&gt;=Data_Summary!$C$1),1,0)</f>
        <v>1</v>
      </c>
      <c r="B847" s="33" t="n">
        <v>500</v>
      </c>
      <c r="C847" s="5" t="n">
        <f aca="false">IF(ISNUMBER(AB847),AB847,"")</f>
        <v>2100</v>
      </c>
      <c r="D847" s="0" t="n">
        <f aca="false">IF(ISNUMBER(C847),C847-U847*Data_Summary!$C$2,"")</f>
        <v>2100</v>
      </c>
      <c r="E847" s="34" t="n">
        <f aca="false">IFERROR(C847/B847,"")</f>
        <v>4.2</v>
      </c>
      <c r="F847" s="26" t="n">
        <f aca="false">IFERROR(D847/B847,"")</f>
        <v>4.2</v>
      </c>
      <c r="G847" s="0" t="str">
        <f aca="false">Q847</f>
        <v>1</v>
      </c>
      <c r="H847" s="0" t="str">
        <f aca="false">IFERROR(LEFT(G847,1),"")</f>
        <v>1</v>
      </c>
      <c r="I847" s="0" t="n">
        <f aca="false">IF(LEN(G847)&gt;1,1,0)</f>
        <v>0</v>
      </c>
      <c r="J847" s="4" t="n">
        <v>45761</v>
      </c>
      <c r="K847" s="0" t="s">
        <v>14</v>
      </c>
      <c r="L847" s="0" t="s">
        <v>104</v>
      </c>
      <c r="M847" s="0" t="s">
        <v>226</v>
      </c>
      <c r="N847" s="0" t="s">
        <v>93</v>
      </c>
      <c r="O847" s="0" t="s">
        <v>3497</v>
      </c>
      <c r="Q847" s="0" t="s">
        <v>242</v>
      </c>
      <c r="R847" s="0" t="n">
        <v>1</v>
      </c>
      <c r="S847" s="5" t="n">
        <v>500</v>
      </c>
      <c r="T847" s="0" t="s">
        <v>252</v>
      </c>
      <c r="U847" s="0" t="n">
        <v>0</v>
      </c>
      <c r="V847" s="0" t="s">
        <v>230</v>
      </c>
      <c r="W847" s="0" t="s">
        <v>244</v>
      </c>
      <c r="X847" s="0" t="s">
        <v>232</v>
      </c>
      <c r="Y847" s="0" t="s">
        <v>260</v>
      </c>
      <c r="Z847" s="0" t="s">
        <v>3310</v>
      </c>
      <c r="AA847" s="0" t="s">
        <v>235</v>
      </c>
      <c r="AB847" s="32" t="n">
        <v>2100</v>
      </c>
      <c r="AC847" s="32" t="n">
        <v>2100</v>
      </c>
      <c r="AD847" s="26" t="n">
        <f aca="false">IFERROR(AB847/B847,"")</f>
        <v>4.2</v>
      </c>
      <c r="AE847" s="26" t="n">
        <f aca="false">IFERROR(AC847/B847,"")</f>
        <v>4.2</v>
      </c>
      <c r="AF847" s="0" t="s">
        <v>421</v>
      </c>
      <c r="AG847" s="0" t="s">
        <v>236</v>
      </c>
      <c r="AH847" s="0" t="s">
        <v>236</v>
      </c>
      <c r="AI847" s="0" t="s">
        <v>2285</v>
      </c>
      <c r="AJ847" s="0" t="s">
        <v>3760</v>
      </c>
      <c r="AK847" s="0" t="s">
        <v>3761</v>
      </c>
      <c r="AL847" s="0" t="s">
        <v>3762</v>
      </c>
      <c r="AM847" s="0" t="s">
        <v>94</v>
      </c>
      <c r="AN847" s="26" t="n">
        <f aca="false">IFERROR(E847*(1+IF(AM847="Apartment",Data_Summary!$C$3,0)),"")</f>
        <v>4.2</v>
      </c>
      <c r="AO847" s="4" t="n">
        <v>46195</v>
      </c>
    </row>
    <row r="848" customFormat="false" ht="15" hidden="false" customHeight="false" outlineLevel="0" collapsed="false">
      <c r="A848" s="0" t="n">
        <f aca="false">IF(AND(ISNUMBER(B848),B848&gt;0,ISNUMBER(AB848),AB848&gt;0,J848&gt;=Data_Summary!$C$1),1,0)</f>
        <v>1</v>
      </c>
      <c r="B848" s="30" t="n">
        <v>650</v>
      </c>
      <c r="C848" s="5" t="n">
        <f aca="false">IF(ISNUMBER(AB848),AB848,"")</f>
        <v>2600</v>
      </c>
      <c r="D848" s="0" t="n">
        <f aca="false">IF(ISNUMBER(C848),C848-U848*Data_Summary!$C$2,"")</f>
        <v>2600</v>
      </c>
      <c r="E848" s="31" t="n">
        <f aca="false">IFERROR(C848/B848,"")</f>
        <v>4</v>
      </c>
      <c r="F848" s="26" t="n">
        <f aca="false">IFERROR(D848/B848,"")</f>
        <v>4</v>
      </c>
      <c r="G848" s="0" t="str">
        <f aca="false">Q848</f>
        <v>1+1</v>
      </c>
      <c r="H848" s="0" t="str">
        <f aca="false">IFERROR(LEFT(G848,1),"")</f>
        <v>1</v>
      </c>
      <c r="I848" s="0" t="n">
        <f aca="false">IF(LEN(G848)&gt;1,1,0)</f>
        <v>1</v>
      </c>
      <c r="J848" s="4" t="n">
        <v>45755</v>
      </c>
      <c r="K848" s="0" t="s">
        <v>14</v>
      </c>
      <c r="L848" s="0" t="s">
        <v>104</v>
      </c>
      <c r="M848" s="0" t="s">
        <v>226</v>
      </c>
      <c r="N848" s="0" t="s">
        <v>93</v>
      </c>
      <c r="O848" s="0" t="s">
        <v>3763</v>
      </c>
      <c r="Q848" s="0" t="s">
        <v>270</v>
      </c>
      <c r="R848" s="0" t="n">
        <v>1</v>
      </c>
      <c r="S848" s="5" t="n">
        <v>650</v>
      </c>
      <c r="T848" s="0" t="s">
        <v>271</v>
      </c>
      <c r="U848" s="0" t="n">
        <v>0</v>
      </c>
      <c r="V848" s="0" t="s">
        <v>230</v>
      </c>
      <c r="W848" s="0" t="s">
        <v>244</v>
      </c>
      <c r="X848" s="0" t="s">
        <v>232</v>
      </c>
      <c r="Y848" s="0" t="s">
        <v>233</v>
      </c>
      <c r="Z848" s="0" t="s">
        <v>3310</v>
      </c>
      <c r="AA848" s="0" t="s">
        <v>235</v>
      </c>
      <c r="AB848" s="32" t="n">
        <v>2600</v>
      </c>
      <c r="AC848" s="32" t="n">
        <v>2500</v>
      </c>
      <c r="AD848" s="26" t="n">
        <f aca="false">IFERROR(AB848/B848,"")</f>
        <v>4</v>
      </c>
      <c r="AE848" s="26" t="n">
        <f aca="false">IFERROR(AC848/B848,"")</f>
        <v>3.84615384615385</v>
      </c>
      <c r="AF848" s="0" t="s">
        <v>236</v>
      </c>
      <c r="AG848" s="0" t="s">
        <v>236</v>
      </c>
      <c r="AH848" s="0" t="s">
        <v>230</v>
      </c>
      <c r="AI848" s="0" t="s">
        <v>3193</v>
      </c>
      <c r="AJ848" s="0" t="s">
        <v>3764</v>
      </c>
      <c r="AK848" s="0" t="s">
        <v>3765</v>
      </c>
      <c r="AL848" s="0" t="s">
        <v>3766</v>
      </c>
      <c r="AM848" s="0" t="s">
        <v>94</v>
      </c>
      <c r="AN848" s="26" t="n">
        <f aca="false">IFERROR(E848*(1+IF(AM848="Apartment",Data_Summary!$C$3,0)),"")</f>
        <v>4</v>
      </c>
      <c r="AO848" s="4" t="n">
        <v>46195</v>
      </c>
    </row>
    <row r="849" customFormat="false" ht="15" hidden="false" customHeight="false" outlineLevel="0" collapsed="false">
      <c r="A849" s="0" t="n">
        <f aca="false">IF(AND(ISNUMBER(B849),B849&gt;0,ISNUMBER(AB849),AB849&gt;0,J849&gt;=Data_Summary!$C$1),1,0)</f>
        <v>1</v>
      </c>
      <c r="B849" s="30" t="n">
        <v>833</v>
      </c>
      <c r="C849" s="5" t="n">
        <f aca="false">IF(ISNUMBER(AB849),AB849,"")</f>
        <v>3300</v>
      </c>
      <c r="D849" s="0" t="n">
        <f aca="false">IF(ISNUMBER(C849),C849-U849*Data_Summary!$C$2,"")</f>
        <v>3150</v>
      </c>
      <c r="E849" s="31" t="n">
        <f aca="false">IFERROR(C849/B849,"")</f>
        <v>3.96158463385354</v>
      </c>
      <c r="F849" s="26" t="n">
        <f aca="false">IFERROR(D849/B849,"")</f>
        <v>3.78151260504202</v>
      </c>
      <c r="G849" s="0" t="str">
        <f aca="false">Q849</f>
        <v>2+1</v>
      </c>
      <c r="H849" s="0" t="str">
        <f aca="false">IFERROR(LEFT(G849,1),"")</f>
        <v>2</v>
      </c>
      <c r="I849" s="0" t="n">
        <f aca="false">IF(LEN(G849)&gt;1,1,0)</f>
        <v>1</v>
      </c>
      <c r="J849" s="4" t="n">
        <v>45753</v>
      </c>
      <c r="K849" s="0" t="s">
        <v>14</v>
      </c>
      <c r="L849" s="0" t="s">
        <v>104</v>
      </c>
      <c r="M849" s="0" t="s">
        <v>226</v>
      </c>
      <c r="N849" s="0" t="s">
        <v>93</v>
      </c>
      <c r="O849" s="0" t="s">
        <v>768</v>
      </c>
      <c r="Q849" s="0" t="s">
        <v>451</v>
      </c>
      <c r="R849" s="0" t="n">
        <v>2</v>
      </c>
      <c r="S849" s="5" t="n">
        <v>833</v>
      </c>
      <c r="T849" s="0" t="s">
        <v>229</v>
      </c>
      <c r="U849" s="0" t="n">
        <v>1</v>
      </c>
      <c r="V849" s="0" t="s">
        <v>230</v>
      </c>
      <c r="W849" s="0" t="s">
        <v>244</v>
      </c>
      <c r="X849" s="0" t="s">
        <v>232</v>
      </c>
      <c r="Y849" s="0" t="s">
        <v>308</v>
      </c>
      <c r="Z849" s="0" t="s">
        <v>3310</v>
      </c>
      <c r="AA849" s="0" t="s">
        <v>235</v>
      </c>
      <c r="AB849" s="32" t="n">
        <v>3300</v>
      </c>
      <c r="AC849" s="32" t="n">
        <v>3200</v>
      </c>
      <c r="AD849" s="26" t="n">
        <f aca="false">IFERROR(AB849/B849,"")</f>
        <v>3.96158463385354</v>
      </c>
      <c r="AE849" s="26" t="n">
        <f aca="false">IFERROR(AC849/B849,"")</f>
        <v>3.84153661464586</v>
      </c>
      <c r="AF849" s="0" t="s">
        <v>236</v>
      </c>
      <c r="AG849" s="0" t="s">
        <v>236</v>
      </c>
      <c r="AH849" s="0" t="s">
        <v>236</v>
      </c>
      <c r="AI849" s="0" t="s">
        <v>3767</v>
      </c>
      <c r="AJ849" s="0" t="s">
        <v>3768</v>
      </c>
      <c r="AK849" s="0" t="s">
        <v>3769</v>
      </c>
      <c r="AL849" s="0" t="s">
        <v>3770</v>
      </c>
      <c r="AM849" s="0" t="s">
        <v>94</v>
      </c>
      <c r="AN849" s="26" t="n">
        <f aca="false">IFERROR(E849*(1+IF(AM849="Apartment",Data_Summary!$C$3,0)),"")</f>
        <v>3.96158463385354</v>
      </c>
      <c r="AO849" s="4" t="n">
        <v>46195</v>
      </c>
    </row>
    <row r="850" customFormat="false" ht="15" hidden="false" customHeight="false" outlineLevel="0" collapsed="false">
      <c r="A850" s="0" t="n">
        <f aca="false">IF(AND(ISNUMBER(B850),B850&gt;0,ISNUMBER(AB850),AB850&gt;0,J850&gt;=Data_Summary!$C$1),1,0)</f>
        <v>1</v>
      </c>
      <c r="B850" s="33" t="n">
        <v>675</v>
      </c>
      <c r="C850" s="5" t="n">
        <f aca="false">IF(ISNUMBER(AB850),AB850,"")</f>
        <v>3500</v>
      </c>
      <c r="D850" s="0" t="n">
        <f aca="false">IF(ISNUMBER(C850),C850-U850*Data_Summary!$C$2,"")</f>
        <v>3500</v>
      </c>
      <c r="E850" s="34" t="n">
        <f aca="false">IFERROR(C850/B850,"")</f>
        <v>5.18518518518519</v>
      </c>
      <c r="F850" s="26" t="n">
        <f aca="false">IFERROR(D850/B850,"")</f>
        <v>5.18518518518519</v>
      </c>
      <c r="G850" s="0" t="str">
        <f aca="false">Q850</f>
        <v>2</v>
      </c>
      <c r="H850" s="0" t="str">
        <f aca="false">IFERROR(LEFT(G850,1),"")</f>
        <v>2</v>
      </c>
      <c r="I850" s="0" t="n">
        <f aca="false">IF(LEN(G850)&gt;1,1,0)</f>
        <v>0</v>
      </c>
      <c r="J850" s="4" t="n">
        <v>45747</v>
      </c>
      <c r="K850" s="0" t="s">
        <v>14</v>
      </c>
      <c r="L850" s="0" t="s">
        <v>104</v>
      </c>
      <c r="M850" s="0" t="s">
        <v>226</v>
      </c>
      <c r="N850" s="0" t="s">
        <v>93</v>
      </c>
      <c r="O850" s="0" t="s">
        <v>3532</v>
      </c>
      <c r="Q850" s="0" t="s">
        <v>251</v>
      </c>
      <c r="R850" s="0" t="n">
        <v>1</v>
      </c>
      <c r="S850" s="5" t="n">
        <v>675</v>
      </c>
      <c r="T850" s="0" t="s">
        <v>252</v>
      </c>
      <c r="U850" s="0" t="n">
        <v>0</v>
      </c>
      <c r="V850" s="0" t="s">
        <v>230</v>
      </c>
      <c r="W850" s="0" t="s">
        <v>244</v>
      </c>
      <c r="X850" s="0" t="s">
        <v>232</v>
      </c>
      <c r="Y850" s="0" t="s">
        <v>278</v>
      </c>
      <c r="Z850" s="0" t="s">
        <v>3310</v>
      </c>
      <c r="AA850" s="0" t="s">
        <v>235</v>
      </c>
      <c r="AB850" s="32" t="n">
        <v>3500</v>
      </c>
      <c r="AC850" s="32" t="n">
        <v>3000</v>
      </c>
      <c r="AD850" s="26" t="n">
        <f aca="false">IFERROR(AB850/B850,"")</f>
        <v>5.18518518518519</v>
      </c>
      <c r="AE850" s="26" t="n">
        <f aca="false">IFERROR(AC850/B850,"")</f>
        <v>4.44444444444445</v>
      </c>
      <c r="AF850" s="0" t="s">
        <v>230</v>
      </c>
      <c r="AG850" s="0" t="s">
        <v>236</v>
      </c>
      <c r="AH850" s="0" t="s">
        <v>236</v>
      </c>
      <c r="AI850" s="0" t="s">
        <v>2307</v>
      </c>
      <c r="AJ850" s="0" t="s">
        <v>3771</v>
      </c>
      <c r="AK850" s="0" t="s">
        <v>3772</v>
      </c>
      <c r="AL850" s="0" t="s">
        <v>3773</v>
      </c>
      <c r="AM850" s="0" t="s">
        <v>94</v>
      </c>
      <c r="AN850" s="26" t="n">
        <f aca="false">IFERROR(E850*(1+IF(AM850="Apartment",Data_Summary!$C$3,0)),"")</f>
        <v>5.18518518518519</v>
      </c>
      <c r="AO850" s="4" t="n">
        <v>46195</v>
      </c>
    </row>
    <row r="851" customFormat="false" ht="15" hidden="false" customHeight="false" outlineLevel="0" collapsed="false">
      <c r="A851" s="0" t="n">
        <f aca="false">IF(AND(ISNUMBER(B851),B851&gt;0,ISNUMBER(AB851),AB851&gt;0,J851&gt;=Data_Summary!$C$1),1,0)</f>
        <v>1</v>
      </c>
      <c r="B851" s="30" t="n">
        <v>1038</v>
      </c>
      <c r="C851" s="5" t="n">
        <f aca="false">IF(ISNUMBER(AB851),AB851,"")</f>
        <v>4300</v>
      </c>
      <c r="D851" s="0" t="n">
        <f aca="false">IF(ISNUMBER(C851),C851-U851*Data_Summary!$C$2,"")</f>
        <v>4150</v>
      </c>
      <c r="E851" s="31" t="n">
        <f aca="false">IFERROR(C851/B851,"")</f>
        <v>4.14258188824663</v>
      </c>
      <c r="F851" s="26" t="n">
        <f aca="false">IFERROR(D851/B851,"")</f>
        <v>3.9980732177264</v>
      </c>
      <c r="G851" s="0" t="str">
        <f aca="false">Q851</f>
        <v>3</v>
      </c>
      <c r="H851" s="0" t="str">
        <f aca="false">IFERROR(LEFT(G851,1),"")</f>
        <v>3</v>
      </c>
      <c r="I851" s="0" t="n">
        <f aca="false">IF(LEN(G851)&gt;1,1,0)</f>
        <v>0</v>
      </c>
      <c r="J851" s="4" t="n">
        <v>45742</v>
      </c>
      <c r="K851" s="0" t="s">
        <v>14</v>
      </c>
      <c r="L851" s="0" t="s">
        <v>104</v>
      </c>
      <c r="M851" s="0" t="s">
        <v>226</v>
      </c>
      <c r="N851" s="0" t="s">
        <v>93</v>
      </c>
      <c r="O851" s="0" t="s">
        <v>1214</v>
      </c>
      <c r="Q851" s="0" t="s">
        <v>228</v>
      </c>
      <c r="R851" s="0" t="n">
        <v>2</v>
      </c>
      <c r="S851" s="5" t="n">
        <v>1038</v>
      </c>
      <c r="T851" s="0" t="s">
        <v>265</v>
      </c>
      <c r="U851" s="0" t="n">
        <v>1</v>
      </c>
      <c r="V851" s="0" t="s">
        <v>230</v>
      </c>
      <c r="W851" s="0" t="s">
        <v>231</v>
      </c>
      <c r="X851" s="0" t="s">
        <v>232</v>
      </c>
      <c r="Y851" s="0" t="s">
        <v>260</v>
      </c>
      <c r="Z851" s="0" t="s">
        <v>3310</v>
      </c>
      <c r="AA851" s="0" t="s">
        <v>235</v>
      </c>
      <c r="AB851" s="32" t="n">
        <v>4300</v>
      </c>
      <c r="AC851" s="32" t="n">
        <v>4300</v>
      </c>
      <c r="AD851" s="26" t="n">
        <f aca="false">IFERROR(AB851/B851,"")</f>
        <v>4.14258188824663</v>
      </c>
      <c r="AE851" s="26" t="n">
        <f aca="false">IFERROR(AC851/B851,"")</f>
        <v>4.14258188824663</v>
      </c>
      <c r="AF851" s="0" t="s">
        <v>236</v>
      </c>
      <c r="AG851" s="0" t="s">
        <v>236</v>
      </c>
      <c r="AH851" s="0" t="s">
        <v>230</v>
      </c>
      <c r="AI851" s="0" t="s">
        <v>3774</v>
      </c>
      <c r="AJ851" s="0" t="s">
        <v>3775</v>
      </c>
      <c r="AK851" s="0" t="s">
        <v>3776</v>
      </c>
      <c r="AL851" s="0" t="s">
        <v>3777</v>
      </c>
      <c r="AM851" s="0" t="s">
        <v>94</v>
      </c>
      <c r="AN851" s="26" t="n">
        <f aca="false">IFERROR(E851*(1+IF(AM851="Apartment",Data_Summary!$C$3,0)),"")</f>
        <v>4.14258188824663</v>
      </c>
      <c r="AO851" s="4" t="n">
        <v>46195</v>
      </c>
    </row>
    <row r="852" customFormat="false" ht="15" hidden="false" customHeight="false" outlineLevel="0" collapsed="false">
      <c r="A852" s="0" t="n">
        <f aca="false">IF(AND(ISNUMBER(B852),B852&gt;0,ISNUMBER(AB852),AB852&gt;0,J852&gt;=Data_Summary!$C$1),1,0)</f>
        <v>1</v>
      </c>
      <c r="B852" s="33" t="n">
        <v>490</v>
      </c>
      <c r="C852" s="5" t="n">
        <f aca="false">IF(ISNUMBER(AB852),AB852,"")</f>
        <v>2300</v>
      </c>
      <c r="D852" s="0" t="n">
        <f aca="false">IF(ISNUMBER(C852),C852-U852*Data_Summary!$C$2,"")</f>
        <v>2300</v>
      </c>
      <c r="E852" s="34" t="n">
        <f aca="false">IFERROR(C852/B852,"")</f>
        <v>4.69387755102041</v>
      </c>
      <c r="F852" s="26" t="n">
        <f aca="false">IFERROR(D852/B852,"")</f>
        <v>4.69387755102041</v>
      </c>
      <c r="G852" s="0" t="str">
        <f aca="false">Q852</f>
        <v>1</v>
      </c>
      <c r="H852" s="0" t="str">
        <f aca="false">IFERROR(LEFT(G852,1),"")</f>
        <v>1</v>
      </c>
      <c r="I852" s="0" t="n">
        <f aca="false">IF(LEN(G852)&gt;1,1,0)</f>
        <v>0</v>
      </c>
      <c r="J852" s="4" t="n">
        <v>45742</v>
      </c>
      <c r="K852" s="0" t="s">
        <v>14</v>
      </c>
      <c r="L852" s="0" t="s">
        <v>104</v>
      </c>
      <c r="M852" s="0" t="s">
        <v>226</v>
      </c>
      <c r="N852" s="0" t="s">
        <v>93</v>
      </c>
      <c r="O852" s="0" t="s">
        <v>882</v>
      </c>
      <c r="Q852" s="0" t="s">
        <v>242</v>
      </c>
      <c r="R852" s="0" t="n">
        <v>1</v>
      </c>
      <c r="S852" s="5" t="n">
        <v>490</v>
      </c>
      <c r="T852" s="0" t="s">
        <v>243</v>
      </c>
      <c r="U852" s="0" t="n">
        <v>0</v>
      </c>
      <c r="V852" s="0" t="s">
        <v>230</v>
      </c>
      <c r="W852" s="0" t="s">
        <v>244</v>
      </c>
      <c r="X852" s="0" t="s">
        <v>232</v>
      </c>
      <c r="Y852" s="0" t="s">
        <v>253</v>
      </c>
      <c r="Z852" s="0" t="s">
        <v>3310</v>
      </c>
      <c r="AA852" s="0" t="s">
        <v>235</v>
      </c>
      <c r="AB852" s="32" t="n">
        <v>2300</v>
      </c>
      <c r="AC852" s="32" t="n">
        <v>2300</v>
      </c>
      <c r="AD852" s="26" t="n">
        <f aca="false">IFERROR(AB852/B852,"")</f>
        <v>4.69387755102041</v>
      </c>
      <c r="AE852" s="26" t="n">
        <f aca="false">IFERROR(AC852/B852,"")</f>
        <v>4.69387755102041</v>
      </c>
      <c r="AF852" s="0" t="s">
        <v>421</v>
      </c>
      <c r="AG852" s="0" t="s">
        <v>236</v>
      </c>
      <c r="AH852" s="0" t="s">
        <v>230</v>
      </c>
      <c r="AI852" s="0" t="s">
        <v>3774</v>
      </c>
      <c r="AJ852" s="0" t="s">
        <v>3778</v>
      </c>
      <c r="AK852" s="0" t="s">
        <v>3779</v>
      </c>
      <c r="AL852" s="0" t="s">
        <v>3780</v>
      </c>
      <c r="AM852" s="0" t="s">
        <v>94</v>
      </c>
      <c r="AN852" s="26" t="n">
        <f aca="false">IFERROR(E852*(1+IF(AM852="Apartment",Data_Summary!$C$3,0)),"")</f>
        <v>4.69387755102041</v>
      </c>
      <c r="AO852" s="4" t="n">
        <v>46195</v>
      </c>
    </row>
    <row r="853" customFormat="false" ht="15" hidden="false" customHeight="false" outlineLevel="0" collapsed="false">
      <c r="A853" s="0" t="n">
        <f aca="false">IF(AND(ISNUMBER(B853),B853&gt;0,ISNUMBER(AB853),AB853&gt;0,J853&gt;=Data_Summary!$C$1),1,0)</f>
        <v>1</v>
      </c>
      <c r="B853" s="30" t="n">
        <v>500</v>
      </c>
      <c r="C853" s="5" t="n">
        <f aca="false">IF(ISNUMBER(AB853),AB853,"")</f>
        <v>2400</v>
      </c>
      <c r="D853" s="0" t="n">
        <f aca="false">IF(ISNUMBER(C853),C853-U853*Data_Summary!$C$2,"")</f>
        <v>2250</v>
      </c>
      <c r="E853" s="31" t="n">
        <f aca="false">IFERROR(C853/B853,"")</f>
        <v>4.8</v>
      </c>
      <c r="F853" s="26" t="n">
        <f aca="false">IFERROR(D853/B853,"")</f>
        <v>4.5</v>
      </c>
      <c r="G853" s="0" t="str">
        <f aca="false">Q853</f>
        <v>1</v>
      </c>
      <c r="H853" s="0" t="str">
        <f aca="false">IFERROR(LEFT(G853,1),"")</f>
        <v>1</v>
      </c>
      <c r="I853" s="0" t="n">
        <f aca="false">IF(LEN(G853)&gt;1,1,0)</f>
        <v>0</v>
      </c>
      <c r="J853" s="4" t="n">
        <v>45735</v>
      </c>
      <c r="K853" s="0" t="s">
        <v>14</v>
      </c>
      <c r="L853" s="0" t="s">
        <v>104</v>
      </c>
      <c r="M853" s="0" t="s">
        <v>226</v>
      </c>
      <c r="N853" s="0" t="s">
        <v>93</v>
      </c>
      <c r="O853" s="0" t="s">
        <v>3781</v>
      </c>
      <c r="Q853" s="0" t="s">
        <v>242</v>
      </c>
      <c r="R853" s="0" t="n">
        <v>1</v>
      </c>
      <c r="S853" s="5" t="n">
        <v>500</v>
      </c>
      <c r="T853" s="0" t="s">
        <v>243</v>
      </c>
      <c r="U853" s="0" t="n">
        <v>1</v>
      </c>
      <c r="V853" s="0" t="s">
        <v>230</v>
      </c>
      <c r="W853" s="0" t="s">
        <v>231</v>
      </c>
      <c r="X853" s="0" t="s">
        <v>232</v>
      </c>
      <c r="Y853" s="0" t="s">
        <v>297</v>
      </c>
      <c r="Z853" s="0" t="s">
        <v>3310</v>
      </c>
      <c r="AA853" s="0" t="s">
        <v>235</v>
      </c>
      <c r="AB853" s="32" t="n">
        <v>2400</v>
      </c>
      <c r="AC853" s="32" t="n">
        <v>2500</v>
      </c>
      <c r="AD853" s="26" t="n">
        <f aca="false">IFERROR(AB853/B853,"")</f>
        <v>4.8</v>
      </c>
      <c r="AE853" s="26" t="n">
        <f aca="false">IFERROR(AC853/B853,"")</f>
        <v>5</v>
      </c>
      <c r="AF853" s="0" t="s">
        <v>236</v>
      </c>
      <c r="AG853" s="0" t="s">
        <v>236</v>
      </c>
      <c r="AH853" s="0" t="s">
        <v>230</v>
      </c>
      <c r="AI853" s="0" t="s">
        <v>2334</v>
      </c>
      <c r="AJ853" s="0" t="s">
        <v>3782</v>
      </c>
      <c r="AK853" s="0" t="s">
        <v>3783</v>
      </c>
      <c r="AL853" s="0" t="s">
        <v>3784</v>
      </c>
      <c r="AM853" s="0" t="s">
        <v>94</v>
      </c>
      <c r="AN853" s="26" t="n">
        <f aca="false">IFERROR(E853*(1+IF(AM853="Apartment",Data_Summary!$C$3,0)),"")</f>
        <v>4.8</v>
      </c>
      <c r="AO853" s="4" t="n">
        <v>46195</v>
      </c>
    </row>
    <row r="854" customFormat="false" ht="15" hidden="false" customHeight="false" outlineLevel="0" collapsed="false">
      <c r="A854" s="0" t="n">
        <f aca="false">IF(AND(ISNUMBER(B854),B854&gt;0,ISNUMBER(AB854),AB854&gt;0,J854&gt;=Data_Summary!$C$1),1,0)</f>
        <v>1</v>
      </c>
      <c r="B854" s="30" t="n">
        <v>500</v>
      </c>
      <c r="C854" s="5" t="n">
        <f aca="false">IF(ISNUMBER(AB854),AB854,"")</f>
        <v>2500</v>
      </c>
      <c r="D854" s="0" t="n">
        <f aca="false">IF(ISNUMBER(C854),C854-U854*Data_Summary!$C$2,"")</f>
        <v>2350</v>
      </c>
      <c r="E854" s="31" t="n">
        <f aca="false">IFERROR(C854/B854,"")</f>
        <v>5</v>
      </c>
      <c r="F854" s="26" t="n">
        <f aca="false">IFERROR(D854/B854,"")</f>
        <v>4.7</v>
      </c>
      <c r="G854" s="0" t="str">
        <f aca="false">Q854</f>
        <v>1</v>
      </c>
      <c r="H854" s="0" t="str">
        <f aca="false">IFERROR(LEFT(G854,1),"")</f>
        <v>1</v>
      </c>
      <c r="I854" s="0" t="n">
        <f aca="false">IF(LEN(G854)&gt;1,1,0)</f>
        <v>0</v>
      </c>
      <c r="J854" s="4" t="n">
        <v>45733</v>
      </c>
      <c r="K854" s="0" t="s">
        <v>14</v>
      </c>
      <c r="L854" s="0" t="s">
        <v>104</v>
      </c>
      <c r="M854" s="0" t="s">
        <v>226</v>
      </c>
      <c r="N854" s="0" t="s">
        <v>93</v>
      </c>
      <c r="O854" s="0" t="s">
        <v>3785</v>
      </c>
      <c r="Q854" s="0" t="s">
        <v>242</v>
      </c>
      <c r="R854" s="0" t="n">
        <v>1</v>
      </c>
      <c r="S854" s="5" t="n">
        <v>500</v>
      </c>
      <c r="T854" s="0" t="s">
        <v>243</v>
      </c>
      <c r="U854" s="0" t="n">
        <v>1</v>
      </c>
      <c r="V854" s="0" t="s">
        <v>230</v>
      </c>
      <c r="W854" s="0" t="s">
        <v>231</v>
      </c>
      <c r="X854" s="0" t="s">
        <v>232</v>
      </c>
      <c r="Y854" s="0" t="s">
        <v>245</v>
      </c>
      <c r="Z854" s="0" t="s">
        <v>3310</v>
      </c>
      <c r="AA854" s="0" t="s">
        <v>235</v>
      </c>
      <c r="AB854" s="32" t="n">
        <v>2500</v>
      </c>
      <c r="AC854" s="32" t="n">
        <v>2500</v>
      </c>
      <c r="AD854" s="26" t="n">
        <f aca="false">IFERROR(AB854/B854,"")</f>
        <v>5</v>
      </c>
      <c r="AE854" s="26" t="n">
        <f aca="false">IFERROR(AC854/B854,"")</f>
        <v>5</v>
      </c>
      <c r="AF854" s="0" t="s">
        <v>236</v>
      </c>
      <c r="AG854" s="0" t="s">
        <v>236</v>
      </c>
      <c r="AH854" s="0" t="s">
        <v>230</v>
      </c>
      <c r="AI854" s="0" t="s">
        <v>3229</v>
      </c>
      <c r="AJ854" s="0" t="s">
        <v>3786</v>
      </c>
      <c r="AK854" s="0" t="s">
        <v>3787</v>
      </c>
      <c r="AL854" s="0" t="s">
        <v>3788</v>
      </c>
      <c r="AM854" s="0" t="s">
        <v>94</v>
      </c>
      <c r="AN854" s="26" t="n">
        <f aca="false">IFERROR(E854*(1+IF(AM854="Apartment",Data_Summary!$C$3,0)),"")</f>
        <v>5</v>
      </c>
      <c r="AO854" s="4" t="n">
        <v>46195</v>
      </c>
    </row>
    <row r="855" customFormat="false" ht="15" hidden="false" customHeight="false" outlineLevel="0" collapsed="false">
      <c r="A855" s="0" t="n">
        <f aca="false">IF(AND(ISNUMBER(B855),B855&gt;0,ISNUMBER(AB855),AB855&gt;0,J855&gt;=Data_Summary!$C$1),1,0)</f>
        <v>1</v>
      </c>
      <c r="B855" s="30" t="n">
        <v>802</v>
      </c>
      <c r="C855" s="5" t="n">
        <f aca="false">IF(ISNUMBER(AB855),AB855,"")</f>
        <v>3375</v>
      </c>
      <c r="D855" s="0" t="n">
        <f aca="false">IF(ISNUMBER(C855),C855-U855*Data_Summary!$C$2,"")</f>
        <v>3225</v>
      </c>
      <c r="E855" s="31" t="n">
        <f aca="false">IFERROR(C855/B855,"")</f>
        <v>4.20822942643392</v>
      </c>
      <c r="F855" s="26" t="n">
        <f aca="false">IFERROR(D855/B855,"")</f>
        <v>4.0211970074813</v>
      </c>
      <c r="G855" s="0" t="str">
        <f aca="false">Q855</f>
        <v>2</v>
      </c>
      <c r="H855" s="0" t="str">
        <f aca="false">IFERROR(LEFT(G855,1),"")</f>
        <v>2</v>
      </c>
      <c r="I855" s="0" t="n">
        <f aca="false">IF(LEN(G855)&gt;1,1,0)</f>
        <v>0</v>
      </c>
      <c r="J855" s="4" t="n">
        <v>45732</v>
      </c>
      <c r="K855" s="0" t="s">
        <v>14</v>
      </c>
      <c r="L855" s="0" t="s">
        <v>104</v>
      </c>
      <c r="M855" s="0" t="s">
        <v>226</v>
      </c>
      <c r="N855" s="0" t="s">
        <v>93</v>
      </c>
      <c r="O855" s="0" t="s">
        <v>3273</v>
      </c>
      <c r="Q855" s="0" t="s">
        <v>251</v>
      </c>
      <c r="R855" s="0" t="n">
        <v>2</v>
      </c>
      <c r="S855" s="5" t="n">
        <v>802</v>
      </c>
      <c r="T855" s="0" t="s">
        <v>229</v>
      </c>
      <c r="U855" s="0" t="n">
        <v>1</v>
      </c>
      <c r="V855" s="0" t="s">
        <v>230</v>
      </c>
      <c r="W855" s="0" t="s">
        <v>244</v>
      </c>
      <c r="X855" s="0" t="s">
        <v>232</v>
      </c>
      <c r="Y855" s="0" t="s">
        <v>308</v>
      </c>
      <c r="Z855" s="0" t="s">
        <v>3310</v>
      </c>
      <c r="AA855" s="0" t="s">
        <v>235</v>
      </c>
      <c r="AB855" s="32" t="n">
        <v>3375</v>
      </c>
      <c r="AC855" s="32" t="n">
        <v>3450</v>
      </c>
      <c r="AD855" s="26" t="n">
        <f aca="false">IFERROR(AB855/B855,"")</f>
        <v>4.20822942643392</v>
      </c>
      <c r="AE855" s="26" t="n">
        <f aca="false">IFERROR(AC855/B855,"")</f>
        <v>4.30174563591022</v>
      </c>
      <c r="AF855" s="0" t="s">
        <v>236</v>
      </c>
      <c r="AG855" s="0" t="s">
        <v>236</v>
      </c>
      <c r="AH855" s="0" t="s">
        <v>236</v>
      </c>
      <c r="AI855" s="0" t="s">
        <v>3789</v>
      </c>
      <c r="AJ855" s="0" t="s">
        <v>3790</v>
      </c>
      <c r="AK855" s="0" t="s">
        <v>3791</v>
      </c>
      <c r="AL855" s="0" t="s">
        <v>3792</v>
      </c>
      <c r="AM855" s="0" t="s">
        <v>94</v>
      </c>
      <c r="AN855" s="26" t="n">
        <f aca="false">IFERROR(E855*(1+IF(AM855="Apartment",Data_Summary!$C$3,0)),"")</f>
        <v>4.20822942643392</v>
      </c>
      <c r="AO855" s="4" t="n">
        <v>46195</v>
      </c>
    </row>
    <row r="856" customFormat="false" ht="15" hidden="false" customHeight="false" outlineLevel="0" collapsed="false">
      <c r="A856" s="0" t="n">
        <f aca="false">IF(AND(ISNUMBER(B856),B856&gt;0,ISNUMBER(AB856),AB856&gt;0,J856&gt;=Data_Summary!$C$1),1,0)</f>
        <v>1</v>
      </c>
      <c r="B856" s="30" t="n">
        <v>535</v>
      </c>
      <c r="C856" s="5" t="n">
        <f aca="false">IF(ISNUMBER(AB856),AB856,"")</f>
        <v>2450</v>
      </c>
      <c r="D856" s="0" t="n">
        <f aca="false">IF(ISNUMBER(C856),C856-U856*Data_Summary!$C$2,"")</f>
        <v>2300</v>
      </c>
      <c r="E856" s="31" t="n">
        <f aca="false">IFERROR(C856/B856,"")</f>
        <v>4.57943925233645</v>
      </c>
      <c r="F856" s="26" t="n">
        <f aca="false">IFERROR(D856/B856,"")</f>
        <v>4.29906542056075</v>
      </c>
      <c r="G856" s="0" t="str">
        <f aca="false">Q856</f>
        <v>1</v>
      </c>
      <c r="H856" s="0" t="str">
        <f aca="false">IFERROR(LEFT(G856,1),"")</f>
        <v>1</v>
      </c>
      <c r="I856" s="0" t="n">
        <f aca="false">IF(LEN(G856)&gt;1,1,0)</f>
        <v>0</v>
      </c>
      <c r="J856" s="4" t="n">
        <v>45729</v>
      </c>
      <c r="K856" s="0" t="s">
        <v>14</v>
      </c>
      <c r="L856" s="0" t="s">
        <v>104</v>
      </c>
      <c r="M856" s="0" t="s">
        <v>226</v>
      </c>
      <c r="N856" s="0" t="s">
        <v>93</v>
      </c>
      <c r="O856" s="0" t="s">
        <v>2987</v>
      </c>
      <c r="Q856" s="0" t="s">
        <v>242</v>
      </c>
      <c r="R856" s="0" t="n">
        <v>1</v>
      </c>
      <c r="S856" s="5" t="n">
        <v>535</v>
      </c>
      <c r="T856" s="0" t="s">
        <v>243</v>
      </c>
      <c r="U856" s="0" t="n">
        <v>1</v>
      </c>
      <c r="V856" s="0" t="s">
        <v>230</v>
      </c>
      <c r="W856" s="0" t="s">
        <v>231</v>
      </c>
      <c r="X856" s="0" t="s">
        <v>232</v>
      </c>
      <c r="Y856" s="0" t="s">
        <v>245</v>
      </c>
      <c r="Z856" s="0" t="s">
        <v>3310</v>
      </c>
      <c r="AA856" s="0" t="s">
        <v>235</v>
      </c>
      <c r="AB856" s="32" t="n">
        <v>2450</v>
      </c>
      <c r="AC856" s="32" t="n">
        <v>2450</v>
      </c>
      <c r="AD856" s="26" t="n">
        <f aca="false">IFERROR(AB856/B856,"")</f>
        <v>4.57943925233645</v>
      </c>
      <c r="AE856" s="26" t="n">
        <f aca="false">IFERROR(AC856/B856,"")</f>
        <v>4.57943925233645</v>
      </c>
      <c r="AF856" s="0" t="s">
        <v>236</v>
      </c>
      <c r="AG856" s="0" t="s">
        <v>236</v>
      </c>
      <c r="AH856" s="0" t="s">
        <v>230</v>
      </c>
      <c r="AI856" s="0" t="s">
        <v>3793</v>
      </c>
      <c r="AJ856" s="0" t="s">
        <v>3794</v>
      </c>
      <c r="AK856" s="0" t="s">
        <v>3795</v>
      </c>
      <c r="AL856" s="0" t="s">
        <v>3796</v>
      </c>
      <c r="AM856" s="0" t="s">
        <v>94</v>
      </c>
      <c r="AN856" s="26" t="n">
        <f aca="false">IFERROR(E856*(1+IF(AM856="Apartment",Data_Summary!$C$3,0)),"")</f>
        <v>4.57943925233645</v>
      </c>
      <c r="AO856" s="4" t="n">
        <v>46195</v>
      </c>
    </row>
    <row r="857" customFormat="false" ht="15" hidden="false" customHeight="false" outlineLevel="0" collapsed="false">
      <c r="A857" s="0" t="n">
        <f aca="false">IF(AND(ISNUMBER(B857),B857&gt;0,ISNUMBER(AB857),AB857&gt;0,J857&gt;=Data_Summary!$C$1),1,0)</f>
        <v>1</v>
      </c>
      <c r="B857" s="33" t="n">
        <v>650</v>
      </c>
      <c r="C857" s="5" t="n">
        <f aca="false">IF(ISNUMBER(AB857),AB857,"")</f>
        <v>2500</v>
      </c>
      <c r="D857" s="0" t="n">
        <f aca="false">IF(ISNUMBER(C857),C857-U857*Data_Summary!$C$2,"")</f>
        <v>2500</v>
      </c>
      <c r="E857" s="34" t="n">
        <f aca="false">IFERROR(C857/B857,"")</f>
        <v>3.84615384615385</v>
      </c>
      <c r="F857" s="26" t="n">
        <f aca="false">IFERROR(D857/B857,"")</f>
        <v>3.84615384615385</v>
      </c>
      <c r="G857" s="0" t="str">
        <f aca="false">Q857</f>
        <v>1+1</v>
      </c>
      <c r="H857" s="0" t="str">
        <f aca="false">IFERROR(LEFT(G857,1),"")</f>
        <v>1</v>
      </c>
      <c r="I857" s="0" t="n">
        <f aca="false">IF(LEN(G857)&gt;1,1,0)</f>
        <v>1</v>
      </c>
      <c r="J857" s="4" t="n">
        <v>45726</v>
      </c>
      <c r="K857" s="0" t="s">
        <v>14</v>
      </c>
      <c r="L857" s="0" t="s">
        <v>104</v>
      </c>
      <c r="M857" s="0" t="s">
        <v>226</v>
      </c>
      <c r="N857" s="0" t="s">
        <v>93</v>
      </c>
      <c r="O857" s="0" t="s">
        <v>1581</v>
      </c>
      <c r="Q857" s="0" t="s">
        <v>270</v>
      </c>
      <c r="R857" s="0" t="n">
        <v>1</v>
      </c>
      <c r="S857" s="5" t="n">
        <v>650</v>
      </c>
      <c r="T857" s="0" t="s">
        <v>271</v>
      </c>
      <c r="U857" s="0" t="n">
        <v>0</v>
      </c>
      <c r="V857" s="0" t="s">
        <v>230</v>
      </c>
      <c r="W857" s="0" t="s">
        <v>244</v>
      </c>
      <c r="X857" s="0" t="s">
        <v>232</v>
      </c>
      <c r="Y857" s="0" t="s">
        <v>233</v>
      </c>
      <c r="Z857" s="0" t="s">
        <v>3310</v>
      </c>
      <c r="AA857" s="0" t="s">
        <v>235</v>
      </c>
      <c r="AB857" s="32" t="n">
        <v>2500</v>
      </c>
      <c r="AC857" s="32" t="n">
        <v>2500</v>
      </c>
      <c r="AD857" s="26" t="n">
        <f aca="false">IFERROR(AB857/B857,"")</f>
        <v>3.84615384615385</v>
      </c>
      <c r="AE857" s="26" t="n">
        <f aca="false">IFERROR(AC857/B857,"")</f>
        <v>3.84615384615385</v>
      </c>
      <c r="AF857" s="0" t="s">
        <v>230</v>
      </c>
      <c r="AG857" s="0" t="s">
        <v>236</v>
      </c>
      <c r="AH857" s="0" t="s">
        <v>230</v>
      </c>
      <c r="AI857" s="0" t="s">
        <v>3797</v>
      </c>
      <c r="AJ857" s="0" t="s">
        <v>3798</v>
      </c>
      <c r="AK857" s="0" t="s">
        <v>3799</v>
      </c>
      <c r="AL857" s="0" t="s">
        <v>3800</v>
      </c>
      <c r="AM857" s="0" t="s">
        <v>94</v>
      </c>
      <c r="AN857" s="26" t="n">
        <f aca="false">IFERROR(E857*(1+IF(AM857="Apartment",Data_Summary!$C$3,0)),"")</f>
        <v>3.84615384615385</v>
      </c>
      <c r="AO857" s="4" t="n">
        <v>46195</v>
      </c>
    </row>
    <row r="858" customFormat="false" ht="15" hidden="false" customHeight="false" outlineLevel="0" collapsed="false">
      <c r="A858" s="0" t="n">
        <f aca="false">IF(AND(ISNUMBER(B858),B858&gt;0,ISNUMBER(AB858),AB858&gt;0,J858&gt;=Data_Summary!$C$1),1,0)</f>
        <v>1</v>
      </c>
      <c r="B858" s="30" t="n">
        <v>705</v>
      </c>
      <c r="C858" s="5" t="n">
        <f aca="false">IF(ISNUMBER(AB858),AB858,"")</f>
        <v>3025</v>
      </c>
      <c r="D858" s="0" t="n">
        <f aca="false">IF(ISNUMBER(C858),C858-U858*Data_Summary!$C$2,"")</f>
        <v>3025</v>
      </c>
      <c r="E858" s="31" t="n">
        <f aca="false">IFERROR(C858/B858,"")</f>
        <v>4.29078014184397</v>
      </c>
      <c r="F858" s="26" t="n">
        <f aca="false">IFERROR(D858/B858,"")</f>
        <v>4.29078014184397</v>
      </c>
      <c r="G858" s="0" t="str">
        <f aca="false">Q858</f>
        <v>2+1</v>
      </c>
      <c r="H858" s="0" t="str">
        <f aca="false">IFERROR(LEFT(G858,1),"")</f>
        <v>2</v>
      </c>
      <c r="I858" s="0" t="n">
        <f aca="false">IF(LEN(G858)&gt;1,1,0)</f>
        <v>1</v>
      </c>
      <c r="J858" s="4" t="n">
        <v>45720</v>
      </c>
      <c r="K858" s="0" t="s">
        <v>14</v>
      </c>
      <c r="L858" s="0" t="s">
        <v>104</v>
      </c>
      <c r="M858" s="0" t="s">
        <v>226</v>
      </c>
      <c r="N858" s="0" t="s">
        <v>93</v>
      </c>
      <c r="O858" s="0" t="s">
        <v>2433</v>
      </c>
      <c r="Q858" s="0" t="s">
        <v>451</v>
      </c>
      <c r="R858" s="0" t="n">
        <v>1</v>
      </c>
      <c r="S858" s="5" t="n">
        <v>705</v>
      </c>
      <c r="T858" s="0" t="s">
        <v>252</v>
      </c>
      <c r="U858" s="0" t="n">
        <v>0</v>
      </c>
      <c r="V858" s="0" t="s">
        <v>230</v>
      </c>
      <c r="W858" s="0" t="s">
        <v>244</v>
      </c>
      <c r="X858" s="0" t="s">
        <v>232</v>
      </c>
      <c r="Y858" s="0" t="s">
        <v>233</v>
      </c>
      <c r="Z858" s="0" t="s">
        <v>3310</v>
      </c>
      <c r="AA858" s="0" t="s">
        <v>235</v>
      </c>
      <c r="AB858" s="32" t="n">
        <v>3025</v>
      </c>
      <c r="AC858" s="32" t="n">
        <v>3100</v>
      </c>
      <c r="AD858" s="26" t="n">
        <f aca="false">IFERROR(AB858/B858,"")</f>
        <v>4.29078014184397</v>
      </c>
      <c r="AE858" s="26" t="n">
        <f aca="false">IFERROR(AC858/B858,"")</f>
        <v>4.39716312056738</v>
      </c>
      <c r="AF858" s="0" t="s">
        <v>236</v>
      </c>
      <c r="AG858" s="0" t="s">
        <v>236</v>
      </c>
      <c r="AH858" s="0" t="s">
        <v>230</v>
      </c>
      <c r="AI858" s="0" t="s">
        <v>3801</v>
      </c>
      <c r="AJ858" s="0" t="s">
        <v>3802</v>
      </c>
      <c r="AK858" s="0" t="s">
        <v>3803</v>
      </c>
      <c r="AL858" s="0" t="s">
        <v>3804</v>
      </c>
      <c r="AM858" s="0" t="s">
        <v>94</v>
      </c>
      <c r="AN858" s="26" t="n">
        <f aca="false">IFERROR(E858*(1+IF(AM858="Apartment",Data_Summary!$C$3,0)),"")</f>
        <v>4.29078014184397</v>
      </c>
      <c r="AO858" s="4" t="n">
        <v>46195</v>
      </c>
    </row>
    <row r="859" customFormat="false" ht="15" hidden="false" customHeight="false" outlineLevel="0" collapsed="false">
      <c r="A859" s="0" t="n">
        <f aca="false">IF(AND(ISNUMBER(B859),B859&gt;0,ISNUMBER(AB859),AB859&gt;0,J859&gt;=Data_Summary!$C$1),1,0)</f>
        <v>1</v>
      </c>
      <c r="B859" s="30" t="n">
        <v>507</v>
      </c>
      <c r="C859" s="5" t="n">
        <f aca="false">IF(ISNUMBER(AB859),AB859,"")</f>
        <v>2350</v>
      </c>
      <c r="D859" s="0" t="n">
        <f aca="false">IF(ISNUMBER(C859),C859-U859*Data_Summary!$C$2,"")</f>
        <v>2350</v>
      </c>
      <c r="E859" s="31" t="n">
        <f aca="false">IFERROR(C859/B859,"")</f>
        <v>4.63510848126233</v>
      </c>
      <c r="F859" s="26" t="n">
        <f aca="false">IFERROR(D859/B859,"")</f>
        <v>4.63510848126233</v>
      </c>
      <c r="G859" s="0" t="str">
        <f aca="false">Q859</f>
        <v>1</v>
      </c>
      <c r="H859" s="0" t="str">
        <f aca="false">IFERROR(LEFT(G859,1),"")</f>
        <v>1</v>
      </c>
      <c r="I859" s="0" t="n">
        <f aca="false">IF(LEN(G859)&gt;1,1,0)</f>
        <v>0</v>
      </c>
      <c r="J859" s="4" t="n">
        <v>45715</v>
      </c>
      <c r="K859" s="0" t="s">
        <v>14</v>
      </c>
      <c r="L859" s="0" t="s">
        <v>104</v>
      </c>
      <c r="M859" s="0" t="s">
        <v>226</v>
      </c>
      <c r="N859" s="0" t="s">
        <v>93</v>
      </c>
      <c r="O859" s="0" t="s">
        <v>1995</v>
      </c>
      <c r="Q859" s="0" t="s">
        <v>242</v>
      </c>
      <c r="R859" s="0" t="n">
        <v>1</v>
      </c>
      <c r="S859" s="5" t="n">
        <v>507</v>
      </c>
      <c r="T859" s="0" t="s">
        <v>243</v>
      </c>
      <c r="U859" s="0" t="n">
        <v>0</v>
      </c>
      <c r="V859" s="0" t="s">
        <v>230</v>
      </c>
      <c r="W859" s="0" t="s">
        <v>244</v>
      </c>
      <c r="X859" s="0" t="s">
        <v>232</v>
      </c>
      <c r="Y859" s="0" t="s">
        <v>245</v>
      </c>
      <c r="Z859" s="0" t="s">
        <v>3310</v>
      </c>
      <c r="AA859" s="0" t="s">
        <v>235</v>
      </c>
      <c r="AB859" s="32" t="n">
        <v>2350</v>
      </c>
      <c r="AC859" s="32" t="n">
        <v>2350</v>
      </c>
      <c r="AD859" s="26" t="n">
        <f aca="false">IFERROR(AB859/B859,"")</f>
        <v>4.63510848126233</v>
      </c>
      <c r="AE859" s="26" t="n">
        <f aca="false">IFERROR(AC859/B859,"")</f>
        <v>4.63510848126233</v>
      </c>
      <c r="AF859" s="0" t="s">
        <v>236</v>
      </c>
      <c r="AG859" s="0" t="s">
        <v>236</v>
      </c>
      <c r="AH859" s="0" t="s">
        <v>230</v>
      </c>
      <c r="AI859" s="0" t="s">
        <v>3805</v>
      </c>
      <c r="AJ859" s="0" t="s">
        <v>3806</v>
      </c>
      <c r="AK859" s="0" t="s">
        <v>3807</v>
      </c>
      <c r="AL859" s="0" t="s">
        <v>3808</v>
      </c>
      <c r="AM859" s="0" t="s">
        <v>94</v>
      </c>
      <c r="AN859" s="26" t="n">
        <f aca="false">IFERROR(E859*(1+IF(AM859="Apartment",Data_Summary!$C$3,0)),"")</f>
        <v>4.63510848126233</v>
      </c>
      <c r="AO859" s="4" t="n">
        <v>46195</v>
      </c>
    </row>
    <row r="860" customFormat="false" ht="15" hidden="false" customHeight="false" outlineLevel="0" collapsed="false">
      <c r="A860" s="0" t="n">
        <f aca="false">IF(AND(ISNUMBER(B860),B860&gt;0,ISNUMBER(AB860),AB860&gt;0,J860&gt;=Data_Summary!$C$1),1,0)</f>
        <v>1</v>
      </c>
      <c r="B860" s="30" t="n">
        <v>705</v>
      </c>
      <c r="C860" s="5" t="n">
        <f aca="false">IF(ISNUMBER(AB860),AB860,"")</f>
        <v>3000</v>
      </c>
      <c r="D860" s="0" t="n">
        <f aca="false">IF(ISNUMBER(C860),C860-U860*Data_Summary!$C$2,"")</f>
        <v>2850</v>
      </c>
      <c r="E860" s="31" t="n">
        <f aca="false">IFERROR(C860/B860,"")</f>
        <v>4.25531914893617</v>
      </c>
      <c r="F860" s="26" t="n">
        <f aca="false">IFERROR(D860/B860,"")</f>
        <v>4.04255319148936</v>
      </c>
      <c r="G860" s="0" t="str">
        <f aca="false">Q860</f>
        <v>2+1</v>
      </c>
      <c r="H860" s="0" t="str">
        <f aca="false">IFERROR(LEFT(G860,1),"")</f>
        <v>2</v>
      </c>
      <c r="I860" s="0" t="n">
        <f aca="false">IF(LEN(G860)&gt;1,1,0)</f>
        <v>1</v>
      </c>
      <c r="J860" s="4" t="n">
        <v>45709</v>
      </c>
      <c r="K860" s="0" t="s">
        <v>14</v>
      </c>
      <c r="L860" s="0" t="s">
        <v>104</v>
      </c>
      <c r="M860" s="0" t="s">
        <v>226</v>
      </c>
      <c r="N860" s="0" t="s">
        <v>93</v>
      </c>
      <c r="O860" s="0" t="s">
        <v>1342</v>
      </c>
      <c r="Q860" s="0" t="s">
        <v>451</v>
      </c>
      <c r="R860" s="0" t="n">
        <v>1</v>
      </c>
      <c r="S860" s="5" t="n">
        <v>705</v>
      </c>
      <c r="T860" s="0" t="s">
        <v>252</v>
      </c>
      <c r="U860" s="0" t="n">
        <v>1</v>
      </c>
      <c r="V860" s="0" t="s">
        <v>230</v>
      </c>
      <c r="X860" s="0" t="s">
        <v>232</v>
      </c>
      <c r="Y860" s="0" t="s">
        <v>233</v>
      </c>
      <c r="Z860" s="0" t="s">
        <v>3310</v>
      </c>
      <c r="AA860" s="0" t="s">
        <v>235</v>
      </c>
      <c r="AB860" s="32" t="n">
        <v>3000</v>
      </c>
      <c r="AC860" s="32" t="n">
        <v>3050</v>
      </c>
      <c r="AD860" s="26" t="n">
        <f aca="false">IFERROR(AB860/B860,"")</f>
        <v>4.25531914893617</v>
      </c>
      <c r="AE860" s="26" t="n">
        <f aca="false">IFERROR(AC860/B860,"")</f>
        <v>4.32624113475177</v>
      </c>
      <c r="AF860" s="0" t="s">
        <v>236</v>
      </c>
      <c r="AG860" s="0" t="s">
        <v>236</v>
      </c>
      <c r="AH860" s="0" t="s">
        <v>230</v>
      </c>
      <c r="AI860" s="0" t="s">
        <v>2369</v>
      </c>
      <c r="AJ860" s="0" t="s">
        <v>3809</v>
      </c>
      <c r="AK860" s="0" t="s">
        <v>3810</v>
      </c>
      <c r="AL860" s="0" t="s">
        <v>3811</v>
      </c>
      <c r="AM860" s="0" t="s">
        <v>94</v>
      </c>
      <c r="AN860" s="26" t="n">
        <f aca="false">IFERROR(E860*(1+IF(AM860="Apartment",Data_Summary!$C$3,0)),"")</f>
        <v>4.25531914893617</v>
      </c>
      <c r="AO860" s="4" t="n">
        <v>46195</v>
      </c>
    </row>
    <row r="861" customFormat="false" ht="15" hidden="false" customHeight="false" outlineLevel="0" collapsed="false">
      <c r="A861" s="0" t="n">
        <f aca="false">IF(AND(ISNUMBER(B861),B861&gt;0,ISNUMBER(AB861),AB861&gt;0,J861&gt;=Data_Summary!$C$1),1,0)</f>
        <v>1</v>
      </c>
      <c r="B861" s="30" t="n">
        <v>575</v>
      </c>
      <c r="C861" s="5" t="n">
        <f aca="false">IF(ISNUMBER(AB861),AB861,"")</f>
        <v>2650</v>
      </c>
      <c r="D861" s="0" t="n">
        <f aca="false">IF(ISNUMBER(C861),C861-U861*Data_Summary!$C$2,"")</f>
        <v>2500</v>
      </c>
      <c r="E861" s="31" t="n">
        <f aca="false">IFERROR(C861/B861,"")</f>
        <v>4.60869565217391</v>
      </c>
      <c r="F861" s="26" t="n">
        <f aca="false">IFERROR(D861/B861,"")</f>
        <v>4.34782608695652</v>
      </c>
      <c r="G861" s="0" t="str">
        <f aca="false">Q861</f>
        <v>1+1</v>
      </c>
      <c r="H861" s="0" t="str">
        <f aca="false">IFERROR(LEFT(G861,1),"")</f>
        <v>1</v>
      </c>
      <c r="I861" s="0" t="n">
        <f aca="false">IF(LEN(G861)&gt;1,1,0)</f>
        <v>1</v>
      </c>
      <c r="J861" s="4" t="n">
        <v>45709</v>
      </c>
      <c r="K861" s="0" t="s">
        <v>14</v>
      </c>
      <c r="L861" s="0" t="s">
        <v>104</v>
      </c>
      <c r="M861" s="0" t="s">
        <v>226</v>
      </c>
      <c r="N861" s="0" t="s">
        <v>93</v>
      </c>
      <c r="O861" s="0" t="s">
        <v>3812</v>
      </c>
      <c r="Q861" s="0" t="s">
        <v>270</v>
      </c>
      <c r="R861" s="0" t="n">
        <v>1</v>
      </c>
      <c r="S861" s="5" t="n">
        <v>575</v>
      </c>
      <c r="T861" s="0" t="s">
        <v>243</v>
      </c>
      <c r="U861" s="0" t="n">
        <v>1</v>
      </c>
      <c r="V861" s="0" t="s">
        <v>230</v>
      </c>
      <c r="W861" s="0" t="s">
        <v>231</v>
      </c>
      <c r="X861" s="0" t="s">
        <v>232</v>
      </c>
      <c r="Y861" s="0" t="s">
        <v>272</v>
      </c>
      <c r="Z861" s="0" t="s">
        <v>3310</v>
      </c>
      <c r="AA861" s="0" t="s">
        <v>235</v>
      </c>
      <c r="AB861" s="32" t="n">
        <v>2650</v>
      </c>
      <c r="AC861" s="32" t="n">
        <v>2650</v>
      </c>
      <c r="AD861" s="26" t="n">
        <f aca="false">IFERROR(AB861/B861,"")</f>
        <v>4.60869565217391</v>
      </c>
      <c r="AE861" s="26" t="n">
        <f aca="false">IFERROR(AC861/B861,"")</f>
        <v>4.60869565217391</v>
      </c>
      <c r="AF861" s="0" t="s">
        <v>236</v>
      </c>
      <c r="AG861" s="0" t="s">
        <v>236</v>
      </c>
      <c r="AH861" s="0" t="s">
        <v>230</v>
      </c>
      <c r="AI861" s="0" t="s">
        <v>2369</v>
      </c>
      <c r="AJ861" s="0" t="s">
        <v>3813</v>
      </c>
      <c r="AK861" s="0" t="s">
        <v>3814</v>
      </c>
      <c r="AL861" s="0" t="s">
        <v>3815</v>
      </c>
      <c r="AM861" s="0" t="s">
        <v>94</v>
      </c>
      <c r="AN861" s="26" t="n">
        <f aca="false">IFERROR(E861*(1+IF(AM861="Apartment",Data_Summary!$C$3,0)),"")</f>
        <v>4.60869565217391</v>
      </c>
      <c r="AO861" s="4" t="n">
        <v>46195</v>
      </c>
    </row>
    <row r="862" customFormat="false" ht="15" hidden="false" customHeight="false" outlineLevel="0" collapsed="false">
      <c r="A862" s="0" t="n">
        <f aca="false">IF(AND(ISNUMBER(B862),B862&gt;0,ISNUMBER(AB862),AB862&gt;0,J862&gt;=Data_Summary!$C$1),1,0)</f>
        <v>1</v>
      </c>
      <c r="B862" s="30" t="n">
        <v>655</v>
      </c>
      <c r="C862" s="5" t="n">
        <f aca="false">IF(ISNUMBER(AB862),AB862,"")</f>
        <v>2400</v>
      </c>
      <c r="D862" s="0" t="n">
        <f aca="false">IF(ISNUMBER(C862),C862-U862*Data_Summary!$C$2,"")</f>
        <v>2400</v>
      </c>
      <c r="E862" s="31" t="n">
        <f aca="false">IFERROR(C862/B862,"")</f>
        <v>3.66412213740458</v>
      </c>
      <c r="F862" s="26" t="n">
        <f aca="false">IFERROR(D862/B862,"")</f>
        <v>3.66412213740458</v>
      </c>
      <c r="G862" s="0" t="str">
        <f aca="false">Q862</f>
        <v>1+1</v>
      </c>
      <c r="H862" s="0" t="str">
        <f aca="false">IFERROR(LEFT(G862,1),"")</f>
        <v>1</v>
      </c>
      <c r="I862" s="0" t="n">
        <f aca="false">IF(LEN(G862)&gt;1,1,0)</f>
        <v>1</v>
      </c>
      <c r="J862" s="4" t="n">
        <v>45693</v>
      </c>
      <c r="K862" s="0" t="s">
        <v>14</v>
      </c>
      <c r="L862" s="0" t="s">
        <v>104</v>
      </c>
      <c r="M862" s="0" t="s">
        <v>226</v>
      </c>
      <c r="N862" s="0" t="s">
        <v>93</v>
      </c>
      <c r="O862" s="0" t="s">
        <v>1482</v>
      </c>
      <c r="Q862" s="0" t="s">
        <v>270</v>
      </c>
      <c r="R862" s="0" t="n">
        <v>1</v>
      </c>
      <c r="S862" s="5" t="n">
        <v>655</v>
      </c>
      <c r="T862" s="0" t="s">
        <v>271</v>
      </c>
      <c r="U862" s="0" t="n">
        <v>0</v>
      </c>
      <c r="V862" s="0" t="s">
        <v>230</v>
      </c>
      <c r="W862" s="0" t="s">
        <v>244</v>
      </c>
      <c r="X862" s="0" t="s">
        <v>232</v>
      </c>
      <c r="Y862" s="0" t="s">
        <v>278</v>
      </c>
      <c r="Z862" s="0" t="s">
        <v>3310</v>
      </c>
      <c r="AA862" s="0" t="s">
        <v>235</v>
      </c>
      <c r="AB862" s="32" t="n">
        <v>2400</v>
      </c>
      <c r="AC862" s="32" t="n">
        <v>2400</v>
      </c>
      <c r="AD862" s="26" t="n">
        <f aca="false">IFERROR(AB862/B862,"")</f>
        <v>3.66412213740458</v>
      </c>
      <c r="AE862" s="26" t="n">
        <f aca="false">IFERROR(AC862/B862,"")</f>
        <v>3.66412213740458</v>
      </c>
      <c r="AF862" s="0" t="s">
        <v>236</v>
      </c>
      <c r="AG862" s="0" t="s">
        <v>236</v>
      </c>
      <c r="AH862" s="0" t="s">
        <v>230</v>
      </c>
      <c r="AI862" s="0" t="s">
        <v>2402</v>
      </c>
      <c r="AJ862" s="0" t="s">
        <v>3816</v>
      </c>
      <c r="AK862" s="0" t="s">
        <v>3817</v>
      </c>
      <c r="AL862" s="0" t="s">
        <v>3818</v>
      </c>
      <c r="AM862" s="0" t="s">
        <v>94</v>
      </c>
      <c r="AN862" s="26" t="n">
        <f aca="false">IFERROR(E862*(1+IF(AM862="Apartment",Data_Summary!$C$3,0)),"")</f>
        <v>3.66412213740458</v>
      </c>
      <c r="AO862" s="4" t="n">
        <v>46195</v>
      </c>
    </row>
    <row r="863" customFormat="false" ht="15" hidden="false" customHeight="false" outlineLevel="0" collapsed="false">
      <c r="A863" s="0" t="n">
        <f aca="false">IF(AND(ISNUMBER(B863),B863&gt;0,ISNUMBER(AB863),AB863&gt;0,J863&gt;=Data_Summary!$C$1),1,0)</f>
        <v>1</v>
      </c>
      <c r="B863" s="30" t="n">
        <v>1038</v>
      </c>
      <c r="C863" s="5" t="n">
        <f aca="false">IF(ISNUMBER(AB863),AB863,"")</f>
        <v>4000</v>
      </c>
      <c r="D863" s="0" t="n">
        <f aca="false">IF(ISNUMBER(C863),C863-U863*Data_Summary!$C$2,"")</f>
        <v>3850</v>
      </c>
      <c r="E863" s="31" t="n">
        <f aca="false">IFERROR(C863/B863,"")</f>
        <v>3.85356454720617</v>
      </c>
      <c r="F863" s="26" t="n">
        <f aca="false">IFERROR(D863/B863,"")</f>
        <v>3.70905587668593</v>
      </c>
      <c r="G863" s="0" t="str">
        <f aca="false">Q863</f>
        <v>3</v>
      </c>
      <c r="H863" s="0" t="str">
        <f aca="false">IFERROR(LEFT(G863,1),"")</f>
        <v>3</v>
      </c>
      <c r="I863" s="0" t="n">
        <f aca="false">IF(LEN(G863)&gt;1,1,0)</f>
        <v>0</v>
      </c>
      <c r="J863" s="4" t="n">
        <v>45693</v>
      </c>
      <c r="K863" s="0" t="s">
        <v>14</v>
      </c>
      <c r="L863" s="0" t="s">
        <v>104</v>
      </c>
      <c r="M863" s="0" t="s">
        <v>226</v>
      </c>
      <c r="N863" s="0" t="s">
        <v>93</v>
      </c>
      <c r="O863" s="0" t="s">
        <v>3819</v>
      </c>
      <c r="Q863" s="0" t="s">
        <v>228</v>
      </c>
      <c r="R863" s="0" t="n">
        <v>2</v>
      </c>
      <c r="S863" s="5" t="n">
        <v>1038</v>
      </c>
      <c r="T863" s="0" t="s">
        <v>265</v>
      </c>
      <c r="U863" s="0" t="n">
        <v>1</v>
      </c>
      <c r="V863" s="0" t="s">
        <v>230</v>
      </c>
      <c r="W863" s="0" t="s">
        <v>244</v>
      </c>
      <c r="X863" s="0" t="s">
        <v>232</v>
      </c>
      <c r="Y863" s="0" t="s">
        <v>260</v>
      </c>
      <c r="Z863" s="0" t="s">
        <v>3310</v>
      </c>
      <c r="AA863" s="0" t="s">
        <v>235</v>
      </c>
      <c r="AB863" s="32" t="n">
        <v>4000</v>
      </c>
      <c r="AC863" s="32" t="n">
        <v>4000</v>
      </c>
      <c r="AD863" s="26" t="n">
        <f aca="false">IFERROR(AB863/B863,"")</f>
        <v>3.85356454720617</v>
      </c>
      <c r="AE863" s="26" t="n">
        <f aca="false">IFERROR(AC863/B863,"")</f>
        <v>3.85356454720617</v>
      </c>
      <c r="AF863" s="0" t="s">
        <v>236</v>
      </c>
      <c r="AG863" s="0" t="s">
        <v>236</v>
      </c>
      <c r="AH863" s="0" t="s">
        <v>230</v>
      </c>
      <c r="AI863" s="0" t="s">
        <v>2402</v>
      </c>
      <c r="AJ863" s="0" t="s">
        <v>3820</v>
      </c>
      <c r="AK863" s="0" t="s">
        <v>3821</v>
      </c>
      <c r="AL863" s="0" t="s">
        <v>3822</v>
      </c>
      <c r="AM863" s="0" t="s">
        <v>94</v>
      </c>
      <c r="AN863" s="26" t="n">
        <f aca="false">IFERROR(E863*(1+IF(AM863="Apartment",Data_Summary!$C$3,0)),"")</f>
        <v>3.85356454720617</v>
      </c>
      <c r="AO863" s="4" t="n">
        <v>46195</v>
      </c>
    </row>
    <row r="864" customFormat="false" ht="15" hidden="false" customHeight="false" outlineLevel="0" collapsed="false">
      <c r="A864" s="0" t="n">
        <f aca="false">IF(AND(ISNUMBER(B864),B864&gt;0,ISNUMBER(AB864),AB864&gt;0,J864&gt;=Data_Summary!$C$1),1,0)</f>
        <v>1</v>
      </c>
      <c r="B864" s="33" t="n">
        <v>500</v>
      </c>
      <c r="C864" s="5" t="n">
        <f aca="false">IF(ISNUMBER(AB864),AB864,"")</f>
        <v>3100</v>
      </c>
      <c r="D864" s="0" t="n">
        <f aca="false">IF(ISNUMBER(C864),C864-U864*Data_Summary!$C$2,"")</f>
        <v>3100</v>
      </c>
      <c r="E864" s="34" t="n">
        <f aca="false">IFERROR(C864/B864,"")</f>
        <v>6.2</v>
      </c>
      <c r="F864" s="26" t="n">
        <f aca="false">IFERROR(D864/B864,"")</f>
        <v>6.2</v>
      </c>
      <c r="G864" s="0" t="str">
        <f aca="false">Q864</f>
        <v>2+1</v>
      </c>
      <c r="H864" s="0" t="str">
        <f aca="false">IFERROR(LEFT(G864,1),"")</f>
        <v>2</v>
      </c>
      <c r="I864" s="0" t="n">
        <f aca="false">IF(LEN(G864)&gt;1,1,0)</f>
        <v>1</v>
      </c>
      <c r="J864" s="4" t="n">
        <v>45692</v>
      </c>
      <c r="K864" s="0" t="s">
        <v>14</v>
      </c>
      <c r="L864" s="0" t="s">
        <v>104</v>
      </c>
      <c r="M864" s="0" t="s">
        <v>226</v>
      </c>
      <c r="N864" s="0" t="s">
        <v>93</v>
      </c>
      <c r="O864" s="0" t="s">
        <v>721</v>
      </c>
      <c r="Q864" s="0" t="s">
        <v>451</v>
      </c>
      <c r="R864" s="0" t="n">
        <v>2</v>
      </c>
      <c r="S864" s="5" t="n">
        <v>500</v>
      </c>
      <c r="T864" s="0" t="s">
        <v>229</v>
      </c>
      <c r="U864" s="0" t="n">
        <v>0</v>
      </c>
      <c r="V864" s="0" t="s">
        <v>230</v>
      </c>
      <c r="W864" s="0" t="s">
        <v>231</v>
      </c>
      <c r="X864" s="0" t="s">
        <v>232</v>
      </c>
      <c r="Y864" s="0" t="s">
        <v>308</v>
      </c>
      <c r="Z864" s="0" t="s">
        <v>3310</v>
      </c>
      <c r="AA864" s="0" t="s">
        <v>235</v>
      </c>
      <c r="AB864" s="32" t="n">
        <v>3100</v>
      </c>
      <c r="AC864" s="32" t="n">
        <v>3100</v>
      </c>
      <c r="AD864" s="26" t="n">
        <f aca="false">IFERROR(AB864/B864,"")</f>
        <v>6.2</v>
      </c>
      <c r="AE864" s="26" t="n">
        <f aca="false">IFERROR(AC864/B864,"")</f>
        <v>6.2</v>
      </c>
      <c r="AF864" s="0" t="s">
        <v>236</v>
      </c>
      <c r="AG864" s="0" t="s">
        <v>236</v>
      </c>
      <c r="AH864" s="0" t="s">
        <v>230</v>
      </c>
      <c r="AI864" s="0" t="s">
        <v>3274</v>
      </c>
      <c r="AJ864" s="0" t="s">
        <v>3823</v>
      </c>
      <c r="AK864" s="0" t="s">
        <v>3824</v>
      </c>
      <c r="AL864" s="0" t="s">
        <v>3825</v>
      </c>
      <c r="AM864" s="0" t="s">
        <v>94</v>
      </c>
      <c r="AN864" s="26" t="n">
        <f aca="false">IFERROR(E864*(1+IF(AM864="Apartment",Data_Summary!$C$3,0)),"")</f>
        <v>6.2</v>
      </c>
      <c r="AO864" s="4" t="n">
        <v>46195</v>
      </c>
    </row>
    <row r="865" customFormat="false" ht="15" hidden="false" customHeight="false" outlineLevel="0" collapsed="false">
      <c r="A865" s="0" t="n">
        <f aca="false">IF(AND(ISNUMBER(B865),B865&gt;0,ISNUMBER(AB865),AB865&gt;0,J865&gt;=Data_Summary!$C$1),1,0)</f>
        <v>1</v>
      </c>
      <c r="B865" s="30" t="n">
        <v>802</v>
      </c>
      <c r="C865" s="5" t="n">
        <f aca="false">IF(ISNUMBER(AB865),AB865,"")</f>
        <v>3500</v>
      </c>
      <c r="D865" s="0" t="n">
        <f aca="false">IF(ISNUMBER(C865),C865-U865*Data_Summary!$C$2,"")</f>
        <v>3350</v>
      </c>
      <c r="E865" s="31" t="n">
        <f aca="false">IFERROR(C865/B865,"")</f>
        <v>4.3640897755611</v>
      </c>
      <c r="F865" s="26" t="n">
        <f aca="false">IFERROR(D865/B865,"")</f>
        <v>4.17705735660848</v>
      </c>
      <c r="G865" s="0" t="str">
        <f aca="false">Q865</f>
        <v>2</v>
      </c>
      <c r="H865" s="0" t="str">
        <f aca="false">IFERROR(LEFT(G865,1),"")</f>
        <v>2</v>
      </c>
      <c r="I865" s="0" t="n">
        <f aca="false">IF(LEN(G865)&gt;1,1,0)</f>
        <v>0</v>
      </c>
      <c r="J865" s="4" t="n">
        <v>45684</v>
      </c>
      <c r="K865" s="0" t="s">
        <v>14</v>
      </c>
      <c r="L865" s="0" t="s">
        <v>104</v>
      </c>
      <c r="M865" s="0" t="s">
        <v>226</v>
      </c>
      <c r="N865" s="0" t="s">
        <v>93</v>
      </c>
      <c r="O865" s="0" t="s">
        <v>3826</v>
      </c>
      <c r="Q865" s="0" t="s">
        <v>251</v>
      </c>
      <c r="R865" s="0" t="n">
        <v>2</v>
      </c>
      <c r="S865" s="5" t="n">
        <v>802</v>
      </c>
      <c r="T865" s="0" t="s">
        <v>229</v>
      </c>
      <c r="U865" s="0" t="n">
        <v>1</v>
      </c>
      <c r="V865" s="0" t="s">
        <v>230</v>
      </c>
      <c r="W865" s="0" t="s">
        <v>231</v>
      </c>
      <c r="X865" s="0" t="s">
        <v>232</v>
      </c>
      <c r="Y865" s="0" t="s">
        <v>308</v>
      </c>
      <c r="Z865" s="0" t="s">
        <v>3310</v>
      </c>
      <c r="AA865" s="0" t="s">
        <v>235</v>
      </c>
      <c r="AB865" s="32" t="n">
        <v>3500</v>
      </c>
      <c r="AC865" s="32" t="n">
        <v>3500</v>
      </c>
      <c r="AD865" s="26" t="n">
        <f aca="false">IFERROR(AB865/B865,"")</f>
        <v>4.3640897755611</v>
      </c>
      <c r="AE865" s="26" t="n">
        <f aca="false">IFERROR(AC865/B865,"")</f>
        <v>4.3640897755611</v>
      </c>
      <c r="AF865" s="0" t="s">
        <v>236</v>
      </c>
      <c r="AG865" s="0" t="s">
        <v>236</v>
      </c>
      <c r="AH865" s="0" t="s">
        <v>230</v>
      </c>
      <c r="AI865" s="0" t="s">
        <v>3827</v>
      </c>
      <c r="AJ865" s="0" t="s">
        <v>3828</v>
      </c>
      <c r="AK865" s="0" t="s">
        <v>3829</v>
      </c>
      <c r="AL865" s="0" t="s">
        <v>3830</v>
      </c>
      <c r="AM865" s="0" t="s">
        <v>94</v>
      </c>
      <c r="AN865" s="26" t="n">
        <f aca="false">IFERROR(E865*(1+IF(AM865="Apartment",Data_Summary!$C$3,0)),"")</f>
        <v>4.3640897755611</v>
      </c>
      <c r="AO865" s="4" t="n">
        <v>46195</v>
      </c>
    </row>
    <row r="866" customFormat="false" ht="15" hidden="false" customHeight="false" outlineLevel="0" collapsed="false">
      <c r="A866" s="0" t="n">
        <f aca="false">IF(AND(ISNUMBER(B866),B866&gt;0,ISNUMBER(AB866),AB866&gt;0,J866&gt;=Data_Summary!$C$1),1,0)</f>
        <v>1</v>
      </c>
      <c r="B866" s="30" t="n">
        <v>505</v>
      </c>
      <c r="C866" s="5" t="n">
        <f aca="false">IF(ISNUMBER(AB866),AB866,"")</f>
        <v>2300</v>
      </c>
      <c r="D866" s="0" t="n">
        <f aca="false">IF(ISNUMBER(C866),C866-U866*Data_Summary!$C$2,"")</f>
        <v>2300</v>
      </c>
      <c r="E866" s="31" t="n">
        <f aca="false">IFERROR(C866/B866,"")</f>
        <v>4.55445544554455</v>
      </c>
      <c r="F866" s="26" t="n">
        <f aca="false">IFERROR(D866/B866,"")</f>
        <v>4.55445544554455</v>
      </c>
      <c r="G866" s="0" t="str">
        <f aca="false">Q866</f>
        <v>1+1</v>
      </c>
      <c r="H866" s="0" t="str">
        <f aca="false">IFERROR(LEFT(G866,1),"")</f>
        <v>1</v>
      </c>
      <c r="I866" s="0" t="n">
        <f aca="false">IF(LEN(G866)&gt;1,1,0)</f>
        <v>1</v>
      </c>
      <c r="J866" s="4" t="n">
        <v>45674</v>
      </c>
      <c r="K866" s="0" t="s">
        <v>14</v>
      </c>
      <c r="L866" s="0" t="s">
        <v>104</v>
      </c>
      <c r="M866" s="0" t="s">
        <v>226</v>
      </c>
      <c r="N866" s="0" t="s">
        <v>93</v>
      </c>
      <c r="O866" s="0" t="s">
        <v>2028</v>
      </c>
      <c r="Q866" s="0" t="s">
        <v>270</v>
      </c>
      <c r="R866" s="0" t="n">
        <v>1</v>
      </c>
      <c r="S866" s="5" t="n">
        <v>505</v>
      </c>
      <c r="T866" s="0" t="s">
        <v>243</v>
      </c>
      <c r="U866" s="0" t="n">
        <v>0</v>
      </c>
      <c r="V866" s="0" t="s">
        <v>230</v>
      </c>
      <c r="W866" s="0" t="s">
        <v>244</v>
      </c>
      <c r="X866" s="0" t="s">
        <v>232</v>
      </c>
      <c r="Y866" s="0" t="s">
        <v>272</v>
      </c>
      <c r="Z866" s="0" t="s">
        <v>3310</v>
      </c>
      <c r="AA866" s="0" t="s">
        <v>235</v>
      </c>
      <c r="AB866" s="32" t="n">
        <v>2300</v>
      </c>
      <c r="AC866" s="32" t="n">
        <v>2299</v>
      </c>
      <c r="AD866" s="26" t="n">
        <f aca="false">IFERROR(AB866/B866,"")</f>
        <v>4.55445544554455</v>
      </c>
      <c r="AE866" s="26" t="n">
        <f aca="false">IFERROR(AC866/B866,"")</f>
        <v>4.55247524752475</v>
      </c>
      <c r="AF866" s="0" t="s">
        <v>236</v>
      </c>
      <c r="AG866" s="0" t="s">
        <v>236</v>
      </c>
      <c r="AH866" s="0" t="s">
        <v>230</v>
      </c>
      <c r="AI866" s="0" t="s">
        <v>3831</v>
      </c>
      <c r="AJ866" s="0" t="s">
        <v>3832</v>
      </c>
      <c r="AK866" s="0" t="s">
        <v>3833</v>
      </c>
      <c r="AL866" s="0" t="s">
        <v>3834</v>
      </c>
      <c r="AM866" s="0" t="s">
        <v>94</v>
      </c>
      <c r="AN866" s="26" t="n">
        <f aca="false">IFERROR(E866*(1+IF(AM866="Apartment",Data_Summary!$C$3,0)),"")</f>
        <v>4.55445544554455</v>
      </c>
      <c r="AO866" s="4" t="n">
        <v>46195</v>
      </c>
    </row>
    <row r="867" customFormat="false" ht="15" hidden="false" customHeight="false" outlineLevel="0" collapsed="false">
      <c r="A867" s="0" t="n">
        <f aca="false">IF(AND(ISNUMBER(B867),B867&gt;0,ISNUMBER(AB867),AB867&gt;0,J867&gt;=Data_Summary!$C$1),1,0)</f>
        <v>1</v>
      </c>
      <c r="B867" s="33" t="n">
        <v>500</v>
      </c>
      <c r="C867" s="5" t="n">
        <f aca="false">IF(ISNUMBER(AB867),AB867,"")</f>
        <v>2600</v>
      </c>
      <c r="D867" s="0" t="n">
        <f aca="false">IF(ISNUMBER(C867),C867-U867*Data_Summary!$C$2,"")</f>
        <v>2450</v>
      </c>
      <c r="E867" s="34" t="n">
        <f aca="false">IFERROR(C867/B867,"")</f>
        <v>5.2</v>
      </c>
      <c r="F867" s="26" t="n">
        <f aca="false">IFERROR(D867/B867,"")</f>
        <v>4.9</v>
      </c>
      <c r="G867" s="0" t="str">
        <f aca="false">Q867</f>
        <v>1+1</v>
      </c>
      <c r="H867" s="0" t="str">
        <f aca="false">IFERROR(LEFT(G867,1),"")</f>
        <v>1</v>
      </c>
      <c r="I867" s="0" t="n">
        <f aca="false">IF(LEN(G867)&gt;1,1,0)</f>
        <v>1</v>
      </c>
      <c r="J867" s="4" t="n">
        <v>45667</v>
      </c>
      <c r="K867" s="0" t="s">
        <v>14</v>
      </c>
      <c r="L867" s="0" t="s">
        <v>104</v>
      </c>
      <c r="M867" s="0" t="s">
        <v>226</v>
      </c>
      <c r="N867" s="0" t="s">
        <v>93</v>
      </c>
      <c r="O867" s="0" t="s">
        <v>3497</v>
      </c>
      <c r="Q867" s="0" t="s">
        <v>270</v>
      </c>
      <c r="R867" s="0" t="n">
        <v>1</v>
      </c>
      <c r="S867" s="5" t="n">
        <v>500</v>
      </c>
      <c r="T867" s="0" t="s">
        <v>271</v>
      </c>
      <c r="U867" s="0" t="n">
        <v>1</v>
      </c>
      <c r="V867" s="0" t="s">
        <v>230</v>
      </c>
      <c r="W867" s="0" t="s">
        <v>244</v>
      </c>
      <c r="X867" s="0" t="s">
        <v>232</v>
      </c>
      <c r="Y867" s="0" t="s">
        <v>233</v>
      </c>
      <c r="Z867" s="0" t="s">
        <v>3310</v>
      </c>
      <c r="AA867" s="0" t="s">
        <v>235</v>
      </c>
      <c r="AB867" s="32" t="n">
        <v>2600</v>
      </c>
      <c r="AC867" s="32" t="n">
        <v>2600</v>
      </c>
      <c r="AD867" s="26" t="n">
        <f aca="false">IFERROR(AB867/B867,"")</f>
        <v>5.2</v>
      </c>
      <c r="AE867" s="26" t="n">
        <f aca="false">IFERROR(AC867/B867,"")</f>
        <v>5.2</v>
      </c>
      <c r="AF867" s="0" t="s">
        <v>236</v>
      </c>
      <c r="AG867" s="0" t="s">
        <v>236</v>
      </c>
      <c r="AH867" s="0" t="s">
        <v>230</v>
      </c>
      <c r="AI867" s="0" t="s">
        <v>3835</v>
      </c>
      <c r="AJ867" s="0" t="s">
        <v>3836</v>
      </c>
      <c r="AK867" s="0" t="s">
        <v>3837</v>
      </c>
      <c r="AL867" s="0" t="s">
        <v>3838</v>
      </c>
      <c r="AM867" s="0" t="s">
        <v>94</v>
      </c>
      <c r="AN867" s="26" t="n">
        <f aca="false">IFERROR(E867*(1+IF(AM867="Apartment",Data_Summary!$C$3,0)),"")</f>
        <v>5.2</v>
      </c>
      <c r="AO867" s="4" t="n">
        <v>46195</v>
      </c>
    </row>
    <row r="868" customFormat="false" ht="15" hidden="false" customHeight="false" outlineLevel="0" collapsed="false">
      <c r="A868" s="0" t="n">
        <f aca="false">IF(AND(ISNUMBER(B868),B868&gt;0,ISNUMBER(AB868),AB868&gt;0,J868&gt;=Data_Summary!$C$1),1,0)</f>
        <v>1</v>
      </c>
      <c r="B868" s="33" t="n">
        <v>500</v>
      </c>
      <c r="C868" s="5" t="n">
        <f aca="false">IF(ISNUMBER(AB868),AB868,"")</f>
        <v>2750</v>
      </c>
      <c r="D868" s="0" t="n">
        <f aca="false">IF(ISNUMBER(C868),C868-U868*Data_Summary!$C$2,"")</f>
        <v>2750</v>
      </c>
      <c r="E868" s="34" t="n">
        <f aca="false">IFERROR(C868/B868,"")</f>
        <v>5.5</v>
      </c>
      <c r="F868" s="26" t="n">
        <f aca="false">IFERROR(D868/B868,"")</f>
        <v>5.5</v>
      </c>
      <c r="G868" s="0" t="str">
        <f aca="false">Q868</f>
        <v>2</v>
      </c>
      <c r="H868" s="0" t="str">
        <f aca="false">IFERROR(LEFT(G868,1),"")</f>
        <v>2</v>
      </c>
      <c r="I868" s="0" t="n">
        <f aca="false">IF(LEN(G868)&gt;1,1,0)</f>
        <v>0</v>
      </c>
      <c r="J868" s="4" t="n">
        <v>45664</v>
      </c>
      <c r="K868" s="0" t="s">
        <v>14</v>
      </c>
      <c r="L868" s="0" t="s">
        <v>104</v>
      </c>
      <c r="M868" s="0" t="s">
        <v>226</v>
      </c>
      <c r="N868" s="0" t="s">
        <v>93</v>
      </c>
      <c r="O868" s="0" t="s">
        <v>506</v>
      </c>
      <c r="Q868" s="0" t="s">
        <v>251</v>
      </c>
      <c r="R868" s="0" t="n">
        <v>1</v>
      </c>
      <c r="S868" s="5" t="n">
        <v>500</v>
      </c>
      <c r="T868" s="0" t="s">
        <v>271</v>
      </c>
      <c r="U868" s="0" t="n">
        <v>0</v>
      </c>
      <c r="V868" s="0" t="s">
        <v>230</v>
      </c>
      <c r="W868" s="0" t="s">
        <v>244</v>
      </c>
      <c r="X868" s="0" t="s">
        <v>232</v>
      </c>
      <c r="Y868" s="0" t="s">
        <v>233</v>
      </c>
      <c r="Z868" s="0" t="s">
        <v>3310</v>
      </c>
      <c r="AA868" s="0" t="s">
        <v>235</v>
      </c>
      <c r="AB868" s="32" t="n">
        <v>2750</v>
      </c>
      <c r="AC868" s="32" t="n">
        <v>2750</v>
      </c>
      <c r="AD868" s="26" t="n">
        <f aca="false">IFERROR(AB868/B868,"")</f>
        <v>5.5</v>
      </c>
      <c r="AE868" s="26" t="n">
        <f aca="false">IFERROR(AC868/B868,"")</f>
        <v>5.5</v>
      </c>
      <c r="AF868" s="0" t="s">
        <v>236</v>
      </c>
      <c r="AG868" s="0" t="s">
        <v>236</v>
      </c>
      <c r="AH868" s="0" t="s">
        <v>236</v>
      </c>
      <c r="AI868" s="0" t="s">
        <v>3839</v>
      </c>
      <c r="AJ868" s="0" t="s">
        <v>3840</v>
      </c>
      <c r="AK868" s="0" t="s">
        <v>3841</v>
      </c>
      <c r="AL868" s="0" t="s">
        <v>3842</v>
      </c>
      <c r="AM868" s="0" t="s">
        <v>94</v>
      </c>
      <c r="AN868" s="26" t="n">
        <f aca="false">IFERROR(E868*(1+IF(AM868="Apartment",Data_Summary!$C$3,0)),"")</f>
        <v>5.5</v>
      </c>
      <c r="AO868" s="4" t="n">
        <v>46195</v>
      </c>
    </row>
    <row r="869" customFormat="false" ht="15" hidden="false" customHeight="false" outlineLevel="0" collapsed="false">
      <c r="A869" s="0" t="n">
        <f aca="false">IF(AND(ISNUMBER(B869),B869&gt;0,ISNUMBER(AB869),AB869&gt;0,J869&gt;=Data_Summary!$C$1),1,0)</f>
        <v>1</v>
      </c>
      <c r="B869" s="30" t="n">
        <v>705</v>
      </c>
      <c r="C869" s="5" t="n">
        <f aca="false">IF(ISNUMBER(AB869),AB869,"")</f>
        <v>3000</v>
      </c>
      <c r="D869" s="0" t="n">
        <f aca="false">IF(ISNUMBER(C869),C869-U869*Data_Summary!$C$2,"")</f>
        <v>2850</v>
      </c>
      <c r="E869" s="31" t="n">
        <f aca="false">IFERROR(C869/B869,"")</f>
        <v>4.25531914893617</v>
      </c>
      <c r="F869" s="26" t="n">
        <f aca="false">IFERROR(D869/B869,"")</f>
        <v>4.04255319148936</v>
      </c>
      <c r="G869" s="0" t="str">
        <f aca="false">Q869</f>
        <v>2+1</v>
      </c>
      <c r="H869" s="0" t="str">
        <f aca="false">IFERROR(LEFT(G869,1),"")</f>
        <v>2</v>
      </c>
      <c r="I869" s="0" t="n">
        <f aca="false">IF(LEN(G869)&gt;1,1,0)</f>
        <v>1</v>
      </c>
      <c r="J869" s="4" t="n">
        <v>45664</v>
      </c>
      <c r="K869" s="0" t="s">
        <v>14</v>
      </c>
      <c r="L869" s="0" t="s">
        <v>104</v>
      </c>
      <c r="M869" s="0" t="s">
        <v>226</v>
      </c>
      <c r="N869" s="0" t="s">
        <v>93</v>
      </c>
      <c r="O869" s="0" t="s">
        <v>1401</v>
      </c>
      <c r="Q869" s="0" t="s">
        <v>451</v>
      </c>
      <c r="R869" s="0" t="n">
        <v>1</v>
      </c>
      <c r="S869" s="5" t="n">
        <v>705</v>
      </c>
      <c r="T869" s="0" t="s">
        <v>252</v>
      </c>
      <c r="U869" s="0" t="n">
        <v>1</v>
      </c>
      <c r="V869" s="0" t="s">
        <v>230</v>
      </c>
      <c r="W869" s="0" t="s">
        <v>244</v>
      </c>
      <c r="X869" s="0" t="s">
        <v>232</v>
      </c>
      <c r="Y869" s="0" t="s">
        <v>233</v>
      </c>
      <c r="Z869" s="0" t="s">
        <v>3310</v>
      </c>
      <c r="AA869" s="0" t="s">
        <v>235</v>
      </c>
      <c r="AB869" s="32" t="n">
        <v>3000</v>
      </c>
      <c r="AC869" s="32" t="n">
        <v>3000</v>
      </c>
      <c r="AD869" s="26" t="n">
        <f aca="false">IFERROR(AB869/B869,"")</f>
        <v>4.25531914893617</v>
      </c>
      <c r="AE869" s="26" t="n">
        <f aca="false">IFERROR(AC869/B869,"")</f>
        <v>4.25531914893617</v>
      </c>
      <c r="AF869" s="0" t="s">
        <v>236</v>
      </c>
      <c r="AG869" s="0" t="s">
        <v>236</v>
      </c>
      <c r="AH869" s="0" t="s">
        <v>230</v>
      </c>
      <c r="AI869" s="0" t="s">
        <v>3839</v>
      </c>
      <c r="AJ869" s="0" t="s">
        <v>3843</v>
      </c>
      <c r="AK869" s="0" t="s">
        <v>3844</v>
      </c>
      <c r="AL869" s="0" t="s">
        <v>3845</v>
      </c>
      <c r="AM869" s="0" t="s">
        <v>94</v>
      </c>
      <c r="AN869" s="26" t="n">
        <f aca="false">IFERROR(E869*(1+IF(AM869="Apartment",Data_Summary!$C$3,0)),"")</f>
        <v>4.25531914893617</v>
      </c>
      <c r="AO869" s="4" t="n">
        <v>46195</v>
      </c>
    </row>
    <row r="870" customFormat="false" ht="15" hidden="false" customHeight="false" outlineLevel="0" collapsed="false">
      <c r="A870" s="0" t="n">
        <f aca="false">IF(AND(ISNUMBER(B870),B870&gt;0,ISNUMBER(AB870),AB870&gt;0,J870&gt;=Data_Summary!$C$1),1,0)</f>
        <v>1</v>
      </c>
      <c r="B870" s="30" t="n">
        <v>708</v>
      </c>
      <c r="C870" s="5" t="n">
        <f aca="false">IF(ISNUMBER(AB870),AB870,"")</f>
        <v>2900</v>
      </c>
      <c r="D870" s="0" t="n">
        <f aca="false">IF(ISNUMBER(C870),C870-U870*Data_Summary!$C$2,"")</f>
        <v>2750</v>
      </c>
      <c r="E870" s="31" t="n">
        <f aca="false">IFERROR(C870/B870,"")</f>
        <v>4.09604519774011</v>
      </c>
      <c r="F870" s="26" t="n">
        <f aca="false">IFERROR(D870/B870,"")</f>
        <v>3.88418079096045</v>
      </c>
      <c r="G870" s="0" t="str">
        <f aca="false">Q870</f>
        <v>1+1</v>
      </c>
      <c r="H870" s="0" t="str">
        <f aca="false">IFERROR(LEFT(G870,1),"")</f>
        <v>1</v>
      </c>
      <c r="I870" s="0" t="n">
        <f aca="false">IF(LEN(G870)&gt;1,1,0)</f>
        <v>1</v>
      </c>
      <c r="J870" s="4" t="n">
        <v>45660</v>
      </c>
      <c r="K870" s="0" t="s">
        <v>14</v>
      </c>
      <c r="L870" s="0" t="s">
        <v>104</v>
      </c>
      <c r="M870" s="0" t="s">
        <v>226</v>
      </c>
      <c r="N870" s="0" t="s">
        <v>93</v>
      </c>
      <c r="O870" s="0" t="s">
        <v>2023</v>
      </c>
      <c r="Q870" s="0" t="s">
        <v>270</v>
      </c>
      <c r="R870" s="0" t="n">
        <v>1</v>
      </c>
      <c r="S870" s="5" t="n">
        <v>708</v>
      </c>
      <c r="T870" s="0" t="s">
        <v>252</v>
      </c>
      <c r="U870" s="0" t="n">
        <v>1</v>
      </c>
      <c r="V870" s="0" t="s">
        <v>230</v>
      </c>
      <c r="W870" s="0" t="s">
        <v>231</v>
      </c>
      <c r="X870" s="0" t="s">
        <v>232</v>
      </c>
      <c r="Y870" s="0" t="s">
        <v>278</v>
      </c>
      <c r="Z870" s="0" t="s">
        <v>3310</v>
      </c>
      <c r="AA870" s="0" t="s">
        <v>235</v>
      </c>
      <c r="AB870" s="32" t="n">
        <v>2900</v>
      </c>
      <c r="AC870" s="32" t="n">
        <v>2950</v>
      </c>
      <c r="AD870" s="26" t="n">
        <f aca="false">IFERROR(AB870/B870,"")</f>
        <v>4.09604519774011</v>
      </c>
      <c r="AE870" s="26" t="n">
        <f aca="false">IFERROR(AC870/B870,"")</f>
        <v>4.16666666666667</v>
      </c>
      <c r="AF870" s="0" t="s">
        <v>236</v>
      </c>
      <c r="AG870" s="0" t="s">
        <v>236</v>
      </c>
      <c r="AH870" s="0" t="s">
        <v>230</v>
      </c>
      <c r="AI870" s="0" t="s">
        <v>3846</v>
      </c>
      <c r="AJ870" s="0" t="s">
        <v>3847</v>
      </c>
      <c r="AK870" s="0" t="s">
        <v>3848</v>
      </c>
      <c r="AL870" s="0" t="s">
        <v>3849</v>
      </c>
      <c r="AM870" s="0" t="s">
        <v>94</v>
      </c>
      <c r="AN870" s="26" t="n">
        <f aca="false">IFERROR(E870*(1+IF(AM870="Apartment",Data_Summary!$C$3,0)),"")</f>
        <v>4.09604519774011</v>
      </c>
      <c r="AO870" s="4" t="n">
        <v>46195</v>
      </c>
    </row>
    <row r="871" customFormat="false" ht="15" hidden="false" customHeight="false" outlineLevel="0" collapsed="false">
      <c r="A871" s="0" t="n">
        <f aca="false">IF(AND(ISNUMBER(B871),B871&gt;0,ISNUMBER(AB871),AB871&gt;0,J871&gt;=Data_Summary!$C$1),1,0)</f>
        <v>1</v>
      </c>
      <c r="B871" s="33" t="n">
        <v>802</v>
      </c>
      <c r="C871" s="5" t="n">
        <f aca="false">IF(ISNUMBER(AB871),AB871,"")</f>
        <v>2300</v>
      </c>
      <c r="D871" s="0" t="n">
        <f aca="false">IF(ISNUMBER(C871),C871-U871*Data_Summary!$C$2,"")</f>
        <v>2300</v>
      </c>
      <c r="E871" s="34" t="n">
        <f aca="false">IFERROR(C871/B871,"")</f>
        <v>2.86783042394015</v>
      </c>
      <c r="F871" s="26" t="n">
        <f aca="false">IFERROR(D871/B871,"")</f>
        <v>2.86783042394015</v>
      </c>
      <c r="G871" s="0" t="str">
        <f aca="false">Q871</f>
        <v>1+1</v>
      </c>
      <c r="H871" s="0" t="str">
        <f aca="false">IFERROR(LEFT(G871,1),"")</f>
        <v>1</v>
      </c>
      <c r="I871" s="0" t="n">
        <f aca="false">IF(LEN(G871)&gt;1,1,0)</f>
        <v>1</v>
      </c>
      <c r="J871" s="4" t="n">
        <v>45658</v>
      </c>
      <c r="K871" s="0" t="s">
        <v>14</v>
      </c>
      <c r="L871" s="0" t="s">
        <v>104</v>
      </c>
      <c r="M871" s="0" t="s">
        <v>226</v>
      </c>
      <c r="N871" s="0" t="s">
        <v>93</v>
      </c>
      <c r="O871" s="0" t="s">
        <v>3018</v>
      </c>
      <c r="Q871" s="0" t="s">
        <v>270</v>
      </c>
      <c r="R871" s="0" t="n">
        <v>1</v>
      </c>
      <c r="S871" s="5" t="n">
        <v>802</v>
      </c>
      <c r="T871" s="0" t="s">
        <v>243</v>
      </c>
      <c r="U871" s="0" t="n">
        <v>0</v>
      </c>
      <c r="V871" s="0" t="s">
        <v>230</v>
      </c>
      <c r="W871" s="0" t="s">
        <v>244</v>
      </c>
      <c r="X871" s="0" t="s">
        <v>232</v>
      </c>
      <c r="Y871" s="0" t="s">
        <v>272</v>
      </c>
      <c r="Z871" s="0" t="s">
        <v>3310</v>
      </c>
      <c r="AA871" s="0" t="s">
        <v>235</v>
      </c>
      <c r="AB871" s="32" t="n">
        <v>2300</v>
      </c>
      <c r="AC871" s="32" t="n">
        <v>2300</v>
      </c>
      <c r="AD871" s="26" t="n">
        <f aca="false">IFERROR(AB871/B871,"")</f>
        <v>2.86783042394015</v>
      </c>
      <c r="AE871" s="26" t="n">
        <f aca="false">IFERROR(AC871/B871,"")</f>
        <v>2.86783042394015</v>
      </c>
      <c r="AF871" s="0" t="s">
        <v>236</v>
      </c>
      <c r="AG871" s="0" t="s">
        <v>236</v>
      </c>
      <c r="AH871" s="0" t="s">
        <v>230</v>
      </c>
      <c r="AI871" s="0" t="s">
        <v>3306</v>
      </c>
      <c r="AJ871" s="0" t="s">
        <v>3850</v>
      </c>
      <c r="AK871" s="0" t="s">
        <v>3851</v>
      </c>
      <c r="AL871" s="0" t="s">
        <v>3852</v>
      </c>
      <c r="AM871" s="0" t="s">
        <v>94</v>
      </c>
      <c r="AN871" s="26" t="n">
        <f aca="false">IFERROR(E871*(1+IF(AM871="Apartment",Data_Summary!$C$3,0)),"")</f>
        <v>2.86783042394015</v>
      </c>
      <c r="AO871" s="4" t="n">
        <v>46195</v>
      </c>
    </row>
    <row r="872" customFormat="false" ht="15" hidden="false" customHeight="false" outlineLevel="0" collapsed="false">
      <c r="A872" s="0" t="n">
        <f aca="false">IF(AND(ISNUMBER(B872),B872&gt;0,ISNUMBER(AB872),AB872&gt;0,J872&gt;=Data_Summary!$C$1),1,0)</f>
        <v>1</v>
      </c>
      <c r="B872" s="33" t="n">
        <v>686</v>
      </c>
      <c r="C872" s="5" t="n">
        <f aca="false">IF(ISNUMBER(AB872),AB872,"")</f>
        <v>2650</v>
      </c>
      <c r="D872" s="0" t="n">
        <f aca="false">IF(ISNUMBER(C872),C872-U872*Data_Summary!$C$2,"")</f>
        <v>2650</v>
      </c>
      <c r="E872" s="34" t="n">
        <f aca="false">IFERROR(C872/B872,"")</f>
        <v>3.86297376093294</v>
      </c>
      <c r="F872" s="26" t="n">
        <f aca="false">IFERROR(D872/B872,"")</f>
        <v>3.86297376093294</v>
      </c>
      <c r="G872" s="0" t="str">
        <f aca="false">Q872</f>
        <v>2</v>
      </c>
      <c r="H872" s="0" t="str">
        <f aca="false">IFERROR(LEFT(G872,1),"")</f>
        <v>2</v>
      </c>
      <c r="I872" s="0" t="n">
        <f aca="false">IF(LEN(G872)&gt;1,1,0)</f>
        <v>0</v>
      </c>
      <c r="J872" s="4" t="n">
        <v>46188</v>
      </c>
      <c r="K872" s="0" t="s">
        <v>16</v>
      </c>
      <c r="L872" s="0" t="s">
        <v>106</v>
      </c>
      <c r="M872" s="0" t="s">
        <v>226</v>
      </c>
      <c r="N872" s="0" t="s">
        <v>93</v>
      </c>
      <c r="O872" s="0" t="s">
        <v>3853</v>
      </c>
      <c r="Q872" s="0" t="s">
        <v>251</v>
      </c>
      <c r="R872" s="0" t="n">
        <v>1</v>
      </c>
      <c r="S872" s="5" t="n">
        <v>686</v>
      </c>
      <c r="T872" s="0" t="s">
        <v>271</v>
      </c>
      <c r="U872" s="0" t="n">
        <v>0</v>
      </c>
      <c r="V872" s="0" t="s">
        <v>230</v>
      </c>
      <c r="W872" s="0" t="s">
        <v>244</v>
      </c>
      <c r="X872" s="0" t="s">
        <v>232</v>
      </c>
      <c r="Y872" s="0" t="s">
        <v>260</v>
      </c>
      <c r="Z872" s="0" t="s">
        <v>3854</v>
      </c>
      <c r="AA872" s="0" t="s">
        <v>235</v>
      </c>
      <c r="AB872" s="32" t="n">
        <v>2650</v>
      </c>
      <c r="AC872" s="32" t="n">
        <v>2650</v>
      </c>
      <c r="AD872" s="26" t="n">
        <f aca="false">IFERROR(AB872/B872,"")</f>
        <v>3.86297376093294</v>
      </c>
      <c r="AE872" s="26" t="n">
        <f aca="false">IFERROR(AC872/B872,"")</f>
        <v>3.86297376093294</v>
      </c>
      <c r="AF872" s="0" t="s">
        <v>236</v>
      </c>
      <c r="AG872" s="0" t="s">
        <v>236</v>
      </c>
      <c r="AH872" s="0" t="s">
        <v>230</v>
      </c>
      <c r="AI872" s="0" t="s">
        <v>1556</v>
      </c>
      <c r="AJ872" s="0" t="s">
        <v>3855</v>
      </c>
      <c r="AK872" s="0" t="s">
        <v>3856</v>
      </c>
      <c r="AL872" s="0" t="s">
        <v>3857</v>
      </c>
      <c r="AM872" s="0" t="s">
        <v>94</v>
      </c>
      <c r="AN872" s="26" t="n">
        <f aca="false">IFERROR(E872*(1+IF(AM872="Apartment",Data_Summary!$C$3,0)),"")</f>
        <v>3.86297376093294</v>
      </c>
      <c r="AO872" s="4" t="n">
        <v>46195</v>
      </c>
    </row>
    <row r="873" customFormat="false" ht="15" hidden="false" customHeight="false" outlineLevel="0" collapsed="false">
      <c r="A873" s="0" t="n">
        <f aca="false">IF(AND(ISNUMBER(B873),B873&gt;0,ISNUMBER(AB873),AB873&gt;0,J873&gt;=Data_Summary!$C$1),1,0)</f>
        <v>1</v>
      </c>
      <c r="B873" s="33" t="n">
        <v>585</v>
      </c>
      <c r="C873" s="5" t="n">
        <f aca="false">IF(ISNUMBER(AB873),AB873,"")</f>
        <v>2400</v>
      </c>
      <c r="D873" s="0" t="n">
        <f aca="false">IF(ISNUMBER(C873),C873-U873*Data_Summary!$C$2,"")</f>
        <v>2400</v>
      </c>
      <c r="E873" s="34" t="n">
        <f aca="false">IFERROR(C873/B873,"")</f>
        <v>4.1025641025641</v>
      </c>
      <c r="F873" s="26" t="n">
        <f aca="false">IFERROR(D873/B873,"")</f>
        <v>4.1025641025641</v>
      </c>
      <c r="G873" s="0" t="str">
        <f aca="false">Q873</f>
        <v>1+1</v>
      </c>
      <c r="H873" s="0" t="str">
        <f aca="false">IFERROR(LEFT(G873,1),"")</f>
        <v>1</v>
      </c>
      <c r="I873" s="0" t="n">
        <f aca="false">IF(LEN(G873)&gt;1,1,0)</f>
        <v>1</v>
      </c>
      <c r="J873" s="4" t="n">
        <v>46183</v>
      </c>
      <c r="K873" s="0" t="s">
        <v>16</v>
      </c>
      <c r="L873" s="0" t="s">
        <v>106</v>
      </c>
      <c r="M873" s="0" t="s">
        <v>226</v>
      </c>
      <c r="N873" s="0" t="s">
        <v>93</v>
      </c>
      <c r="O873" s="0" t="s">
        <v>1461</v>
      </c>
      <c r="Q873" s="0" t="s">
        <v>270</v>
      </c>
      <c r="R873" s="0" t="n">
        <v>1</v>
      </c>
      <c r="S873" s="5" t="n">
        <v>585</v>
      </c>
      <c r="T873" s="0" t="s">
        <v>243</v>
      </c>
      <c r="U873" s="0" t="n">
        <v>0</v>
      </c>
      <c r="V873" s="0" t="s">
        <v>230</v>
      </c>
      <c r="W873" s="0" t="s">
        <v>244</v>
      </c>
      <c r="X873" s="0" t="s">
        <v>232</v>
      </c>
      <c r="Y873" s="0" t="s">
        <v>245</v>
      </c>
      <c r="Z873" s="0" t="s">
        <v>3854</v>
      </c>
      <c r="AA873" s="0" t="s">
        <v>235</v>
      </c>
      <c r="AB873" s="32" t="n">
        <v>2400</v>
      </c>
      <c r="AC873" s="32" t="n">
        <v>2400</v>
      </c>
      <c r="AD873" s="26" t="n">
        <f aca="false">IFERROR(AB873/B873,"")</f>
        <v>4.1025641025641</v>
      </c>
      <c r="AE873" s="26" t="n">
        <f aca="false">IFERROR(AC873/B873,"")</f>
        <v>4.1025641025641</v>
      </c>
      <c r="AF873" s="0" t="s">
        <v>236</v>
      </c>
      <c r="AG873" s="0" t="s">
        <v>236</v>
      </c>
      <c r="AH873" s="0" t="s">
        <v>230</v>
      </c>
      <c r="AI873" s="0" t="s">
        <v>273</v>
      </c>
      <c r="AJ873" s="0" t="s">
        <v>3858</v>
      </c>
      <c r="AK873" s="0" t="s">
        <v>3859</v>
      </c>
      <c r="AL873" s="0" t="s">
        <v>3860</v>
      </c>
      <c r="AM873" s="0" t="s">
        <v>94</v>
      </c>
      <c r="AN873" s="26" t="n">
        <f aca="false">IFERROR(E873*(1+IF(AM873="Apartment",Data_Summary!$C$3,0)),"")</f>
        <v>4.1025641025641</v>
      </c>
      <c r="AO873" s="4" t="n">
        <v>46195</v>
      </c>
    </row>
    <row r="874" customFormat="false" ht="15" hidden="false" customHeight="false" outlineLevel="0" collapsed="false">
      <c r="A874" s="0" t="n">
        <f aca="false">IF(AND(ISNUMBER(B874),B874&gt;0,ISNUMBER(AB874),AB874&gt;0,J874&gt;=Data_Summary!$C$1),1,0)</f>
        <v>1</v>
      </c>
      <c r="B874" s="30" t="n">
        <v>492</v>
      </c>
      <c r="C874" s="5" t="n">
        <f aca="false">IF(ISNUMBER(AB874),AB874,"")</f>
        <v>2200</v>
      </c>
      <c r="D874" s="0" t="n">
        <f aca="false">IF(ISNUMBER(C874),C874-U874*Data_Summary!$C$2,"")</f>
        <v>2200</v>
      </c>
      <c r="E874" s="31" t="n">
        <f aca="false">IFERROR(C874/B874,"")</f>
        <v>4.47154471544716</v>
      </c>
      <c r="F874" s="26" t="n">
        <f aca="false">IFERROR(D874/B874,"")</f>
        <v>4.47154471544716</v>
      </c>
      <c r="G874" s="0" t="str">
        <f aca="false">Q874</f>
        <v>1</v>
      </c>
      <c r="H874" s="0" t="str">
        <f aca="false">IFERROR(LEFT(G874,1),"")</f>
        <v>1</v>
      </c>
      <c r="I874" s="0" t="n">
        <f aca="false">IF(LEN(G874)&gt;1,1,0)</f>
        <v>0</v>
      </c>
      <c r="J874" s="4" t="n">
        <v>46171</v>
      </c>
      <c r="K874" s="0" t="s">
        <v>16</v>
      </c>
      <c r="L874" s="0" t="s">
        <v>106</v>
      </c>
      <c r="M874" s="0" t="s">
        <v>226</v>
      </c>
      <c r="N874" s="0" t="s">
        <v>93</v>
      </c>
      <c r="O874" s="0" t="s">
        <v>3861</v>
      </c>
      <c r="Q874" s="0" t="s">
        <v>242</v>
      </c>
      <c r="R874" s="0" t="n">
        <v>1</v>
      </c>
      <c r="S874" s="5" t="n">
        <v>492</v>
      </c>
      <c r="T874" s="0" t="s">
        <v>303</v>
      </c>
      <c r="U874" s="0" t="n">
        <v>0</v>
      </c>
      <c r="V874" s="0" t="s">
        <v>230</v>
      </c>
      <c r="W874" s="0" t="s">
        <v>244</v>
      </c>
      <c r="X874" s="0" t="s">
        <v>232</v>
      </c>
      <c r="Y874" s="0" t="s">
        <v>272</v>
      </c>
      <c r="Z874" s="0" t="s">
        <v>3854</v>
      </c>
      <c r="AA874" s="0" t="s">
        <v>235</v>
      </c>
      <c r="AB874" s="32" t="n">
        <v>2200</v>
      </c>
      <c r="AC874" s="32" t="n">
        <v>2200</v>
      </c>
      <c r="AD874" s="26" t="n">
        <f aca="false">IFERROR(AB874/B874,"")</f>
        <v>4.47154471544716</v>
      </c>
      <c r="AE874" s="26" t="n">
        <f aca="false">IFERROR(AC874/B874,"")</f>
        <v>4.47154471544716</v>
      </c>
      <c r="AF874" s="0" t="s">
        <v>236</v>
      </c>
      <c r="AG874" s="0" t="s">
        <v>236</v>
      </c>
      <c r="AH874" s="0" t="s">
        <v>230</v>
      </c>
      <c r="AI874" s="0" t="s">
        <v>344</v>
      </c>
      <c r="AJ874" s="0" t="s">
        <v>3862</v>
      </c>
      <c r="AK874" s="0" t="s">
        <v>3863</v>
      </c>
      <c r="AL874" s="0" t="s">
        <v>3864</v>
      </c>
      <c r="AM874" s="0" t="s">
        <v>94</v>
      </c>
      <c r="AN874" s="26" t="n">
        <f aca="false">IFERROR(E874*(1+IF(AM874="Apartment",Data_Summary!$C$3,0)),"")</f>
        <v>4.47154471544716</v>
      </c>
      <c r="AO874" s="4" t="n">
        <v>46195</v>
      </c>
    </row>
    <row r="875" customFormat="false" ht="15" hidden="false" customHeight="false" outlineLevel="0" collapsed="false">
      <c r="A875" s="0" t="n">
        <f aca="false">IF(AND(ISNUMBER(B875),B875&gt;0,ISNUMBER(AB875),AB875&gt;0,J875&gt;=Data_Summary!$C$1),1,0)</f>
        <v>1</v>
      </c>
      <c r="B875" s="33" t="n">
        <v>686</v>
      </c>
      <c r="C875" s="5" t="n">
        <f aca="false">IF(ISNUMBER(AB875),AB875,"")</f>
        <v>2795</v>
      </c>
      <c r="D875" s="0" t="n">
        <f aca="false">IF(ISNUMBER(C875),C875-U875*Data_Summary!$C$2,"")</f>
        <v>2645</v>
      </c>
      <c r="E875" s="34" t="n">
        <f aca="false">IFERROR(C875/B875,"")</f>
        <v>4.07434402332362</v>
      </c>
      <c r="F875" s="26" t="n">
        <f aca="false">IFERROR(D875/B875,"")</f>
        <v>3.85568513119534</v>
      </c>
      <c r="G875" s="0" t="str">
        <f aca="false">Q875</f>
        <v>2</v>
      </c>
      <c r="H875" s="0" t="str">
        <f aca="false">IFERROR(LEFT(G875,1),"")</f>
        <v>2</v>
      </c>
      <c r="I875" s="0" t="n">
        <f aca="false">IF(LEN(G875)&gt;1,1,0)</f>
        <v>0</v>
      </c>
      <c r="J875" s="4" t="n">
        <v>46167</v>
      </c>
      <c r="K875" s="0" t="s">
        <v>16</v>
      </c>
      <c r="L875" s="0" t="s">
        <v>106</v>
      </c>
      <c r="M875" s="0" t="s">
        <v>226</v>
      </c>
      <c r="N875" s="0" t="s">
        <v>93</v>
      </c>
      <c r="O875" s="0" t="s">
        <v>3865</v>
      </c>
      <c r="Q875" s="0" t="s">
        <v>251</v>
      </c>
      <c r="R875" s="0" t="n">
        <v>1</v>
      </c>
      <c r="S875" s="5" t="n">
        <v>686</v>
      </c>
      <c r="T875" s="0" t="s">
        <v>271</v>
      </c>
      <c r="U875" s="0" t="n">
        <v>1</v>
      </c>
      <c r="V875" s="0" t="s">
        <v>230</v>
      </c>
      <c r="W875" s="0" t="s">
        <v>244</v>
      </c>
      <c r="X875" s="0" t="s">
        <v>232</v>
      </c>
      <c r="Y875" s="0" t="s">
        <v>260</v>
      </c>
      <c r="Z875" s="0" t="s">
        <v>3854</v>
      </c>
      <c r="AA875" s="0" t="s">
        <v>235</v>
      </c>
      <c r="AB875" s="32" t="n">
        <v>2795</v>
      </c>
      <c r="AC875" s="32" t="n">
        <v>2795</v>
      </c>
      <c r="AD875" s="26" t="n">
        <f aca="false">IFERROR(AB875/B875,"")</f>
        <v>4.07434402332362</v>
      </c>
      <c r="AE875" s="26" t="n">
        <f aca="false">IFERROR(AC875/B875,"")</f>
        <v>4.07434402332362</v>
      </c>
      <c r="AF875" s="0" t="s">
        <v>236</v>
      </c>
      <c r="AG875" s="0" t="s">
        <v>236</v>
      </c>
      <c r="AH875" s="0" t="s">
        <v>230</v>
      </c>
      <c r="AI875" s="0" t="s">
        <v>363</v>
      </c>
      <c r="AJ875" s="0" t="s">
        <v>3866</v>
      </c>
      <c r="AK875" s="0" t="s">
        <v>3867</v>
      </c>
      <c r="AL875" s="0" t="s">
        <v>3868</v>
      </c>
      <c r="AM875" s="0" t="s">
        <v>94</v>
      </c>
      <c r="AN875" s="26" t="n">
        <f aca="false">IFERROR(E875*(1+IF(AM875="Apartment",Data_Summary!$C$3,0)),"")</f>
        <v>4.07434402332362</v>
      </c>
      <c r="AO875" s="4" t="n">
        <v>46195</v>
      </c>
    </row>
    <row r="876" customFormat="false" ht="15" hidden="false" customHeight="false" outlineLevel="0" collapsed="false">
      <c r="A876" s="0" t="n">
        <f aca="false">IF(AND(ISNUMBER(B876),B876&gt;0,ISNUMBER(AB876),AB876&gt;0,J876&gt;=Data_Summary!$C$1),1,0)</f>
        <v>1</v>
      </c>
      <c r="B876" s="33" t="n">
        <v>493</v>
      </c>
      <c r="C876" s="5" t="n">
        <f aca="false">IF(ISNUMBER(AB876),AB876,"")</f>
        <v>2150</v>
      </c>
      <c r="D876" s="0" t="n">
        <f aca="false">IF(ISNUMBER(C876),C876-U876*Data_Summary!$C$2,"")</f>
        <v>2150</v>
      </c>
      <c r="E876" s="34" t="n">
        <f aca="false">IFERROR(C876/B876,"")</f>
        <v>4.36105476673428</v>
      </c>
      <c r="F876" s="26" t="n">
        <f aca="false">IFERROR(D876/B876,"")</f>
        <v>4.36105476673428</v>
      </c>
      <c r="G876" s="0" t="str">
        <f aca="false">Q876</f>
        <v>1</v>
      </c>
      <c r="H876" s="0" t="str">
        <f aca="false">IFERROR(LEFT(G876,1),"")</f>
        <v>1</v>
      </c>
      <c r="I876" s="0" t="n">
        <f aca="false">IF(LEN(G876)&gt;1,1,0)</f>
        <v>0</v>
      </c>
      <c r="J876" s="4" t="n">
        <v>46165</v>
      </c>
      <c r="K876" s="0" t="s">
        <v>16</v>
      </c>
      <c r="L876" s="0" t="s">
        <v>106</v>
      </c>
      <c r="M876" s="0" t="s">
        <v>226</v>
      </c>
      <c r="N876" s="0" t="s">
        <v>93</v>
      </c>
      <c r="O876" s="0" t="s">
        <v>642</v>
      </c>
      <c r="Q876" s="0" t="s">
        <v>242</v>
      </c>
      <c r="R876" s="0" t="n">
        <v>1</v>
      </c>
      <c r="S876" s="5" t="n">
        <v>493</v>
      </c>
      <c r="T876" s="0" t="s">
        <v>303</v>
      </c>
      <c r="U876" s="0" t="n">
        <v>0</v>
      </c>
      <c r="V876" s="0" t="s">
        <v>230</v>
      </c>
      <c r="W876" s="0" t="s">
        <v>244</v>
      </c>
      <c r="X876" s="0" t="s">
        <v>232</v>
      </c>
      <c r="Y876" s="0" t="s">
        <v>272</v>
      </c>
      <c r="Z876" s="0" t="s">
        <v>3854</v>
      </c>
      <c r="AA876" s="0" t="s">
        <v>235</v>
      </c>
      <c r="AB876" s="32" t="n">
        <v>2150</v>
      </c>
      <c r="AC876" s="32" t="n">
        <v>2150</v>
      </c>
      <c r="AD876" s="26" t="n">
        <f aca="false">IFERROR(AB876/B876,"")</f>
        <v>4.36105476673428</v>
      </c>
      <c r="AE876" s="26" t="n">
        <f aca="false">IFERROR(AC876/B876,"")</f>
        <v>4.36105476673428</v>
      </c>
      <c r="AF876" s="0" t="s">
        <v>236</v>
      </c>
      <c r="AG876" s="0" t="s">
        <v>236</v>
      </c>
      <c r="AH876" s="0" t="s">
        <v>230</v>
      </c>
      <c r="AI876" s="0" t="s">
        <v>368</v>
      </c>
      <c r="AJ876" s="0" t="s">
        <v>3869</v>
      </c>
      <c r="AK876" s="0" t="s">
        <v>3870</v>
      </c>
      <c r="AL876" s="0" t="s">
        <v>3871</v>
      </c>
      <c r="AM876" s="0" t="s">
        <v>94</v>
      </c>
      <c r="AN876" s="26" t="n">
        <f aca="false">IFERROR(E876*(1+IF(AM876="Apartment",Data_Summary!$C$3,0)),"")</f>
        <v>4.36105476673428</v>
      </c>
      <c r="AO876" s="4" t="n">
        <v>46195</v>
      </c>
    </row>
    <row r="877" customFormat="false" ht="15" hidden="false" customHeight="false" outlineLevel="0" collapsed="false">
      <c r="A877" s="0" t="n">
        <f aca="false">IF(AND(ISNUMBER(B877),B877&gt;0,ISNUMBER(AB877),AB877&gt;0,J877&gt;=Data_Summary!$C$1),1,0)</f>
        <v>1</v>
      </c>
      <c r="B877" s="33" t="n">
        <v>505</v>
      </c>
      <c r="C877" s="5" t="n">
        <f aca="false">IF(ISNUMBER(AB877),AB877,"")</f>
        <v>2350</v>
      </c>
      <c r="D877" s="0" t="n">
        <f aca="false">IF(ISNUMBER(C877),C877-U877*Data_Summary!$C$2,"")</f>
        <v>2200</v>
      </c>
      <c r="E877" s="34" t="n">
        <f aca="false">IFERROR(C877/B877,"")</f>
        <v>4.65346534653465</v>
      </c>
      <c r="F877" s="26" t="n">
        <f aca="false">IFERROR(D877/B877,"")</f>
        <v>4.35643564356436</v>
      </c>
      <c r="G877" s="0" t="str">
        <f aca="false">Q877</f>
        <v>1</v>
      </c>
      <c r="H877" s="0" t="str">
        <f aca="false">IFERROR(LEFT(G877,1),"")</f>
        <v>1</v>
      </c>
      <c r="I877" s="0" t="n">
        <f aca="false">IF(LEN(G877)&gt;1,1,0)</f>
        <v>0</v>
      </c>
      <c r="J877" s="4" t="n">
        <v>46153</v>
      </c>
      <c r="K877" s="0" t="s">
        <v>16</v>
      </c>
      <c r="L877" s="0" t="s">
        <v>106</v>
      </c>
      <c r="M877" s="0" t="s">
        <v>226</v>
      </c>
      <c r="N877" s="0" t="s">
        <v>93</v>
      </c>
      <c r="O877" s="0" t="s">
        <v>2187</v>
      </c>
      <c r="Q877" s="0" t="s">
        <v>242</v>
      </c>
      <c r="R877" s="0" t="n">
        <v>1</v>
      </c>
      <c r="S877" s="5" t="n">
        <v>505</v>
      </c>
      <c r="T877" s="0" t="s">
        <v>243</v>
      </c>
      <c r="U877" s="0" t="n">
        <v>1</v>
      </c>
      <c r="V877" s="0" t="s">
        <v>230</v>
      </c>
      <c r="W877" s="0" t="s">
        <v>231</v>
      </c>
      <c r="X877" s="0" t="s">
        <v>232</v>
      </c>
      <c r="Y877" s="0" t="s">
        <v>308</v>
      </c>
      <c r="Z877" s="0" t="s">
        <v>3854</v>
      </c>
      <c r="AA877" s="0" t="s">
        <v>235</v>
      </c>
      <c r="AB877" s="32" t="n">
        <v>2350</v>
      </c>
      <c r="AC877" s="32" t="n">
        <v>2350</v>
      </c>
      <c r="AD877" s="26" t="n">
        <f aca="false">IFERROR(AB877/B877,"")</f>
        <v>4.65346534653465</v>
      </c>
      <c r="AE877" s="26" t="n">
        <f aca="false">IFERROR(AC877/B877,"")</f>
        <v>4.65346534653465</v>
      </c>
      <c r="AF877" s="0" t="s">
        <v>236</v>
      </c>
      <c r="AG877" s="0" t="s">
        <v>236</v>
      </c>
      <c r="AH877" s="0" t="s">
        <v>230</v>
      </c>
      <c r="AI877" s="0" t="s">
        <v>396</v>
      </c>
      <c r="AJ877" s="0" t="s">
        <v>3872</v>
      </c>
      <c r="AK877" s="0" t="s">
        <v>3873</v>
      </c>
      <c r="AL877" s="0" t="s">
        <v>3874</v>
      </c>
      <c r="AM877" s="0" t="s">
        <v>94</v>
      </c>
      <c r="AN877" s="26" t="n">
        <f aca="false">IFERROR(E877*(1+IF(AM877="Apartment",Data_Summary!$C$3,0)),"")</f>
        <v>4.65346534653465</v>
      </c>
      <c r="AO877" s="4" t="n">
        <v>46195</v>
      </c>
    </row>
    <row r="878" customFormat="false" ht="15" hidden="false" customHeight="false" outlineLevel="0" collapsed="false">
      <c r="A878" s="0" t="n">
        <f aca="false">IF(AND(ISNUMBER(B878),B878&gt;0,ISNUMBER(AB878),AB878&gt;0,J878&gt;=Data_Summary!$C$1),1,0)</f>
        <v>1</v>
      </c>
      <c r="B878" s="33" t="n">
        <v>826</v>
      </c>
      <c r="C878" s="5" t="n">
        <f aca="false">IF(ISNUMBER(AB878),AB878,"")</f>
        <v>3650</v>
      </c>
      <c r="D878" s="0" t="n">
        <f aca="false">IF(ISNUMBER(C878),C878-U878*Data_Summary!$C$2,"")</f>
        <v>3500</v>
      </c>
      <c r="E878" s="34" t="n">
        <f aca="false">IFERROR(C878/B878,"")</f>
        <v>4.41888619854722</v>
      </c>
      <c r="F878" s="26" t="n">
        <f aca="false">IFERROR(D878/B878,"")</f>
        <v>4.23728813559322</v>
      </c>
      <c r="G878" s="0" t="str">
        <f aca="false">Q878</f>
        <v>2</v>
      </c>
      <c r="H878" s="0" t="str">
        <f aca="false">IFERROR(LEFT(G878,1),"")</f>
        <v>2</v>
      </c>
      <c r="I878" s="0" t="n">
        <f aca="false">IF(LEN(G878)&gt;1,1,0)</f>
        <v>0</v>
      </c>
      <c r="J878" s="4" t="n">
        <v>46148</v>
      </c>
      <c r="K878" s="0" t="s">
        <v>16</v>
      </c>
      <c r="L878" s="0" t="s">
        <v>106</v>
      </c>
      <c r="M878" s="0" t="s">
        <v>226</v>
      </c>
      <c r="N878" s="0" t="s">
        <v>93</v>
      </c>
      <c r="O878" s="0" t="s">
        <v>497</v>
      </c>
      <c r="Q878" s="0" t="s">
        <v>251</v>
      </c>
      <c r="R878" s="0" t="n">
        <v>2</v>
      </c>
      <c r="S878" s="5" t="n">
        <v>826</v>
      </c>
      <c r="T878" s="0" t="s">
        <v>229</v>
      </c>
      <c r="U878" s="0" t="n">
        <v>1</v>
      </c>
      <c r="V878" s="0" t="s">
        <v>230</v>
      </c>
      <c r="W878" s="0" t="s">
        <v>244</v>
      </c>
      <c r="X878" s="0" t="s">
        <v>232</v>
      </c>
      <c r="Y878" s="0" t="s">
        <v>233</v>
      </c>
      <c r="Z878" s="0" t="s">
        <v>3854</v>
      </c>
      <c r="AA878" s="0" t="s">
        <v>235</v>
      </c>
      <c r="AB878" s="32" t="n">
        <v>3650</v>
      </c>
      <c r="AC878" s="32" t="n">
        <v>3650</v>
      </c>
      <c r="AD878" s="26" t="n">
        <f aca="false">IFERROR(AB878/B878,"")</f>
        <v>4.41888619854722</v>
      </c>
      <c r="AE878" s="26" t="n">
        <f aca="false">IFERROR(AC878/B878,"")</f>
        <v>4.41888619854722</v>
      </c>
      <c r="AF878" s="0" t="s">
        <v>236</v>
      </c>
      <c r="AG878" s="0" t="s">
        <v>236</v>
      </c>
      <c r="AH878" s="0" t="s">
        <v>230</v>
      </c>
      <c r="AI878" s="0" t="s">
        <v>406</v>
      </c>
      <c r="AJ878" s="0" t="s">
        <v>3875</v>
      </c>
      <c r="AK878" s="0" t="s">
        <v>3876</v>
      </c>
      <c r="AL878" s="0" t="s">
        <v>3877</v>
      </c>
      <c r="AM878" s="0" t="s">
        <v>94</v>
      </c>
      <c r="AN878" s="26" t="n">
        <f aca="false">IFERROR(E878*(1+IF(AM878="Apartment",Data_Summary!$C$3,0)),"")</f>
        <v>4.41888619854722</v>
      </c>
      <c r="AO878" s="4" t="n">
        <v>46195</v>
      </c>
    </row>
    <row r="879" customFormat="false" ht="15" hidden="false" customHeight="false" outlineLevel="0" collapsed="false">
      <c r="A879" s="0" t="n">
        <f aca="false">IF(AND(ISNUMBER(B879),B879&gt;0,ISNUMBER(AB879),AB879&gt;0,J879&gt;=Data_Summary!$C$1),1,0)</f>
        <v>1</v>
      </c>
      <c r="B879" s="33" t="n">
        <v>742</v>
      </c>
      <c r="C879" s="5" t="n">
        <f aca="false">IF(ISNUMBER(AB879),AB879,"")</f>
        <v>3090</v>
      </c>
      <c r="D879" s="0" t="n">
        <f aca="false">IF(ISNUMBER(C879),C879-U879*Data_Summary!$C$2,"")</f>
        <v>2940</v>
      </c>
      <c r="E879" s="34" t="n">
        <f aca="false">IFERROR(C879/B879,"")</f>
        <v>4.1644204851752</v>
      </c>
      <c r="F879" s="26" t="n">
        <f aca="false">IFERROR(D879/B879,"")</f>
        <v>3.9622641509434</v>
      </c>
      <c r="G879" s="0" t="str">
        <f aca="false">Q879</f>
        <v>2</v>
      </c>
      <c r="H879" s="0" t="str">
        <f aca="false">IFERROR(LEFT(G879,1),"")</f>
        <v>2</v>
      </c>
      <c r="I879" s="0" t="n">
        <f aca="false">IF(LEN(G879)&gt;1,1,0)</f>
        <v>0</v>
      </c>
      <c r="J879" s="4" t="n">
        <v>46139</v>
      </c>
      <c r="K879" s="0" t="s">
        <v>16</v>
      </c>
      <c r="L879" s="0" t="s">
        <v>106</v>
      </c>
      <c r="M879" s="0" t="s">
        <v>226</v>
      </c>
      <c r="N879" s="0" t="s">
        <v>93</v>
      </c>
      <c r="O879" s="0" t="s">
        <v>2085</v>
      </c>
      <c r="Q879" s="0" t="s">
        <v>251</v>
      </c>
      <c r="R879" s="0" t="n">
        <v>1</v>
      </c>
      <c r="S879" s="5" t="n">
        <v>742</v>
      </c>
      <c r="T879" s="0" t="s">
        <v>252</v>
      </c>
      <c r="U879" s="0" t="n">
        <v>1</v>
      </c>
      <c r="V879" s="0" t="s">
        <v>230</v>
      </c>
      <c r="W879" s="0" t="s">
        <v>231</v>
      </c>
      <c r="X879" s="0" t="s">
        <v>232</v>
      </c>
      <c r="Y879" s="0" t="s">
        <v>297</v>
      </c>
      <c r="Z879" s="0" t="s">
        <v>3854</v>
      </c>
      <c r="AA879" s="0" t="s">
        <v>235</v>
      </c>
      <c r="AB879" s="32" t="n">
        <v>3090</v>
      </c>
      <c r="AC879" s="32" t="n">
        <v>3090</v>
      </c>
      <c r="AD879" s="26" t="n">
        <f aca="false">IFERROR(AB879/B879,"")</f>
        <v>4.1644204851752</v>
      </c>
      <c r="AE879" s="26" t="n">
        <f aca="false">IFERROR(AC879/B879,"")</f>
        <v>4.1644204851752</v>
      </c>
      <c r="AF879" s="0" t="s">
        <v>236</v>
      </c>
      <c r="AG879" s="0" t="s">
        <v>236</v>
      </c>
      <c r="AH879" s="0" t="s">
        <v>230</v>
      </c>
      <c r="AI879" s="0" t="s">
        <v>427</v>
      </c>
      <c r="AJ879" s="0" t="s">
        <v>3878</v>
      </c>
      <c r="AK879" s="0" t="s">
        <v>3879</v>
      </c>
      <c r="AL879" s="0" t="s">
        <v>3880</v>
      </c>
      <c r="AM879" s="0" t="s">
        <v>94</v>
      </c>
      <c r="AN879" s="26" t="n">
        <f aca="false">IFERROR(E879*(1+IF(AM879="Apartment",Data_Summary!$C$3,0)),"")</f>
        <v>4.1644204851752</v>
      </c>
      <c r="AO879" s="4" t="n">
        <v>46195</v>
      </c>
    </row>
    <row r="880" customFormat="false" ht="15" hidden="false" customHeight="false" outlineLevel="0" collapsed="false">
      <c r="A880" s="0" t="n">
        <f aca="false">IF(AND(ISNUMBER(B880),B880&gt;0,ISNUMBER(AB880),AB880&gt;0,J880&gt;=Data_Summary!$C$1),1,0)</f>
        <v>1</v>
      </c>
      <c r="B880" s="30" t="n">
        <v>492</v>
      </c>
      <c r="C880" s="5" t="n">
        <f aca="false">IF(ISNUMBER(AB880),AB880,"")</f>
        <v>2100</v>
      </c>
      <c r="D880" s="0" t="n">
        <f aca="false">IF(ISNUMBER(C880),C880-U880*Data_Summary!$C$2,"")</f>
        <v>2100</v>
      </c>
      <c r="E880" s="31" t="n">
        <f aca="false">IFERROR(C880/B880,"")</f>
        <v>4.26829268292683</v>
      </c>
      <c r="F880" s="26" t="n">
        <f aca="false">IFERROR(D880/B880,"")</f>
        <v>4.26829268292683</v>
      </c>
      <c r="G880" s="0" t="str">
        <f aca="false">Q880</f>
        <v>1</v>
      </c>
      <c r="H880" s="0" t="str">
        <f aca="false">IFERROR(LEFT(G880,1),"")</f>
        <v>1</v>
      </c>
      <c r="I880" s="0" t="n">
        <f aca="false">IF(LEN(G880)&gt;1,1,0)</f>
        <v>0</v>
      </c>
      <c r="J880" s="4" t="n">
        <v>46132</v>
      </c>
      <c r="K880" s="0" t="s">
        <v>16</v>
      </c>
      <c r="L880" s="0" t="s">
        <v>106</v>
      </c>
      <c r="M880" s="0" t="s">
        <v>226</v>
      </c>
      <c r="N880" s="0" t="s">
        <v>93</v>
      </c>
      <c r="O880" s="0" t="s">
        <v>2456</v>
      </c>
      <c r="Q880" s="0" t="s">
        <v>242</v>
      </c>
      <c r="R880" s="0" t="n">
        <v>1</v>
      </c>
      <c r="S880" s="5" t="n">
        <v>492</v>
      </c>
      <c r="T880" s="0" t="s">
        <v>303</v>
      </c>
      <c r="U880" s="0" t="n">
        <v>0</v>
      </c>
      <c r="V880" s="0" t="s">
        <v>230</v>
      </c>
      <c r="W880" s="0" t="s">
        <v>231</v>
      </c>
      <c r="X880" s="0" t="s">
        <v>232</v>
      </c>
      <c r="Y880" s="0" t="s">
        <v>272</v>
      </c>
      <c r="Z880" s="0" t="s">
        <v>3854</v>
      </c>
      <c r="AA880" s="0" t="s">
        <v>235</v>
      </c>
      <c r="AB880" s="32" t="n">
        <v>2100</v>
      </c>
      <c r="AC880" s="32" t="n">
        <v>2050</v>
      </c>
      <c r="AD880" s="26" t="n">
        <f aca="false">IFERROR(AB880/B880,"")</f>
        <v>4.26829268292683</v>
      </c>
      <c r="AE880" s="26" t="n">
        <f aca="false">IFERROR(AC880/B880,"")</f>
        <v>4.16666666666667</v>
      </c>
      <c r="AF880" s="0" t="s">
        <v>236</v>
      </c>
      <c r="AG880" s="0" t="s">
        <v>236</v>
      </c>
      <c r="AH880" s="0" t="s">
        <v>230</v>
      </c>
      <c r="AI880" s="0" t="s">
        <v>1671</v>
      </c>
      <c r="AJ880" s="0" t="s">
        <v>3881</v>
      </c>
      <c r="AK880" s="0" t="s">
        <v>3882</v>
      </c>
      <c r="AL880" s="0" t="s">
        <v>3883</v>
      </c>
      <c r="AM880" s="0" t="s">
        <v>94</v>
      </c>
      <c r="AN880" s="26" t="n">
        <f aca="false">IFERROR(E880*(1+IF(AM880="Apartment",Data_Summary!$C$3,0)),"")</f>
        <v>4.26829268292683</v>
      </c>
      <c r="AO880" s="4" t="n">
        <v>46195</v>
      </c>
    </row>
    <row r="881" customFormat="false" ht="15" hidden="false" customHeight="false" outlineLevel="0" collapsed="false">
      <c r="A881" s="0" t="n">
        <f aca="false">IF(AND(ISNUMBER(B881),B881&gt;0,ISNUMBER(AB881),AB881&gt;0,J881&gt;=Data_Summary!$C$1),1,0)</f>
        <v>1</v>
      </c>
      <c r="B881" s="30" t="n">
        <v>492</v>
      </c>
      <c r="C881" s="5" t="n">
        <f aca="false">IF(ISNUMBER(AB881),AB881,"")</f>
        <v>2170</v>
      </c>
      <c r="D881" s="0" t="n">
        <f aca="false">IF(ISNUMBER(C881),C881-U881*Data_Summary!$C$2,"")</f>
        <v>2020</v>
      </c>
      <c r="E881" s="31" t="n">
        <f aca="false">IFERROR(C881/B881,"")</f>
        <v>4.41056910569106</v>
      </c>
      <c r="F881" s="26" t="n">
        <f aca="false">IFERROR(D881/B881,"")</f>
        <v>4.10569105691057</v>
      </c>
      <c r="G881" s="0" t="str">
        <f aca="false">Q881</f>
        <v>1</v>
      </c>
      <c r="H881" s="0" t="str">
        <f aca="false">IFERROR(LEFT(G881,1),"")</f>
        <v>1</v>
      </c>
      <c r="I881" s="0" t="n">
        <f aca="false">IF(LEN(G881)&gt;1,1,0)</f>
        <v>0</v>
      </c>
      <c r="J881" s="4" t="n">
        <v>46115</v>
      </c>
      <c r="K881" s="0" t="s">
        <v>16</v>
      </c>
      <c r="L881" s="0" t="s">
        <v>106</v>
      </c>
      <c r="M881" s="0" t="s">
        <v>226</v>
      </c>
      <c r="N881" s="0" t="s">
        <v>93</v>
      </c>
      <c r="O881" s="0" t="s">
        <v>1379</v>
      </c>
      <c r="Q881" s="0" t="s">
        <v>242</v>
      </c>
      <c r="R881" s="0" t="n">
        <v>1</v>
      </c>
      <c r="S881" s="5" t="n">
        <v>492</v>
      </c>
      <c r="T881" s="0" t="s">
        <v>303</v>
      </c>
      <c r="U881" s="0" t="n">
        <v>1</v>
      </c>
      <c r="V881" s="0" t="s">
        <v>230</v>
      </c>
      <c r="W881" s="0" t="s">
        <v>231</v>
      </c>
      <c r="Y881" s="0" t="s">
        <v>272</v>
      </c>
      <c r="Z881" s="0" t="s">
        <v>3854</v>
      </c>
      <c r="AA881" s="0" t="s">
        <v>235</v>
      </c>
      <c r="AB881" s="32" t="n">
        <v>2170</v>
      </c>
      <c r="AC881" s="32" t="n">
        <v>2200</v>
      </c>
      <c r="AD881" s="26" t="n">
        <f aca="false">IFERROR(AB881/B881,"")</f>
        <v>4.41056910569106</v>
      </c>
      <c r="AE881" s="26" t="n">
        <f aca="false">IFERROR(AC881/B881,"")</f>
        <v>4.47154471544716</v>
      </c>
      <c r="AF881" s="0" t="s">
        <v>236</v>
      </c>
      <c r="AG881" s="0" t="s">
        <v>236</v>
      </c>
      <c r="AH881" s="0" t="s">
        <v>230</v>
      </c>
      <c r="AI881" s="0" t="s">
        <v>1716</v>
      </c>
      <c r="AJ881" s="0" t="s">
        <v>3884</v>
      </c>
      <c r="AK881" s="0" t="s">
        <v>3885</v>
      </c>
      <c r="AL881" s="0" t="s">
        <v>3886</v>
      </c>
      <c r="AM881" s="0" t="s">
        <v>94</v>
      </c>
      <c r="AN881" s="26" t="n">
        <f aca="false">IFERROR(E881*(1+IF(AM881="Apartment",Data_Summary!$C$3,0)),"")</f>
        <v>4.41056910569106</v>
      </c>
      <c r="AO881" s="4" t="n">
        <v>46195</v>
      </c>
    </row>
    <row r="882" customFormat="false" ht="15" hidden="false" customHeight="false" outlineLevel="0" collapsed="false">
      <c r="A882" s="0" t="n">
        <f aca="false">IF(AND(ISNUMBER(B882),B882&gt;0,ISNUMBER(AB882),AB882&gt;0,J882&gt;=Data_Summary!$C$1),1,0)</f>
        <v>1</v>
      </c>
      <c r="B882" s="33" t="n">
        <v>403</v>
      </c>
      <c r="C882" s="5" t="n">
        <f aca="false">IF(ISNUMBER(AB882),AB882,"")</f>
        <v>1900</v>
      </c>
      <c r="D882" s="0" t="n">
        <f aca="false">IF(ISNUMBER(C882),C882-U882*Data_Summary!$C$2,"")</f>
        <v>1900</v>
      </c>
      <c r="E882" s="34" t="n">
        <f aca="false">IFERROR(C882/B882,"")</f>
        <v>4.71464019851117</v>
      </c>
      <c r="F882" s="26" t="n">
        <f aca="false">IFERROR(D882/B882,"")</f>
        <v>4.71464019851117</v>
      </c>
      <c r="G882" s="0" t="str">
        <f aca="false">Q882</f>
        <v>1</v>
      </c>
      <c r="H882" s="0" t="str">
        <f aca="false">IFERROR(LEFT(G882,1),"")</f>
        <v>1</v>
      </c>
      <c r="I882" s="0" t="n">
        <f aca="false">IF(LEN(G882)&gt;1,1,0)</f>
        <v>0</v>
      </c>
      <c r="J882" s="4" t="n">
        <v>46100</v>
      </c>
      <c r="K882" s="0" t="s">
        <v>16</v>
      </c>
      <c r="L882" s="0" t="s">
        <v>106</v>
      </c>
      <c r="M882" s="0" t="s">
        <v>226</v>
      </c>
      <c r="N882" s="0" t="s">
        <v>93</v>
      </c>
      <c r="O882" s="0" t="s">
        <v>3471</v>
      </c>
      <c r="Q882" s="0" t="s">
        <v>242</v>
      </c>
      <c r="R882" s="0" t="n">
        <v>1</v>
      </c>
      <c r="S882" s="5" t="n">
        <v>403</v>
      </c>
      <c r="T882" s="0" t="s">
        <v>303</v>
      </c>
      <c r="U882" s="0" t="n">
        <v>0</v>
      </c>
      <c r="V882" s="0" t="s">
        <v>230</v>
      </c>
      <c r="W882" s="0" t="s">
        <v>244</v>
      </c>
      <c r="X882" s="0" t="s">
        <v>232</v>
      </c>
      <c r="Y882" s="0" t="s">
        <v>272</v>
      </c>
      <c r="Z882" s="0" t="s">
        <v>3854</v>
      </c>
      <c r="AA882" s="0" t="s">
        <v>235</v>
      </c>
      <c r="AB882" s="32" t="n">
        <v>1900</v>
      </c>
      <c r="AC882" s="32" t="n">
        <v>2000</v>
      </c>
      <c r="AD882" s="26" t="n">
        <f aca="false">IFERROR(AB882/B882,"")</f>
        <v>4.71464019851117</v>
      </c>
      <c r="AE882" s="26" t="n">
        <f aca="false">IFERROR(AC882/B882,"")</f>
        <v>4.96277915632754</v>
      </c>
      <c r="AF882" s="0" t="s">
        <v>236</v>
      </c>
      <c r="AG882" s="0" t="s">
        <v>236</v>
      </c>
      <c r="AH882" s="0" t="s">
        <v>230</v>
      </c>
      <c r="AI882" s="0" t="s">
        <v>1752</v>
      </c>
      <c r="AJ882" s="0" t="s">
        <v>3887</v>
      </c>
      <c r="AK882" s="0" t="s">
        <v>3888</v>
      </c>
      <c r="AL882" s="0" t="s">
        <v>3889</v>
      </c>
      <c r="AM882" s="0" t="s">
        <v>94</v>
      </c>
      <c r="AN882" s="26" t="n">
        <f aca="false">IFERROR(E882*(1+IF(AM882="Apartment",Data_Summary!$C$3,0)),"")</f>
        <v>4.71464019851117</v>
      </c>
      <c r="AO882" s="4" t="n">
        <v>46195</v>
      </c>
    </row>
    <row r="883" customFormat="false" ht="15" hidden="false" customHeight="false" outlineLevel="0" collapsed="false">
      <c r="A883" s="0" t="n">
        <f aca="false">IF(AND(ISNUMBER(B883),B883&gt;0,ISNUMBER(AB883),AB883&gt;0,J883&gt;=Data_Summary!$C$1),1,0)</f>
        <v>1</v>
      </c>
      <c r="B883" s="33" t="n">
        <v>403</v>
      </c>
      <c r="C883" s="5" t="n">
        <f aca="false">IF(ISNUMBER(AB883),AB883,"")</f>
        <v>1900</v>
      </c>
      <c r="D883" s="0" t="n">
        <f aca="false">IF(ISNUMBER(C883),C883-U883*Data_Summary!$C$2,"")</f>
        <v>1900</v>
      </c>
      <c r="E883" s="34" t="n">
        <f aca="false">IFERROR(C883/B883,"")</f>
        <v>4.71464019851117</v>
      </c>
      <c r="F883" s="26" t="n">
        <f aca="false">IFERROR(D883/B883,"")</f>
        <v>4.71464019851117</v>
      </c>
      <c r="G883" s="0" t="str">
        <f aca="false">Q883</f>
        <v>1</v>
      </c>
      <c r="H883" s="0" t="str">
        <f aca="false">IFERROR(LEFT(G883,1),"")</f>
        <v>1</v>
      </c>
      <c r="I883" s="0" t="n">
        <f aca="false">IF(LEN(G883)&gt;1,1,0)</f>
        <v>0</v>
      </c>
      <c r="J883" s="4" t="n">
        <v>46095</v>
      </c>
      <c r="K883" s="0" t="s">
        <v>16</v>
      </c>
      <c r="L883" s="0" t="s">
        <v>106</v>
      </c>
      <c r="M883" s="0" t="s">
        <v>226</v>
      </c>
      <c r="N883" s="0" t="s">
        <v>93</v>
      </c>
      <c r="O883" s="0" t="s">
        <v>3890</v>
      </c>
      <c r="Q883" s="0" t="s">
        <v>242</v>
      </c>
      <c r="R883" s="0" t="n">
        <v>1</v>
      </c>
      <c r="S883" s="5" t="n">
        <v>403</v>
      </c>
      <c r="T883" s="0" t="s">
        <v>303</v>
      </c>
      <c r="U883" s="0" t="n">
        <v>0</v>
      </c>
      <c r="V883" s="0" t="s">
        <v>230</v>
      </c>
      <c r="W883" s="0" t="s">
        <v>244</v>
      </c>
      <c r="X883" s="0" t="s">
        <v>232</v>
      </c>
      <c r="Y883" s="0" t="s">
        <v>272</v>
      </c>
      <c r="Z883" s="0" t="s">
        <v>3854</v>
      </c>
      <c r="AA883" s="0" t="s">
        <v>235</v>
      </c>
      <c r="AB883" s="32" t="n">
        <v>1900</v>
      </c>
      <c r="AC883" s="32" t="n">
        <v>2000</v>
      </c>
      <c r="AD883" s="26" t="n">
        <f aca="false">IFERROR(AB883/B883,"")</f>
        <v>4.71464019851117</v>
      </c>
      <c r="AE883" s="26" t="n">
        <f aca="false">IFERROR(AC883/B883,"")</f>
        <v>4.96277915632754</v>
      </c>
      <c r="AF883" s="0" t="s">
        <v>236</v>
      </c>
      <c r="AG883" s="0" t="s">
        <v>236</v>
      </c>
      <c r="AH883" s="0" t="s">
        <v>230</v>
      </c>
      <c r="AI883" s="0" t="s">
        <v>535</v>
      </c>
      <c r="AJ883" s="0" t="s">
        <v>3891</v>
      </c>
      <c r="AK883" s="0" t="s">
        <v>3892</v>
      </c>
      <c r="AL883" s="0" t="s">
        <v>3893</v>
      </c>
      <c r="AM883" s="0" t="s">
        <v>94</v>
      </c>
      <c r="AN883" s="26" t="n">
        <f aca="false">IFERROR(E883*(1+IF(AM883="Apartment",Data_Summary!$C$3,0)),"")</f>
        <v>4.71464019851117</v>
      </c>
      <c r="AO883" s="4" t="n">
        <v>46195</v>
      </c>
    </row>
    <row r="884" customFormat="false" ht="15" hidden="false" customHeight="false" outlineLevel="0" collapsed="false">
      <c r="A884" s="0" t="n">
        <f aca="false">IF(AND(ISNUMBER(B884),B884&gt;0,ISNUMBER(AB884),AB884&gt;0,J884&gt;=Data_Summary!$C$1),1,0)</f>
        <v>1</v>
      </c>
      <c r="B884" s="33" t="n">
        <v>403</v>
      </c>
      <c r="C884" s="5" t="n">
        <f aca="false">IF(ISNUMBER(AB884),AB884,"")</f>
        <v>2100</v>
      </c>
      <c r="D884" s="0" t="n">
        <f aca="false">IF(ISNUMBER(C884),C884-U884*Data_Summary!$C$2,"")</f>
        <v>1950</v>
      </c>
      <c r="E884" s="34" t="n">
        <f aca="false">IFERROR(C884/B884,"")</f>
        <v>5.21091811414392</v>
      </c>
      <c r="F884" s="26" t="n">
        <f aca="false">IFERROR(D884/B884,"")</f>
        <v>4.83870967741936</v>
      </c>
      <c r="G884" s="0" t="str">
        <f aca="false">Q884</f>
        <v>1</v>
      </c>
      <c r="H884" s="0" t="str">
        <f aca="false">IFERROR(LEFT(G884,1),"")</f>
        <v>1</v>
      </c>
      <c r="I884" s="0" t="n">
        <f aca="false">IF(LEN(G884)&gt;1,1,0)</f>
        <v>0</v>
      </c>
      <c r="J884" s="4" t="n">
        <v>46094</v>
      </c>
      <c r="K884" s="0" t="s">
        <v>16</v>
      </c>
      <c r="L884" s="0" t="s">
        <v>106</v>
      </c>
      <c r="M884" s="0" t="s">
        <v>226</v>
      </c>
      <c r="N884" s="0" t="s">
        <v>93</v>
      </c>
      <c r="O884" s="0" t="s">
        <v>3894</v>
      </c>
      <c r="Q884" s="0" t="s">
        <v>242</v>
      </c>
      <c r="R884" s="0" t="n">
        <v>1</v>
      </c>
      <c r="S884" s="5" t="n">
        <v>403</v>
      </c>
      <c r="T884" s="0" t="s">
        <v>303</v>
      </c>
      <c r="U884" s="0" t="n">
        <v>1</v>
      </c>
      <c r="V884" s="0" t="s">
        <v>230</v>
      </c>
      <c r="W884" s="0" t="s">
        <v>231</v>
      </c>
      <c r="X884" s="0" t="s">
        <v>232</v>
      </c>
      <c r="Y884" s="0" t="s">
        <v>272</v>
      </c>
      <c r="Z884" s="0" t="s">
        <v>3854</v>
      </c>
      <c r="AA884" s="0" t="s">
        <v>235</v>
      </c>
      <c r="AB884" s="32" t="n">
        <v>2100</v>
      </c>
      <c r="AC884" s="32" t="n">
        <v>2100</v>
      </c>
      <c r="AD884" s="26" t="n">
        <f aca="false">IFERROR(AB884/B884,"")</f>
        <v>5.21091811414392</v>
      </c>
      <c r="AE884" s="26" t="n">
        <f aca="false">IFERROR(AC884/B884,"")</f>
        <v>5.21091811414392</v>
      </c>
      <c r="AF884" s="0" t="s">
        <v>236</v>
      </c>
      <c r="AG884" s="0" t="s">
        <v>236</v>
      </c>
      <c r="AH884" s="0" t="s">
        <v>230</v>
      </c>
      <c r="AI884" s="0" t="s">
        <v>2791</v>
      </c>
      <c r="AJ884" s="0" t="s">
        <v>3895</v>
      </c>
      <c r="AK884" s="0" t="s">
        <v>3896</v>
      </c>
      <c r="AL884" s="0" t="s">
        <v>3897</v>
      </c>
      <c r="AM884" s="0" t="s">
        <v>94</v>
      </c>
      <c r="AN884" s="26" t="n">
        <f aca="false">IFERROR(E884*(1+IF(AM884="Apartment",Data_Summary!$C$3,0)),"")</f>
        <v>5.21091811414392</v>
      </c>
      <c r="AO884" s="4" t="n">
        <v>46195</v>
      </c>
    </row>
    <row r="885" customFormat="false" ht="15" hidden="false" customHeight="false" outlineLevel="0" collapsed="false">
      <c r="A885" s="0" t="n">
        <f aca="false">IF(AND(ISNUMBER(B885),B885&gt;0,ISNUMBER(AB885),AB885&gt;0,J885&gt;=Data_Summary!$C$1),1,0)</f>
        <v>1</v>
      </c>
      <c r="B885" s="33" t="n">
        <v>505</v>
      </c>
      <c r="C885" s="5" t="n">
        <f aca="false">IF(ISNUMBER(AB885),AB885,"")</f>
        <v>2300</v>
      </c>
      <c r="D885" s="0" t="n">
        <f aca="false">IF(ISNUMBER(C885),C885-U885*Data_Summary!$C$2,"")</f>
        <v>2150</v>
      </c>
      <c r="E885" s="34" t="n">
        <f aca="false">IFERROR(C885/B885,"")</f>
        <v>4.55445544554455</v>
      </c>
      <c r="F885" s="26" t="n">
        <f aca="false">IFERROR(D885/B885,"")</f>
        <v>4.25742574257426</v>
      </c>
      <c r="G885" s="0" t="str">
        <f aca="false">Q885</f>
        <v>1</v>
      </c>
      <c r="H885" s="0" t="str">
        <f aca="false">IFERROR(LEFT(G885,1),"")</f>
        <v>1</v>
      </c>
      <c r="I885" s="0" t="n">
        <f aca="false">IF(LEN(G885)&gt;1,1,0)</f>
        <v>0</v>
      </c>
      <c r="J885" s="4" t="n">
        <v>46076</v>
      </c>
      <c r="K885" s="0" t="s">
        <v>16</v>
      </c>
      <c r="L885" s="0" t="s">
        <v>106</v>
      </c>
      <c r="M885" s="0" t="s">
        <v>226</v>
      </c>
      <c r="N885" s="0" t="s">
        <v>93</v>
      </c>
      <c r="O885" s="0" t="s">
        <v>1740</v>
      </c>
      <c r="Q885" s="0" t="s">
        <v>242</v>
      </c>
      <c r="R885" s="0" t="n">
        <v>1</v>
      </c>
      <c r="S885" s="5" t="n">
        <v>505</v>
      </c>
      <c r="T885" s="0" t="s">
        <v>243</v>
      </c>
      <c r="U885" s="0" t="n">
        <v>1</v>
      </c>
      <c r="V885" s="0" t="s">
        <v>230</v>
      </c>
      <c r="W885" s="0" t="s">
        <v>244</v>
      </c>
      <c r="X885" s="0" t="s">
        <v>232</v>
      </c>
      <c r="Y885" s="0" t="s">
        <v>308</v>
      </c>
      <c r="Z885" s="0" t="s">
        <v>3854</v>
      </c>
      <c r="AA885" s="0" t="s">
        <v>235</v>
      </c>
      <c r="AB885" s="32" t="n">
        <v>2300</v>
      </c>
      <c r="AC885" s="32" t="n">
        <v>2300</v>
      </c>
      <c r="AD885" s="26" t="n">
        <f aca="false">IFERROR(AB885/B885,"")</f>
        <v>4.55445544554455</v>
      </c>
      <c r="AE885" s="26" t="n">
        <f aca="false">IFERROR(AC885/B885,"")</f>
        <v>4.55445544554455</v>
      </c>
      <c r="AF885" s="0" t="s">
        <v>236</v>
      </c>
      <c r="AG885" s="0" t="s">
        <v>236</v>
      </c>
      <c r="AH885" s="0" t="s">
        <v>230</v>
      </c>
      <c r="AI885" s="0" t="s">
        <v>604</v>
      </c>
      <c r="AJ885" s="0" t="s">
        <v>3898</v>
      </c>
      <c r="AK885" s="0" t="s">
        <v>3899</v>
      </c>
      <c r="AL885" s="0" t="s">
        <v>3900</v>
      </c>
      <c r="AM885" s="0" t="s">
        <v>94</v>
      </c>
      <c r="AN885" s="26" t="n">
        <f aca="false">IFERROR(E885*(1+IF(AM885="Apartment",Data_Summary!$C$3,0)),"")</f>
        <v>4.55445544554455</v>
      </c>
      <c r="AO885" s="4" t="n">
        <v>46195</v>
      </c>
    </row>
    <row r="886" customFormat="false" ht="15" hidden="false" customHeight="false" outlineLevel="0" collapsed="false">
      <c r="A886" s="0" t="n">
        <f aca="false">IF(AND(ISNUMBER(B886),B886&gt;0,ISNUMBER(AB886),AB886&gt;0,J886&gt;=Data_Summary!$C$1),1,0)</f>
        <v>1</v>
      </c>
      <c r="B886" s="33" t="n">
        <v>742</v>
      </c>
      <c r="C886" s="5" t="n">
        <f aca="false">IF(ISNUMBER(AB886),AB886,"")</f>
        <v>3000</v>
      </c>
      <c r="D886" s="0" t="n">
        <f aca="false">IF(ISNUMBER(C886),C886-U886*Data_Summary!$C$2,"")</f>
        <v>2850</v>
      </c>
      <c r="E886" s="34" t="n">
        <f aca="false">IFERROR(C886/B886,"")</f>
        <v>4.04312668463612</v>
      </c>
      <c r="F886" s="26" t="n">
        <f aca="false">IFERROR(D886/B886,"")</f>
        <v>3.84097035040431</v>
      </c>
      <c r="G886" s="0" t="str">
        <f aca="false">Q886</f>
        <v>2</v>
      </c>
      <c r="H886" s="0" t="str">
        <f aca="false">IFERROR(LEFT(G886,1),"")</f>
        <v>2</v>
      </c>
      <c r="I886" s="0" t="n">
        <f aca="false">IF(LEN(G886)&gt;1,1,0)</f>
        <v>0</v>
      </c>
      <c r="J886" s="4" t="n">
        <v>46076</v>
      </c>
      <c r="K886" s="0" t="s">
        <v>16</v>
      </c>
      <c r="L886" s="0" t="s">
        <v>106</v>
      </c>
      <c r="M886" s="0" t="s">
        <v>226</v>
      </c>
      <c r="N886" s="0" t="s">
        <v>93</v>
      </c>
      <c r="O886" s="0" t="s">
        <v>3901</v>
      </c>
      <c r="Q886" s="0" t="s">
        <v>251</v>
      </c>
      <c r="R886" s="0" t="n">
        <v>2</v>
      </c>
      <c r="S886" s="5" t="n">
        <v>742</v>
      </c>
      <c r="T886" s="0" t="s">
        <v>252</v>
      </c>
      <c r="U886" s="0" t="n">
        <v>1</v>
      </c>
      <c r="V886" s="0" t="s">
        <v>230</v>
      </c>
      <c r="W886" s="0" t="s">
        <v>244</v>
      </c>
      <c r="X886" s="0" t="s">
        <v>232</v>
      </c>
      <c r="Y886" s="0" t="s">
        <v>297</v>
      </c>
      <c r="Z886" s="0" t="s">
        <v>3854</v>
      </c>
      <c r="AA886" s="0" t="s">
        <v>235</v>
      </c>
      <c r="AB886" s="32" t="n">
        <v>3000</v>
      </c>
      <c r="AC886" s="32" t="n">
        <v>3000</v>
      </c>
      <c r="AD886" s="26" t="n">
        <f aca="false">IFERROR(AB886/B886,"")</f>
        <v>4.04312668463612</v>
      </c>
      <c r="AE886" s="26" t="n">
        <f aca="false">IFERROR(AC886/B886,"")</f>
        <v>4.04312668463612</v>
      </c>
      <c r="AF886" s="0" t="s">
        <v>230</v>
      </c>
      <c r="AG886" s="0" t="s">
        <v>236</v>
      </c>
      <c r="AH886" s="0" t="s">
        <v>230</v>
      </c>
      <c r="AI886" s="0" t="s">
        <v>604</v>
      </c>
      <c r="AJ886" s="0" t="s">
        <v>3902</v>
      </c>
      <c r="AK886" s="0" t="s">
        <v>3903</v>
      </c>
      <c r="AL886" s="0" t="s">
        <v>3904</v>
      </c>
      <c r="AM886" s="0" t="s">
        <v>94</v>
      </c>
      <c r="AN886" s="26" t="n">
        <f aca="false">IFERROR(E886*(1+IF(AM886="Apartment",Data_Summary!$C$3,0)),"")</f>
        <v>4.04312668463612</v>
      </c>
      <c r="AO886" s="4" t="n">
        <v>46195</v>
      </c>
    </row>
    <row r="887" customFormat="false" ht="15" hidden="false" customHeight="false" outlineLevel="0" collapsed="false">
      <c r="A887" s="0" t="n">
        <f aca="false">IF(AND(ISNUMBER(B887),B887&gt;0,ISNUMBER(AB887),AB887&gt;0,J887&gt;=Data_Summary!$C$1),1,0)</f>
        <v>1</v>
      </c>
      <c r="B887" s="33" t="n">
        <v>505</v>
      </c>
      <c r="C887" s="5" t="n">
        <f aca="false">IF(ISNUMBER(AB887),AB887,"")</f>
        <v>2200</v>
      </c>
      <c r="D887" s="0" t="n">
        <f aca="false">IF(ISNUMBER(C887),C887-U887*Data_Summary!$C$2,"")</f>
        <v>2200</v>
      </c>
      <c r="E887" s="34" t="n">
        <f aca="false">IFERROR(C887/B887,"")</f>
        <v>4.35643564356436</v>
      </c>
      <c r="F887" s="26" t="n">
        <f aca="false">IFERROR(D887/B887,"")</f>
        <v>4.35643564356436</v>
      </c>
      <c r="G887" s="0" t="str">
        <f aca="false">Q887</f>
        <v>1</v>
      </c>
      <c r="H887" s="0" t="str">
        <f aca="false">IFERROR(LEFT(G887,1),"")</f>
        <v>1</v>
      </c>
      <c r="I887" s="0" t="n">
        <f aca="false">IF(LEN(G887)&gt;1,1,0)</f>
        <v>0</v>
      </c>
      <c r="J887" s="4" t="n">
        <v>46059</v>
      </c>
      <c r="K887" s="0" t="s">
        <v>16</v>
      </c>
      <c r="L887" s="0" t="s">
        <v>106</v>
      </c>
      <c r="M887" s="0" t="s">
        <v>226</v>
      </c>
      <c r="N887" s="0" t="s">
        <v>93</v>
      </c>
      <c r="O887" s="0" t="s">
        <v>2396</v>
      </c>
      <c r="Q887" s="0" t="s">
        <v>242</v>
      </c>
      <c r="R887" s="0" t="n">
        <v>1</v>
      </c>
      <c r="S887" s="5" t="n">
        <v>505</v>
      </c>
      <c r="T887" s="0" t="s">
        <v>243</v>
      </c>
      <c r="U887" s="0" t="n">
        <v>0</v>
      </c>
      <c r="V887" s="0" t="s">
        <v>230</v>
      </c>
      <c r="W887" s="0" t="s">
        <v>244</v>
      </c>
      <c r="X887" s="0" t="s">
        <v>232</v>
      </c>
      <c r="Y887" s="0" t="s">
        <v>308</v>
      </c>
      <c r="Z887" s="0" t="s">
        <v>3854</v>
      </c>
      <c r="AA887" s="0" t="s">
        <v>235</v>
      </c>
      <c r="AB887" s="32" t="n">
        <v>2200</v>
      </c>
      <c r="AC887" s="32" t="n">
        <v>2250</v>
      </c>
      <c r="AD887" s="26" t="n">
        <f aca="false">IFERROR(AB887/B887,"")</f>
        <v>4.35643564356436</v>
      </c>
      <c r="AE887" s="26" t="n">
        <f aca="false">IFERROR(AC887/B887,"")</f>
        <v>4.45544554455446</v>
      </c>
      <c r="AF887" s="0" t="s">
        <v>236</v>
      </c>
      <c r="AG887" s="0" t="s">
        <v>236</v>
      </c>
      <c r="AH887" s="0" t="s">
        <v>236</v>
      </c>
      <c r="AI887" s="0" t="s">
        <v>1824</v>
      </c>
      <c r="AJ887" s="0" t="s">
        <v>3905</v>
      </c>
      <c r="AK887" s="0" t="s">
        <v>3906</v>
      </c>
      <c r="AL887" s="0" t="s">
        <v>3907</v>
      </c>
      <c r="AM887" s="0" t="s">
        <v>94</v>
      </c>
      <c r="AN887" s="26" t="n">
        <f aca="false">IFERROR(E887*(1+IF(AM887="Apartment",Data_Summary!$C$3,0)),"")</f>
        <v>4.35643564356436</v>
      </c>
      <c r="AO887" s="4" t="n">
        <v>46195</v>
      </c>
    </row>
    <row r="888" customFormat="false" ht="15" hidden="false" customHeight="false" outlineLevel="0" collapsed="false">
      <c r="A888" s="0" t="n">
        <f aca="false">IF(AND(ISNUMBER(B888),B888&gt;0,ISNUMBER(AB888),AB888&gt;0,J888&gt;=Data_Summary!$C$1),1,0)</f>
        <v>1</v>
      </c>
      <c r="B888" s="30" t="n">
        <v>643</v>
      </c>
      <c r="C888" s="5" t="n">
        <f aca="false">IF(ISNUMBER(AB888),AB888,"")</f>
        <v>2425</v>
      </c>
      <c r="D888" s="0" t="n">
        <f aca="false">IF(ISNUMBER(C888),C888-U888*Data_Summary!$C$2,"")</f>
        <v>2275</v>
      </c>
      <c r="E888" s="31" t="n">
        <f aca="false">IFERROR(C888/B888,"")</f>
        <v>3.77138413685848</v>
      </c>
      <c r="F888" s="26" t="n">
        <f aca="false">IFERROR(D888/B888,"")</f>
        <v>3.53810264385692</v>
      </c>
      <c r="G888" s="0" t="str">
        <f aca="false">Q888</f>
        <v>1+1</v>
      </c>
      <c r="H888" s="0" t="str">
        <f aca="false">IFERROR(LEFT(G888,1),"")</f>
        <v>1</v>
      </c>
      <c r="I888" s="0" t="n">
        <f aca="false">IF(LEN(G888)&gt;1,1,0)</f>
        <v>1</v>
      </c>
      <c r="J888" s="4" t="n">
        <v>46045</v>
      </c>
      <c r="K888" s="0" t="s">
        <v>16</v>
      </c>
      <c r="L888" s="0" t="s">
        <v>106</v>
      </c>
      <c r="M888" s="0" t="s">
        <v>226</v>
      </c>
      <c r="N888" s="0" t="s">
        <v>93</v>
      </c>
      <c r="O888" s="0" t="s">
        <v>2229</v>
      </c>
      <c r="Q888" s="0" t="s">
        <v>270</v>
      </c>
      <c r="R888" s="0" t="n">
        <v>1</v>
      </c>
      <c r="S888" s="5" t="n">
        <v>643</v>
      </c>
      <c r="T888" s="0" t="s">
        <v>271</v>
      </c>
      <c r="U888" s="0" t="n">
        <v>1</v>
      </c>
      <c r="V888" s="0" t="s">
        <v>230</v>
      </c>
      <c r="W888" s="0" t="s">
        <v>231</v>
      </c>
      <c r="X888" s="0" t="s">
        <v>232</v>
      </c>
      <c r="Y888" s="0" t="s">
        <v>245</v>
      </c>
      <c r="Z888" s="0" t="s">
        <v>3854</v>
      </c>
      <c r="AA888" s="0" t="s">
        <v>235</v>
      </c>
      <c r="AB888" s="32" t="n">
        <v>2425</v>
      </c>
      <c r="AC888" s="32" t="n">
        <v>2500</v>
      </c>
      <c r="AD888" s="26" t="n">
        <f aca="false">IFERROR(AB888/B888,"")</f>
        <v>3.77138413685848</v>
      </c>
      <c r="AE888" s="26" t="n">
        <f aca="false">IFERROR(AC888/B888,"")</f>
        <v>3.88802488335925</v>
      </c>
      <c r="AF888" s="0" t="s">
        <v>236</v>
      </c>
      <c r="AG888" s="0" t="s">
        <v>236</v>
      </c>
      <c r="AH888" s="0" t="s">
        <v>236</v>
      </c>
      <c r="AI888" s="0" t="s">
        <v>3908</v>
      </c>
      <c r="AJ888" s="0" t="s">
        <v>3909</v>
      </c>
      <c r="AK888" s="0" t="s">
        <v>3910</v>
      </c>
      <c r="AL888" s="0" t="s">
        <v>3911</v>
      </c>
      <c r="AM888" s="0" t="s">
        <v>94</v>
      </c>
      <c r="AN888" s="26" t="n">
        <f aca="false">IFERROR(E888*(1+IF(AM888="Apartment",Data_Summary!$C$3,0)),"")</f>
        <v>3.77138413685848</v>
      </c>
      <c r="AO888" s="4" t="n">
        <v>46195</v>
      </c>
    </row>
    <row r="889" customFormat="false" ht="15" hidden="false" customHeight="false" outlineLevel="0" collapsed="false">
      <c r="A889" s="0" t="n">
        <f aca="false">IF(AND(ISNUMBER(B889),B889&gt;0,ISNUMBER(AB889),AB889&gt;0,J889&gt;=Data_Summary!$C$1),1,0)</f>
        <v>1</v>
      </c>
      <c r="B889" s="33" t="n">
        <v>493</v>
      </c>
      <c r="C889" s="5" t="n">
        <f aca="false">IF(ISNUMBER(AB889),AB889,"")</f>
        <v>2200</v>
      </c>
      <c r="D889" s="0" t="n">
        <f aca="false">IF(ISNUMBER(C889),C889-U889*Data_Summary!$C$2,"")</f>
        <v>2200</v>
      </c>
      <c r="E889" s="34" t="n">
        <f aca="false">IFERROR(C889/B889,"")</f>
        <v>4.46247464503043</v>
      </c>
      <c r="F889" s="26" t="n">
        <f aca="false">IFERROR(D889/B889,"")</f>
        <v>4.46247464503043</v>
      </c>
      <c r="G889" s="0" t="str">
        <f aca="false">Q889</f>
        <v>1</v>
      </c>
      <c r="H889" s="0" t="str">
        <f aca="false">IFERROR(LEFT(G889,1),"")</f>
        <v>1</v>
      </c>
      <c r="I889" s="0" t="n">
        <f aca="false">IF(LEN(G889)&gt;1,1,0)</f>
        <v>0</v>
      </c>
      <c r="J889" s="4" t="n">
        <v>46019</v>
      </c>
      <c r="K889" s="0" t="s">
        <v>16</v>
      </c>
      <c r="L889" s="0" t="s">
        <v>106</v>
      </c>
      <c r="M889" s="0" t="s">
        <v>226</v>
      </c>
      <c r="N889" s="0" t="s">
        <v>93</v>
      </c>
      <c r="O889" s="0" t="s">
        <v>1383</v>
      </c>
      <c r="Q889" s="0" t="s">
        <v>242</v>
      </c>
      <c r="R889" s="0" t="n">
        <v>1</v>
      </c>
      <c r="S889" s="5" t="n">
        <v>493</v>
      </c>
      <c r="T889" s="0" t="s">
        <v>243</v>
      </c>
      <c r="U889" s="0" t="n">
        <v>0</v>
      </c>
      <c r="V889" s="0" t="s">
        <v>230</v>
      </c>
      <c r="W889" s="0" t="s">
        <v>244</v>
      </c>
      <c r="X889" s="0" t="s">
        <v>232</v>
      </c>
      <c r="Y889" s="0" t="s">
        <v>272</v>
      </c>
      <c r="Z889" s="0" t="s">
        <v>3854</v>
      </c>
      <c r="AA889" s="0" t="s">
        <v>235</v>
      </c>
      <c r="AB889" s="32" t="n">
        <v>2200</v>
      </c>
      <c r="AC889" s="32" t="n">
        <v>2200</v>
      </c>
      <c r="AD889" s="26" t="n">
        <f aca="false">IFERROR(AB889/B889,"")</f>
        <v>4.46247464503043</v>
      </c>
      <c r="AE889" s="26" t="n">
        <f aca="false">IFERROR(AC889/B889,"")</f>
        <v>4.46247464503043</v>
      </c>
      <c r="AF889" s="0" t="s">
        <v>236</v>
      </c>
      <c r="AG889" s="0" t="s">
        <v>236</v>
      </c>
      <c r="AH889" s="0" t="s">
        <v>230</v>
      </c>
      <c r="AI889" s="0" t="s">
        <v>3912</v>
      </c>
      <c r="AJ889" s="0" t="s">
        <v>3913</v>
      </c>
      <c r="AK889" s="0" t="s">
        <v>3914</v>
      </c>
      <c r="AL889" s="0" t="s">
        <v>3915</v>
      </c>
      <c r="AM889" s="0" t="s">
        <v>94</v>
      </c>
      <c r="AN889" s="26" t="n">
        <f aca="false">IFERROR(E889*(1+IF(AM889="Apartment",Data_Summary!$C$3,0)),"")</f>
        <v>4.46247464503043</v>
      </c>
      <c r="AO889" s="4" t="n">
        <v>46195</v>
      </c>
    </row>
    <row r="890" customFormat="false" ht="15" hidden="false" customHeight="false" outlineLevel="0" collapsed="false">
      <c r="A890" s="0" t="n">
        <f aca="false">IF(AND(ISNUMBER(B890),B890&gt;0,ISNUMBER(AB890),AB890&gt;0,J890&gt;=Data_Summary!$C$1),1,0)</f>
        <v>1</v>
      </c>
      <c r="B890" s="30" t="n">
        <v>643</v>
      </c>
      <c r="C890" s="5" t="n">
        <f aca="false">IF(ISNUMBER(AB890),AB890,"")</f>
        <v>2400</v>
      </c>
      <c r="D890" s="0" t="n">
        <f aca="false">IF(ISNUMBER(C890),C890-U890*Data_Summary!$C$2,"")</f>
        <v>2250</v>
      </c>
      <c r="E890" s="31" t="n">
        <f aca="false">IFERROR(C890/B890,"")</f>
        <v>3.73250388802488</v>
      </c>
      <c r="F890" s="26" t="n">
        <f aca="false">IFERROR(D890/B890,"")</f>
        <v>3.49922239502333</v>
      </c>
      <c r="G890" s="0" t="str">
        <f aca="false">Q890</f>
        <v>1+1</v>
      </c>
      <c r="H890" s="0" t="str">
        <f aca="false">IFERROR(LEFT(G890,1),"")</f>
        <v>1</v>
      </c>
      <c r="I890" s="0" t="n">
        <f aca="false">IF(LEN(G890)&gt;1,1,0)</f>
        <v>1</v>
      </c>
      <c r="J890" s="4" t="n">
        <v>46006</v>
      </c>
      <c r="K890" s="0" t="s">
        <v>16</v>
      </c>
      <c r="L890" s="0" t="s">
        <v>106</v>
      </c>
      <c r="M890" s="0" t="s">
        <v>226</v>
      </c>
      <c r="N890" s="0" t="s">
        <v>93</v>
      </c>
      <c r="O890" s="0" t="s">
        <v>3916</v>
      </c>
      <c r="Q890" s="0" t="s">
        <v>270</v>
      </c>
      <c r="R890" s="0" t="n">
        <v>1</v>
      </c>
      <c r="S890" s="5" t="n">
        <v>643</v>
      </c>
      <c r="T890" s="0" t="s">
        <v>271</v>
      </c>
      <c r="U890" s="0" t="n">
        <v>1</v>
      </c>
      <c r="V890" s="0" t="s">
        <v>230</v>
      </c>
      <c r="X890" s="0" t="s">
        <v>232</v>
      </c>
      <c r="Y890" s="0" t="s">
        <v>245</v>
      </c>
      <c r="Z890" s="0" t="s">
        <v>3854</v>
      </c>
      <c r="AA890" s="0" t="s">
        <v>235</v>
      </c>
      <c r="AB890" s="32" t="n">
        <v>2400</v>
      </c>
      <c r="AC890" s="32" t="n">
        <v>2450</v>
      </c>
      <c r="AD890" s="26" t="n">
        <f aca="false">IFERROR(AB890/B890,"")</f>
        <v>3.73250388802488</v>
      </c>
      <c r="AE890" s="26" t="n">
        <f aca="false">IFERROR(AC890/B890,"")</f>
        <v>3.81026438569207</v>
      </c>
      <c r="AF890" s="0" t="s">
        <v>236</v>
      </c>
      <c r="AG890" s="0" t="s">
        <v>236</v>
      </c>
      <c r="AH890" s="0" t="s">
        <v>230</v>
      </c>
      <c r="AI890" s="0" t="s">
        <v>3917</v>
      </c>
      <c r="AJ890" s="0" t="s">
        <v>3918</v>
      </c>
      <c r="AK890" s="0" t="s">
        <v>3919</v>
      </c>
      <c r="AL890" s="0" t="s">
        <v>3920</v>
      </c>
      <c r="AM890" s="0" t="s">
        <v>94</v>
      </c>
      <c r="AN890" s="26" t="n">
        <f aca="false">IFERROR(E890*(1+IF(AM890="Apartment",Data_Summary!$C$3,0)),"")</f>
        <v>3.73250388802488</v>
      </c>
      <c r="AO890" s="4" t="n">
        <v>46195</v>
      </c>
    </row>
    <row r="891" customFormat="false" ht="15" hidden="false" customHeight="false" outlineLevel="0" collapsed="false">
      <c r="A891" s="0" t="n">
        <f aca="false">IF(AND(ISNUMBER(B891),B891&gt;0,ISNUMBER(AB891),AB891&gt;0,J891&gt;=Data_Summary!$C$1),1,0)</f>
        <v>1</v>
      </c>
      <c r="B891" s="33" t="n">
        <v>777</v>
      </c>
      <c r="C891" s="5" t="n">
        <f aca="false">IF(ISNUMBER(AB891),AB891,"")</f>
        <v>3300</v>
      </c>
      <c r="D891" s="0" t="n">
        <f aca="false">IF(ISNUMBER(C891),C891-U891*Data_Summary!$C$2,"")</f>
        <v>3150</v>
      </c>
      <c r="E891" s="34" t="n">
        <f aca="false">IFERROR(C891/B891,"")</f>
        <v>4.24710424710425</v>
      </c>
      <c r="F891" s="26" t="n">
        <f aca="false">IFERROR(D891/B891,"")</f>
        <v>4.05405405405405</v>
      </c>
      <c r="G891" s="0" t="str">
        <f aca="false">Q891</f>
        <v>2</v>
      </c>
      <c r="H891" s="0" t="str">
        <f aca="false">IFERROR(LEFT(G891,1),"")</f>
        <v>2</v>
      </c>
      <c r="I891" s="0" t="n">
        <f aca="false">IF(LEN(G891)&gt;1,1,0)</f>
        <v>0</v>
      </c>
      <c r="J891" s="4" t="n">
        <v>45987</v>
      </c>
      <c r="K891" s="0" t="s">
        <v>16</v>
      </c>
      <c r="L891" s="0" t="s">
        <v>106</v>
      </c>
      <c r="M891" s="0" t="s">
        <v>226</v>
      </c>
      <c r="N891" s="0" t="s">
        <v>93</v>
      </c>
      <c r="O891" s="0" t="s">
        <v>1057</v>
      </c>
      <c r="Q891" s="0" t="s">
        <v>251</v>
      </c>
      <c r="R891" s="0" t="n">
        <v>2</v>
      </c>
      <c r="S891" s="5" t="n">
        <v>777</v>
      </c>
      <c r="T891" s="0" t="s">
        <v>229</v>
      </c>
      <c r="U891" s="0" t="n">
        <v>1</v>
      </c>
      <c r="V891" s="0" t="s">
        <v>230</v>
      </c>
      <c r="W891" s="0" t="s">
        <v>231</v>
      </c>
      <c r="X891" s="0" t="s">
        <v>232</v>
      </c>
      <c r="Y891" s="0" t="s">
        <v>260</v>
      </c>
      <c r="Z891" s="0" t="s">
        <v>3854</v>
      </c>
      <c r="AA891" s="0" t="s">
        <v>235</v>
      </c>
      <c r="AB891" s="32" t="n">
        <v>3300</v>
      </c>
      <c r="AC891" s="32" t="n">
        <v>3300</v>
      </c>
      <c r="AD891" s="26" t="n">
        <f aca="false">IFERROR(AB891/B891,"")</f>
        <v>4.24710424710425</v>
      </c>
      <c r="AE891" s="26" t="n">
        <f aca="false">IFERROR(AC891/B891,"")</f>
        <v>4.24710424710425</v>
      </c>
      <c r="AF891" s="0" t="s">
        <v>236</v>
      </c>
      <c r="AG891" s="0" t="s">
        <v>236</v>
      </c>
      <c r="AH891" s="0" t="s">
        <v>230</v>
      </c>
      <c r="AI891" s="0" t="s">
        <v>779</v>
      </c>
      <c r="AJ891" s="0" t="s">
        <v>3921</v>
      </c>
      <c r="AK891" s="0" t="s">
        <v>3922</v>
      </c>
      <c r="AL891" s="0" t="s">
        <v>3923</v>
      </c>
      <c r="AM891" s="0" t="s">
        <v>94</v>
      </c>
      <c r="AN891" s="26" t="n">
        <f aca="false">IFERROR(E891*(1+IF(AM891="Apartment",Data_Summary!$C$3,0)),"")</f>
        <v>4.24710424710425</v>
      </c>
      <c r="AO891" s="4" t="n">
        <v>46195</v>
      </c>
    </row>
    <row r="892" customFormat="false" ht="15" hidden="false" customHeight="false" outlineLevel="0" collapsed="false">
      <c r="A892" s="0" t="n">
        <f aca="false">IF(AND(ISNUMBER(B892),B892&gt;0,ISNUMBER(AB892),AB892&gt;0,J892&gt;=Data_Summary!$C$1),1,0)</f>
        <v>1</v>
      </c>
      <c r="B892" s="33" t="n">
        <v>388</v>
      </c>
      <c r="C892" s="5" t="n">
        <f aca="false">IF(ISNUMBER(AB892),AB892,"")</f>
        <v>1900</v>
      </c>
      <c r="D892" s="0" t="n">
        <f aca="false">IF(ISNUMBER(C892),C892-U892*Data_Summary!$C$2,"")</f>
        <v>1900</v>
      </c>
      <c r="E892" s="34" t="n">
        <f aca="false">IFERROR(C892/B892,"")</f>
        <v>4.89690721649485</v>
      </c>
      <c r="F892" s="26" t="n">
        <f aca="false">IFERROR(D892/B892,"")</f>
        <v>4.89690721649485</v>
      </c>
      <c r="G892" s="0" t="str">
        <f aca="false">Q892</f>
        <v>1</v>
      </c>
      <c r="H892" s="0" t="str">
        <f aca="false">IFERROR(LEFT(G892,1),"")</f>
        <v>1</v>
      </c>
      <c r="I892" s="0" t="n">
        <f aca="false">IF(LEN(G892)&gt;1,1,0)</f>
        <v>0</v>
      </c>
      <c r="J892" s="4" t="n">
        <v>45986</v>
      </c>
      <c r="K892" s="0" t="s">
        <v>16</v>
      </c>
      <c r="L892" s="0" t="s">
        <v>106</v>
      </c>
      <c r="M892" s="0" t="s">
        <v>226</v>
      </c>
      <c r="N892" s="0" t="s">
        <v>93</v>
      </c>
      <c r="O892" s="0" t="s">
        <v>3924</v>
      </c>
      <c r="Q892" s="0" t="s">
        <v>242</v>
      </c>
      <c r="R892" s="0" t="n">
        <v>1</v>
      </c>
      <c r="S892" s="5" t="n">
        <v>388</v>
      </c>
      <c r="T892" s="0" t="s">
        <v>303</v>
      </c>
      <c r="U892" s="0" t="n">
        <v>0</v>
      </c>
      <c r="V892" s="0" t="s">
        <v>230</v>
      </c>
      <c r="W892" s="0" t="s">
        <v>231</v>
      </c>
      <c r="Y892" s="0" t="s">
        <v>278</v>
      </c>
      <c r="Z892" s="0" t="s">
        <v>3854</v>
      </c>
      <c r="AA892" s="0" t="s">
        <v>235</v>
      </c>
      <c r="AB892" s="32" t="n">
        <v>1900</v>
      </c>
      <c r="AC892" s="32" t="n">
        <v>1850</v>
      </c>
      <c r="AD892" s="26" t="n">
        <f aca="false">IFERROR(AB892/B892,"")</f>
        <v>4.89690721649485</v>
      </c>
      <c r="AE892" s="26" t="n">
        <f aca="false">IFERROR(AC892/B892,"")</f>
        <v>4.7680412371134</v>
      </c>
      <c r="AF892" s="0" t="s">
        <v>236</v>
      </c>
      <c r="AG892" s="0" t="s">
        <v>236</v>
      </c>
      <c r="AH892" s="0" t="s">
        <v>230</v>
      </c>
      <c r="AI892" s="0" t="s">
        <v>783</v>
      </c>
      <c r="AJ892" s="0" t="s">
        <v>3925</v>
      </c>
      <c r="AK892" s="0" t="s">
        <v>3926</v>
      </c>
      <c r="AL892" s="0" t="s">
        <v>3927</v>
      </c>
      <c r="AM892" s="0" t="s">
        <v>94</v>
      </c>
      <c r="AN892" s="26" t="n">
        <f aca="false">IFERROR(E892*(1+IF(AM892="Apartment",Data_Summary!$C$3,0)),"")</f>
        <v>4.89690721649485</v>
      </c>
      <c r="AO892" s="4" t="n">
        <v>46195</v>
      </c>
    </row>
    <row r="893" customFormat="false" ht="15" hidden="false" customHeight="false" outlineLevel="0" collapsed="false">
      <c r="A893" s="0" t="n">
        <f aca="false">IF(AND(ISNUMBER(B893),B893&gt;0,ISNUMBER(AB893),AB893&gt;0,J893&gt;=Data_Summary!$C$1),1,0)</f>
        <v>1</v>
      </c>
      <c r="B893" s="33" t="n">
        <v>742</v>
      </c>
      <c r="C893" s="5" t="n">
        <f aca="false">IF(ISNUMBER(AB893),AB893,"")</f>
        <v>2650</v>
      </c>
      <c r="D893" s="0" t="n">
        <f aca="false">IF(ISNUMBER(C893),C893-U893*Data_Summary!$C$2,"")</f>
        <v>2500</v>
      </c>
      <c r="E893" s="34" t="n">
        <f aca="false">IFERROR(C893/B893,"")</f>
        <v>3.57142857142857</v>
      </c>
      <c r="F893" s="26" t="n">
        <f aca="false">IFERROR(D893/B893,"")</f>
        <v>3.36927223719677</v>
      </c>
      <c r="G893" s="0" t="str">
        <f aca="false">Q893</f>
        <v>2</v>
      </c>
      <c r="H893" s="0" t="str">
        <f aca="false">IFERROR(LEFT(G893,1),"")</f>
        <v>2</v>
      </c>
      <c r="I893" s="0" t="n">
        <f aca="false">IF(LEN(G893)&gt;1,1,0)</f>
        <v>0</v>
      </c>
      <c r="J893" s="4" t="n">
        <v>45975</v>
      </c>
      <c r="K893" s="0" t="s">
        <v>16</v>
      </c>
      <c r="L893" s="0" t="s">
        <v>106</v>
      </c>
      <c r="M893" s="0" t="s">
        <v>226</v>
      </c>
      <c r="N893" s="0" t="s">
        <v>93</v>
      </c>
      <c r="O893" s="0" t="s">
        <v>3928</v>
      </c>
      <c r="Q893" s="0" t="s">
        <v>251</v>
      </c>
      <c r="R893" s="0" t="n">
        <v>1</v>
      </c>
      <c r="S893" s="5" t="n">
        <v>742</v>
      </c>
      <c r="T893" s="0" t="s">
        <v>252</v>
      </c>
      <c r="U893" s="0" t="n">
        <v>1</v>
      </c>
      <c r="V893" s="0" t="s">
        <v>230</v>
      </c>
      <c r="W893" s="0" t="s">
        <v>244</v>
      </c>
      <c r="X893" s="0" t="s">
        <v>232</v>
      </c>
      <c r="Y893" s="0" t="s">
        <v>297</v>
      </c>
      <c r="Z893" s="0" t="s">
        <v>3854</v>
      </c>
      <c r="AA893" s="0" t="s">
        <v>235</v>
      </c>
      <c r="AB893" s="32" t="n">
        <v>2650</v>
      </c>
      <c r="AC893" s="32" t="n">
        <v>2700</v>
      </c>
      <c r="AD893" s="26" t="n">
        <f aca="false">IFERROR(AB893/B893,"")</f>
        <v>3.57142857142857</v>
      </c>
      <c r="AE893" s="26" t="n">
        <f aca="false">IFERROR(AC893/B893,"")</f>
        <v>3.63881401617251</v>
      </c>
      <c r="AF893" s="0" t="s">
        <v>230</v>
      </c>
      <c r="AG893" s="0" t="s">
        <v>236</v>
      </c>
      <c r="AH893" s="0" t="s">
        <v>230</v>
      </c>
      <c r="AI893" s="0" t="s">
        <v>1945</v>
      </c>
      <c r="AJ893" s="0" t="s">
        <v>3929</v>
      </c>
      <c r="AK893" s="0" t="s">
        <v>3930</v>
      </c>
      <c r="AL893" s="0" t="s">
        <v>3931</v>
      </c>
      <c r="AM893" s="0" t="s">
        <v>94</v>
      </c>
      <c r="AN893" s="26" t="n">
        <f aca="false">IFERROR(E893*(1+IF(AM893="Apartment",Data_Summary!$C$3,0)),"")</f>
        <v>3.57142857142857</v>
      </c>
      <c r="AO893" s="4" t="n">
        <v>46195</v>
      </c>
    </row>
    <row r="894" customFormat="false" ht="15" hidden="false" customHeight="false" outlineLevel="0" collapsed="false">
      <c r="A894" s="0" t="n">
        <f aca="false">IF(AND(ISNUMBER(B894),B894&gt;0,ISNUMBER(AB894),AB894&gt;0,J894&gt;=Data_Summary!$C$1),1,0)</f>
        <v>1</v>
      </c>
      <c r="B894" s="33" t="n">
        <v>515</v>
      </c>
      <c r="C894" s="5" t="n">
        <f aca="false">IF(ISNUMBER(AB894),AB894,"")</f>
        <v>2200</v>
      </c>
      <c r="D894" s="0" t="n">
        <f aca="false">IF(ISNUMBER(C894),C894-U894*Data_Summary!$C$2,"")</f>
        <v>2200</v>
      </c>
      <c r="E894" s="34" t="n">
        <f aca="false">IFERROR(C894/B894,"")</f>
        <v>4.27184466019418</v>
      </c>
      <c r="F894" s="26" t="n">
        <f aca="false">IFERROR(D894/B894,"")</f>
        <v>4.27184466019418</v>
      </c>
      <c r="G894" s="0" t="str">
        <f aca="false">Q894</f>
        <v>1</v>
      </c>
      <c r="H894" s="0" t="str">
        <f aca="false">IFERROR(LEFT(G894,1),"")</f>
        <v>1</v>
      </c>
      <c r="I894" s="0" t="n">
        <f aca="false">IF(LEN(G894)&gt;1,1,0)</f>
        <v>0</v>
      </c>
      <c r="J894" s="4" t="n">
        <v>45972</v>
      </c>
      <c r="K894" s="0" t="s">
        <v>16</v>
      </c>
      <c r="L894" s="0" t="s">
        <v>106</v>
      </c>
      <c r="M894" s="0" t="s">
        <v>226</v>
      </c>
      <c r="N894" s="0" t="s">
        <v>93</v>
      </c>
      <c r="O894" s="0" t="s">
        <v>3489</v>
      </c>
      <c r="Q894" s="0" t="s">
        <v>242</v>
      </c>
      <c r="R894" s="0" t="n">
        <v>1</v>
      </c>
      <c r="S894" s="5" t="n">
        <v>515</v>
      </c>
      <c r="T894" s="0" t="s">
        <v>243</v>
      </c>
      <c r="U894" s="0" t="n">
        <v>0</v>
      </c>
      <c r="V894" s="0" t="s">
        <v>230</v>
      </c>
      <c r="W894" s="0" t="s">
        <v>244</v>
      </c>
      <c r="X894" s="0" t="s">
        <v>232</v>
      </c>
      <c r="Y894" s="0" t="s">
        <v>278</v>
      </c>
      <c r="Z894" s="0" t="s">
        <v>3854</v>
      </c>
      <c r="AA894" s="0" t="s">
        <v>235</v>
      </c>
      <c r="AB894" s="32" t="n">
        <v>2200</v>
      </c>
      <c r="AC894" s="32" t="n">
        <v>2200</v>
      </c>
      <c r="AD894" s="26" t="n">
        <f aca="false">IFERROR(AB894/B894,"")</f>
        <v>4.27184466019418</v>
      </c>
      <c r="AE894" s="26" t="n">
        <f aca="false">IFERROR(AC894/B894,"")</f>
        <v>4.27184466019418</v>
      </c>
      <c r="AF894" s="0" t="s">
        <v>236</v>
      </c>
      <c r="AG894" s="0" t="s">
        <v>236</v>
      </c>
      <c r="AH894" s="0" t="s">
        <v>236</v>
      </c>
      <c r="AI894" s="0" t="s">
        <v>1954</v>
      </c>
      <c r="AJ894" s="0" t="s">
        <v>3932</v>
      </c>
      <c r="AK894" s="0" t="s">
        <v>3933</v>
      </c>
      <c r="AL894" s="0" t="s">
        <v>3934</v>
      </c>
      <c r="AM894" s="0" t="s">
        <v>94</v>
      </c>
      <c r="AN894" s="26" t="n">
        <f aca="false">IFERROR(E894*(1+IF(AM894="Apartment",Data_Summary!$C$3,0)),"")</f>
        <v>4.27184466019418</v>
      </c>
      <c r="AO894" s="4" t="n">
        <v>46195</v>
      </c>
    </row>
    <row r="895" customFormat="false" ht="15" hidden="false" customHeight="false" outlineLevel="0" collapsed="false">
      <c r="A895" s="0" t="n">
        <f aca="false">IF(AND(ISNUMBER(B895),B895&gt;0,ISNUMBER(AB895),AB895&gt;0,J895&gt;=Data_Summary!$C$1),1,0)</f>
        <v>1</v>
      </c>
      <c r="B895" s="33" t="n">
        <v>388</v>
      </c>
      <c r="C895" s="5" t="n">
        <f aca="false">IF(ISNUMBER(AB895),AB895,"")</f>
        <v>2050</v>
      </c>
      <c r="D895" s="0" t="n">
        <f aca="false">IF(ISNUMBER(C895),C895-U895*Data_Summary!$C$2,"")</f>
        <v>2050</v>
      </c>
      <c r="E895" s="34" t="n">
        <f aca="false">IFERROR(C895/B895,"")</f>
        <v>5.28350515463918</v>
      </c>
      <c r="F895" s="26" t="n">
        <f aca="false">IFERROR(D895/B895,"")</f>
        <v>5.28350515463918</v>
      </c>
      <c r="G895" s="0" t="str">
        <f aca="false">Q895</f>
        <v>1</v>
      </c>
      <c r="H895" s="0" t="str">
        <f aca="false">IFERROR(LEFT(G895,1),"")</f>
        <v>1</v>
      </c>
      <c r="I895" s="0" t="n">
        <f aca="false">IF(LEN(G895)&gt;1,1,0)</f>
        <v>0</v>
      </c>
      <c r="J895" s="4" t="n">
        <v>45970</v>
      </c>
      <c r="K895" s="0" t="s">
        <v>16</v>
      </c>
      <c r="L895" s="0" t="s">
        <v>106</v>
      </c>
      <c r="M895" s="0" t="s">
        <v>226</v>
      </c>
      <c r="N895" s="0" t="s">
        <v>93</v>
      </c>
      <c r="O895" s="0" t="s">
        <v>1209</v>
      </c>
      <c r="Q895" s="0" t="s">
        <v>242</v>
      </c>
      <c r="R895" s="0" t="n">
        <v>1</v>
      </c>
      <c r="S895" s="5" t="n">
        <v>388</v>
      </c>
      <c r="T895" s="0" t="s">
        <v>303</v>
      </c>
      <c r="U895" s="0" t="n">
        <v>0</v>
      </c>
      <c r="V895" s="0" t="s">
        <v>230</v>
      </c>
      <c r="W895" s="0" t="s">
        <v>244</v>
      </c>
      <c r="Y895" s="0" t="s">
        <v>245</v>
      </c>
      <c r="Z895" s="0" t="s">
        <v>3854</v>
      </c>
      <c r="AA895" s="0" t="s">
        <v>235</v>
      </c>
      <c r="AB895" s="32" t="n">
        <v>2050</v>
      </c>
      <c r="AC895" s="32" t="n">
        <v>2100</v>
      </c>
      <c r="AD895" s="26" t="n">
        <f aca="false">IFERROR(AB895/B895,"")</f>
        <v>5.28350515463918</v>
      </c>
      <c r="AE895" s="26" t="n">
        <f aca="false">IFERROR(AC895/B895,"")</f>
        <v>5.41237113402062</v>
      </c>
      <c r="AF895" s="0" t="s">
        <v>421</v>
      </c>
      <c r="AG895" s="0" t="s">
        <v>236</v>
      </c>
      <c r="AH895" s="0" t="s">
        <v>230</v>
      </c>
      <c r="AI895" s="0" t="s">
        <v>1958</v>
      </c>
      <c r="AJ895" s="0" t="s">
        <v>3935</v>
      </c>
      <c r="AK895" s="0" t="s">
        <v>3936</v>
      </c>
      <c r="AL895" s="0" t="s">
        <v>3937</v>
      </c>
      <c r="AM895" s="0" t="s">
        <v>94</v>
      </c>
      <c r="AN895" s="26" t="n">
        <f aca="false">IFERROR(E895*(1+IF(AM895="Apartment",Data_Summary!$C$3,0)),"")</f>
        <v>5.28350515463918</v>
      </c>
      <c r="AO895" s="4" t="n">
        <v>46195</v>
      </c>
    </row>
    <row r="896" customFormat="false" ht="15" hidden="false" customHeight="false" outlineLevel="0" collapsed="false">
      <c r="A896" s="0" t="n">
        <f aca="false">IF(AND(ISNUMBER(B896),B896&gt;0,ISNUMBER(AB896),AB896&gt;0,J896&gt;=Data_Summary!$C$1),1,0)</f>
        <v>1</v>
      </c>
      <c r="B896" s="33" t="n">
        <v>515</v>
      </c>
      <c r="C896" s="5" t="n">
        <f aca="false">IF(ISNUMBER(AB896),AB896,"")</f>
        <v>2280</v>
      </c>
      <c r="D896" s="0" t="n">
        <f aca="false">IF(ISNUMBER(C896),C896-U896*Data_Summary!$C$2,"")</f>
        <v>2280</v>
      </c>
      <c r="E896" s="34" t="n">
        <f aca="false">IFERROR(C896/B896,"")</f>
        <v>4.42718446601942</v>
      </c>
      <c r="F896" s="26" t="n">
        <f aca="false">IFERROR(D896/B896,"")</f>
        <v>4.42718446601942</v>
      </c>
      <c r="G896" s="0" t="str">
        <f aca="false">Q896</f>
        <v>1</v>
      </c>
      <c r="H896" s="0" t="str">
        <f aca="false">IFERROR(LEFT(G896,1),"")</f>
        <v>1</v>
      </c>
      <c r="I896" s="0" t="n">
        <f aca="false">IF(LEN(G896)&gt;1,1,0)</f>
        <v>0</v>
      </c>
      <c r="J896" s="4" t="n">
        <v>45895</v>
      </c>
      <c r="K896" s="0" t="s">
        <v>16</v>
      </c>
      <c r="L896" s="0" t="s">
        <v>106</v>
      </c>
      <c r="M896" s="0" t="s">
        <v>226</v>
      </c>
      <c r="N896" s="0" t="s">
        <v>93</v>
      </c>
      <c r="O896" s="0" t="s">
        <v>2644</v>
      </c>
      <c r="Q896" s="0" t="s">
        <v>242</v>
      </c>
      <c r="R896" s="0" t="n">
        <v>1</v>
      </c>
      <c r="S896" s="5" t="n">
        <v>515</v>
      </c>
      <c r="T896" s="0" t="s">
        <v>243</v>
      </c>
      <c r="U896" s="0" t="n">
        <v>0</v>
      </c>
      <c r="V896" s="0" t="s">
        <v>230</v>
      </c>
      <c r="W896" s="0" t="s">
        <v>244</v>
      </c>
      <c r="X896" s="0" t="s">
        <v>232</v>
      </c>
      <c r="Y896" s="0" t="s">
        <v>278</v>
      </c>
      <c r="Z896" s="0" t="s">
        <v>3854</v>
      </c>
      <c r="AA896" s="0" t="s">
        <v>235</v>
      </c>
      <c r="AB896" s="32" t="n">
        <v>2280</v>
      </c>
      <c r="AC896" s="32" t="n">
        <v>2280</v>
      </c>
      <c r="AD896" s="26" t="n">
        <f aca="false">IFERROR(AB896/B896,"")</f>
        <v>4.42718446601942</v>
      </c>
      <c r="AE896" s="26" t="n">
        <f aca="false">IFERROR(AC896/B896,"")</f>
        <v>4.42718446601942</v>
      </c>
      <c r="AF896" s="0" t="s">
        <v>236</v>
      </c>
      <c r="AG896" s="0" t="s">
        <v>236</v>
      </c>
      <c r="AH896" s="0" t="s">
        <v>236</v>
      </c>
      <c r="AI896" s="0" t="s">
        <v>2034</v>
      </c>
      <c r="AJ896" s="0" t="s">
        <v>3938</v>
      </c>
      <c r="AK896" s="0" t="s">
        <v>3939</v>
      </c>
      <c r="AL896" s="0" t="s">
        <v>3940</v>
      </c>
      <c r="AM896" s="0" t="s">
        <v>94</v>
      </c>
      <c r="AN896" s="26" t="n">
        <f aca="false">IFERROR(E896*(1+IF(AM896="Apartment",Data_Summary!$C$3,0)),"")</f>
        <v>4.42718446601942</v>
      </c>
      <c r="AO896" s="4" t="n">
        <v>46195</v>
      </c>
    </row>
    <row r="897" customFormat="false" ht="15" hidden="false" customHeight="false" outlineLevel="0" collapsed="false">
      <c r="A897" s="0" t="n">
        <f aca="false">IF(AND(ISNUMBER(B897),B897&gt;0,ISNUMBER(AB897),AB897&gt;0,J897&gt;=Data_Summary!$C$1),1,0)</f>
        <v>1</v>
      </c>
      <c r="B897" s="30" t="n">
        <v>492</v>
      </c>
      <c r="C897" s="5" t="n">
        <f aca="false">IF(ISNUMBER(AB897),AB897,"")</f>
        <v>2200</v>
      </c>
      <c r="D897" s="0" t="n">
        <f aca="false">IF(ISNUMBER(C897),C897-U897*Data_Summary!$C$2,"")</f>
        <v>2200</v>
      </c>
      <c r="E897" s="31" t="n">
        <f aca="false">IFERROR(C897/B897,"")</f>
        <v>4.47154471544716</v>
      </c>
      <c r="F897" s="26" t="n">
        <f aca="false">IFERROR(D897/B897,"")</f>
        <v>4.47154471544716</v>
      </c>
      <c r="G897" s="0" t="str">
        <f aca="false">Q897</f>
        <v>1</v>
      </c>
      <c r="H897" s="0" t="str">
        <f aca="false">IFERROR(LEFT(G897,1),"")</f>
        <v>1</v>
      </c>
      <c r="I897" s="0" t="n">
        <f aca="false">IF(LEN(G897)&gt;1,1,0)</f>
        <v>0</v>
      </c>
      <c r="J897" s="4" t="n">
        <v>45892</v>
      </c>
      <c r="K897" s="0" t="s">
        <v>16</v>
      </c>
      <c r="L897" s="0" t="s">
        <v>106</v>
      </c>
      <c r="M897" s="0" t="s">
        <v>226</v>
      </c>
      <c r="N897" s="0" t="s">
        <v>93</v>
      </c>
      <c r="O897" s="0" t="s">
        <v>357</v>
      </c>
      <c r="Q897" s="0" t="s">
        <v>242</v>
      </c>
      <c r="R897" s="0" t="n">
        <v>1</v>
      </c>
      <c r="S897" s="5" t="n">
        <v>492</v>
      </c>
      <c r="T897" s="0" t="s">
        <v>303</v>
      </c>
      <c r="U897" s="0" t="n">
        <v>0</v>
      </c>
      <c r="V897" s="0" t="s">
        <v>230</v>
      </c>
      <c r="W897" s="0" t="s">
        <v>231</v>
      </c>
      <c r="X897" s="0" t="s">
        <v>232</v>
      </c>
      <c r="Y897" s="0" t="s">
        <v>260</v>
      </c>
      <c r="Z897" s="0" t="s">
        <v>3854</v>
      </c>
      <c r="AA897" s="0" t="s">
        <v>235</v>
      </c>
      <c r="AB897" s="32" t="n">
        <v>2200</v>
      </c>
      <c r="AC897" s="32" t="n">
        <v>2200</v>
      </c>
      <c r="AD897" s="26" t="n">
        <f aca="false">IFERROR(AB897/B897,"")</f>
        <v>4.47154471544716</v>
      </c>
      <c r="AE897" s="26" t="n">
        <f aca="false">IFERROR(AC897/B897,"")</f>
        <v>4.47154471544716</v>
      </c>
      <c r="AF897" s="0" t="s">
        <v>236</v>
      </c>
      <c r="AG897" s="0" t="s">
        <v>236</v>
      </c>
      <c r="AH897" s="0" t="s">
        <v>230</v>
      </c>
      <c r="AI897" s="0" t="s">
        <v>902</v>
      </c>
      <c r="AJ897" s="0" t="s">
        <v>3941</v>
      </c>
      <c r="AK897" s="0" t="s">
        <v>3942</v>
      </c>
      <c r="AL897" s="0" t="s">
        <v>3943</v>
      </c>
      <c r="AM897" s="0" t="s">
        <v>94</v>
      </c>
      <c r="AN897" s="26" t="n">
        <f aca="false">IFERROR(E897*(1+IF(AM897="Apartment",Data_Summary!$C$3,0)),"")</f>
        <v>4.47154471544716</v>
      </c>
      <c r="AO897" s="4" t="n">
        <v>46195</v>
      </c>
    </row>
    <row r="898" customFormat="false" ht="15" hidden="false" customHeight="false" outlineLevel="0" collapsed="false">
      <c r="A898" s="0" t="n">
        <f aca="false">IF(AND(ISNUMBER(B898),B898&gt;0,ISNUMBER(AB898),AB898&gt;0,J898&gt;=Data_Summary!$C$1),1,0)</f>
        <v>1</v>
      </c>
      <c r="B898" s="33" t="n">
        <v>403</v>
      </c>
      <c r="C898" s="5" t="n">
        <f aca="false">IF(ISNUMBER(AB898),AB898,"")</f>
        <v>2100</v>
      </c>
      <c r="D898" s="0" t="n">
        <f aca="false">IF(ISNUMBER(C898),C898-U898*Data_Summary!$C$2,"")</f>
        <v>2100</v>
      </c>
      <c r="E898" s="34" t="n">
        <f aca="false">IFERROR(C898/B898,"")</f>
        <v>5.21091811414392</v>
      </c>
      <c r="F898" s="26" t="n">
        <f aca="false">IFERROR(D898/B898,"")</f>
        <v>5.21091811414392</v>
      </c>
      <c r="G898" s="0" t="str">
        <f aca="false">Q898</f>
        <v>1</v>
      </c>
      <c r="H898" s="0" t="str">
        <f aca="false">IFERROR(LEFT(G898,1),"")</f>
        <v>1</v>
      </c>
      <c r="I898" s="0" t="n">
        <f aca="false">IF(LEN(G898)&gt;1,1,0)</f>
        <v>0</v>
      </c>
      <c r="J898" s="4" t="n">
        <v>45891</v>
      </c>
      <c r="K898" s="0" t="s">
        <v>16</v>
      </c>
      <c r="L898" s="0" t="s">
        <v>106</v>
      </c>
      <c r="M898" s="0" t="s">
        <v>226</v>
      </c>
      <c r="N898" s="0" t="s">
        <v>93</v>
      </c>
      <c r="O898" s="0" t="s">
        <v>296</v>
      </c>
      <c r="Q898" s="0" t="s">
        <v>242</v>
      </c>
      <c r="R898" s="0" t="n">
        <v>1</v>
      </c>
      <c r="S898" s="5" t="n">
        <v>403</v>
      </c>
      <c r="T898" s="0" t="s">
        <v>303</v>
      </c>
      <c r="U898" s="0" t="n">
        <v>0</v>
      </c>
      <c r="V898" s="0" t="s">
        <v>230</v>
      </c>
      <c r="W898" s="0" t="s">
        <v>244</v>
      </c>
      <c r="X898" s="0" t="s">
        <v>232</v>
      </c>
      <c r="Y898" s="0" t="s">
        <v>272</v>
      </c>
      <c r="Z898" s="0" t="s">
        <v>3854</v>
      </c>
      <c r="AA898" s="0" t="s">
        <v>235</v>
      </c>
      <c r="AB898" s="32" t="n">
        <v>2100</v>
      </c>
      <c r="AC898" s="32" t="n">
        <v>2100</v>
      </c>
      <c r="AD898" s="26" t="n">
        <f aca="false">IFERROR(AB898/B898,"")</f>
        <v>5.21091811414392</v>
      </c>
      <c r="AE898" s="26" t="n">
        <f aca="false">IFERROR(AC898/B898,"")</f>
        <v>5.21091811414392</v>
      </c>
      <c r="AF898" s="0" t="s">
        <v>236</v>
      </c>
      <c r="AG898" s="0" t="s">
        <v>236</v>
      </c>
      <c r="AH898" s="0" t="s">
        <v>230</v>
      </c>
      <c r="AI898" s="0" t="s">
        <v>2050</v>
      </c>
      <c r="AJ898" s="0" t="s">
        <v>3944</v>
      </c>
      <c r="AK898" s="0" t="s">
        <v>3945</v>
      </c>
      <c r="AL898" s="0" t="s">
        <v>3946</v>
      </c>
      <c r="AM898" s="0" t="s">
        <v>94</v>
      </c>
      <c r="AN898" s="26" t="n">
        <f aca="false">IFERROR(E898*(1+IF(AM898="Apartment",Data_Summary!$C$3,0)),"")</f>
        <v>5.21091811414392</v>
      </c>
      <c r="AO898" s="4" t="n">
        <v>46195</v>
      </c>
    </row>
    <row r="899" customFormat="false" ht="15" hidden="false" customHeight="false" outlineLevel="0" collapsed="false">
      <c r="A899" s="0" t="n">
        <f aca="false">IF(AND(ISNUMBER(B899),B899&gt;0,ISNUMBER(AB899),AB899&gt;0,J899&gt;=Data_Summary!$C$1),1,0)</f>
        <v>1</v>
      </c>
      <c r="B899" s="33" t="n">
        <v>515</v>
      </c>
      <c r="C899" s="5" t="n">
        <f aca="false">IF(ISNUMBER(AB899),AB899,"")</f>
        <v>2200</v>
      </c>
      <c r="D899" s="0" t="n">
        <f aca="false">IF(ISNUMBER(C899),C899-U899*Data_Summary!$C$2,"")</f>
        <v>2200</v>
      </c>
      <c r="E899" s="34" t="n">
        <f aca="false">IFERROR(C899/B899,"")</f>
        <v>4.27184466019418</v>
      </c>
      <c r="F899" s="26" t="n">
        <f aca="false">IFERROR(D899/B899,"")</f>
        <v>4.27184466019418</v>
      </c>
      <c r="G899" s="0" t="str">
        <f aca="false">Q899</f>
        <v>1</v>
      </c>
      <c r="H899" s="0" t="str">
        <f aca="false">IFERROR(LEFT(G899,1),"")</f>
        <v>1</v>
      </c>
      <c r="I899" s="0" t="n">
        <f aca="false">IF(LEN(G899)&gt;1,1,0)</f>
        <v>0</v>
      </c>
      <c r="J899" s="4" t="n">
        <v>45882</v>
      </c>
      <c r="K899" s="0" t="s">
        <v>16</v>
      </c>
      <c r="L899" s="0" t="s">
        <v>106</v>
      </c>
      <c r="M899" s="0" t="s">
        <v>226</v>
      </c>
      <c r="N899" s="0" t="s">
        <v>93</v>
      </c>
      <c r="O899" s="0" t="s">
        <v>1863</v>
      </c>
      <c r="Q899" s="0" t="s">
        <v>242</v>
      </c>
      <c r="R899" s="0" t="n">
        <v>1</v>
      </c>
      <c r="S899" s="5" t="n">
        <v>515</v>
      </c>
      <c r="T899" s="0" t="s">
        <v>243</v>
      </c>
      <c r="U899" s="0" t="n">
        <v>0</v>
      </c>
      <c r="V899" s="0" t="s">
        <v>230</v>
      </c>
      <c r="W899" s="0" t="s">
        <v>244</v>
      </c>
      <c r="X899" s="0" t="s">
        <v>232</v>
      </c>
      <c r="Y899" s="0" t="s">
        <v>278</v>
      </c>
      <c r="Z899" s="0" t="s">
        <v>3854</v>
      </c>
      <c r="AA899" s="0" t="s">
        <v>235</v>
      </c>
      <c r="AB899" s="32" t="n">
        <v>2200</v>
      </c>
      <c r="AC899" s="32" t="n">
        <v>2200</v>
      </c>
      <c r="AD899" s="26" t="n">
        <f aca="false">IFERROR(AB899/B899,"")</f>
        <v>4.27184466019418</v>
      </c>
      <c r="AE899" s="26" t="n">
        <f aca="false">IFERROR(AC899/B899,"")</f>
        <v>4.27184466019418</v>
      </c>
      <c r="AF899" s="0" t="s">
        <v>236</v>
      </c>
      <c r="AG899" s="0" t="s">
        <v>236</v>
      </c>
      <c r="AH899" s="0" t="s">
        <v>230</v>
      </c>
      <c r="AI899" s="0" t="s">
        <v>922</v>
      </c>
      <c r="AJ899" s="0" t="s">
        <v>3947</v>
      </c>
      <c r="AK899" s="0" t="s">
        <v>3948</v>
      </c>
      <c r="AL899" s="0" t="s">
        <v>3949</v>
      </c>
      <c r="AM899" s="0" t="s">
        <v>94</v>
      </c>
      <c r="AN899" s="26" t="n">
        <f aca="false">IFERROR(E899*(1+IF(AM899="Apartment",Data_Summary!$C$3,0)),"")</f>
        <v>4.27184466019418</v>
      </c>
      <c r="AO899" s="4" t="n">
        <v>46195</v>
      </c>
    </row>
    <row r="900" customFormat="false" ht="15" hidden="false" customHeight="false" outlineLevel="0" collapsed="false">
      <c r="A900" s="0" t="n">
        <f aca="false">IF(AND(ISNUMBER(B900),B900&gt;0,ISNUMBER(AB900),AB900&gt;0,J900&gt;=Data_Summary!$C$1),1,0)</f>
        <v>1</v>
      </c>
      <c r="B900" s="33" t="n">
        <v>558</v>
      </c>
      <c r="C900" s="5" t="n">
        <f aca="false">IF(ISNUMBER(AB900),AB900,"")</f>
        <v>2400</v>
      </c>
      <c r="D900" s="0" t="n">
        <f aca="false">IF(ISNUMBER(C900),C900-U900*Data_Summary!$C$2,"")</f>
        <v>2250</v>
      </c>
      <c r="E900" s="34" t="n">
        <f aca="false">IFERROR(C900/B900,"")</f>
        <v>4.3010752688172</v>
      </c>
      <c r="F900" s="26" t="n">
        <f aca="false">IFERROR(D900/B900,"")</f>
        <v>4.03225806451613</v>
      </c>
      <c r="G900" s="0" t="str">
        <f aca="false">Q900</f>
        <v>1</v>
      </c>
      <c r="H900" s="0" t="str">
        <f aca="false">IFERROR(LEFT(G900,1),"")</f>
        <v>1</v>
      </c>
      <c r="I900" s="0" t="n">
        <f aca="false">IF(LEN(G900)&gt;1,1,0)</f>
        <v>0</v>
      </c>
      <c r="J900" s="4" t="n">
        <v>45870</v>
      </c>
      <c r="K900" s="0" t="s">
        <v>16</v>
      </c>
      <c r="L900" s="0" t="s">
        <v>106</v>
      </c>
      <c r="M900" s="0" t="s">
        <v>226</v>
      </c>
      <c r="N900" s="0" t="s">
        <v>93</v>
      </c>
      <c r="O900" s="0" t="s">
        <v>3950</v>
      </c>
      <c r="Q900" s="0" t="s">
        <v>242</v>
      </c>
      <c r="R900" s="0" t="n">
        <v>1</v>
      </c>
      <c r="S900" s="5" t="n">
        <v>558</v>
      </c>
      <c r="T900" s="0" t="s">
        <v>243</v>
      </c>
      <c r="U900" s="0" t="n">
        <v>1</v>
      </c>
      <c r="V900" s="0" t="s">
        <v>230</v>
      </c>
      <c r="W900" s="0" t="s">
        <v>231</v>
      </c>
      <c r="Y900" s="0" t="s">
        <v>245</v>
      </c>
      <c r="Z900" s="0" t="s">
        <v>3854</v>
      </c>
      <c r="AA900" s="0" t="s">
        <v>235</v>
      </c>
      <c r="AB900" s="32" t="n">
        <v>2400</v>
      </c>
      <c r="AC900" s="32" t="n">
        <v>2500</v>
      </c>
      <c r="AD900" s="26" t="n">
        <f aca="false">IFERROR(AB900/B900,"")</f>
        <v>4.3010752688172</v>
      </c>
      <c r="AE900" s="26" t="n">
        <f aca="false">IFERROR(AC900/B900,"")</f>
        <v>4.48028673835125</v>
      </c>
      <c r="AF900" s="0" t="s">
        <v>236</v>
      </c>
      <c r="AG900" s="0" t="s">
        <v>236</v>
      </c>
      <c r="AH900" s="0" t="s">
        <v>230</v>
      </c>
      <c r="AI900" s="0" t="s">
        <v>982</v>
      </c>
      <c r="AJ900" s="0" t="s">
        <v>3951</v>
      </c>
      <c r="AK900" s="0" t="s">
        <v>3952</v>
      </c>
      <c r="AL900" s="0" t="s">
        <v>3953</v>
      </c>
      <c r="AM900" s="0" t="s">
        <v>94</v>
      </c>
      <c r="AN900" s="26" t="n">
        <f aca="false">IFERROR(E900*(1+IF(AM900="Apartment",Data_Summary!$C$3,0)),"")</f>
        <v>4.3010752688172</v>
      </c>
      <c r="AO900" s="4" t="n">
        <v>46195</v>
      </c>
    </row>
    <row r="901" customFormat="false" ht="15" hidden="false" customHeight="false" outlineLevel="0" collapsed="false">
      <c r="A901" s="0" t="n">
        <f aca="false">IF(AND(ISNUMBER(B901),B901&gt;0,ISNUMBER(AB901),AB901&gt;0,J901&gt;=Data_Summary!$C$1),1,0)</f>
        <v>1</v>
      </c>
      <c r="B901" s="33" t="n">
        <v>403</v>
      </c>
      <c r="C901" s="5" t="n">
        <f aca="false">IF(ISNUMBER(AB901),AB901,"")</f>
        <v>2100</v>
      </c>
      <c r="D901" s="0" t="n">
        <f aca="false">IF(ISNUMBER(C901),C901-U901*Data_Summary!$C$2,"")</f>
        <v>2100</v>
      </c>
      <c r="E901" s="34" t="n">
        <f aca="false">IFERROR(C901/B901,"")</f>
        <v>5.21091811414392</v>
      </c>
      <c r="F901" s="26" t="n">
        <f aca="false">IFERROR(D901/B901,"")</f>
        <v>5.21091811414392</v>
      </c>
      <c r="G901" s="0" t="str">
        <f aca="false">Q901</f>
        <v>1</v>
      </c>
      <c r="H901" s="0" t="str">
        <f aca="false">IFERROR(LEFT(G901,1),"")</f>
        <v>1</v>
      </c>
      <c r="I901" s="0" t="n">
        <f aca="false">IF(LEN(G901)&gt;1,1,0)</f>
        <v>0</v>
      </c>
      <c r="J901" s="4" t="n">
        <v>45869</v>
      </c>
      <c r="K901" s="0" t="s">
        <v>16</v>
      </c>
      <c r="L901" s="0" t="s">
        <v>106</v>
      </c>
      <c r="M901" s="0" t="s">
        <v>226</v>
      </c>
      <c r="N901" s="0" t="s">
        <v>93</v>
      </c>
      <c r="O901" s="0" t="s">
        <v>3475</v>
      </c>
      <c r="Q901" s="0" t="s">
        <v>242</v>
      </c>
      <c r="R901" s="0" t="n">
        <v>1</v>
      </c>
      <c r="S901" s="5" t="n">
        <v>403</v>
      </c>
      <c r="T901" s="0" t="s">
        <v>303</v>
      </c>
      <c r="U901" s="0" t="n">
        <v>0</v>
      </c>
      <c r="V901" s="0" t="s">
        <v>230</v>
      </c>
      <c r="W901" s="0" t="s">
        <v>244</v>
      </c>
      <c r="X901" s="0" t="s">
        <v>232</v>
      </c>
      <c r="Y901" s="0" t="s">
        <v>272</v>
      </c>
      <c r="Z901" s="0" t="s">
        <v>3854</v>
      </c>
      <c r="AA901" s="0" t="s">
        <v>235</v>
      </c>
      <c r="AB901" s="32" t="n">
        <v>2100</v>
      </c>
      <c r="AC901" s="32" t="n">
        <v>2100</v>
      </c>
      <c r="AD901" s="26" t="n">
        <f aca="false">IFERROR(AB901/B901,"")</f>
        <v>5.21091811414392</v>
      </c>
      <c r="AE901" s="26" t="n">
        <f aca="false">IFERROR(AC901/B901,"")</f>
        <v>5.21091811414392</v>
      </c>
      <c r="AF901" s="0" t="s">
        <v>421</v>
      </c>
      <c r="AG901" s="0" t="s">
        <v>236</v>
      </c>
      <c r="AH901" s="0" t="s">
        <v>230</v>
      </c>
      <c r="AI901" s="0" t="s">
        <v>3019</v>
      </c>
      <c r="AJ901" s="0" t="s">
        <v>3954</v>
      </c>
      <c r="AK901" s="0" t="s">
        <v>3955</v>
      </c>
      <c r="AL901" s="0" t="s">
        <v>3956</v>
      </c>
      <c r="AM901" s="0" t="s">
        <v>94</v>
      </c>
      <c r="AN901" s="26" t="n">
        <f aca="false">IFERROR(E901*(1+IF(AM901="Apartment",Data_Summary!$C$3,0)),"")</f>
        <v>5.21091811414392</v>
      </c>
      <c r="AO901" s="4" t="n">
        <v>46195</v>
      </c>
    </row>
    <row r="902" customFormat="false" ht="15" hidden="false" customHeight="false" outlineLevel="0" collapsed="false">
      <c r="A902" s="0" t="n">
        <f aca="false">IF(AND(ISNUMBER(B902),B902&gt;0,ISNUMBER(AB902),AB902&gt;0,J902&gt;=Data_Summary!$C$1),1,0)</f>
        <v>1</v>
      </c>
      <c r="B902" s="33" t="n">
        <v>466</v>
      </c>
      <c r="C902" s="5" t="n">
        <f aca="false">IF(ISNUMBER(AB902),AB902,"")</f>
        <v>2200</v>
      </c>
      <c r="D902" s="0" t="n">
        <f aca="false">IF(ISNUMBER(C902),C902-U902*Data_Summary!$C$2,"")</f>
        <v>2200</v>
      </c>
      <c r="E902" s="34" t="n">
        <f aca="false">IFERROR(C902/B902,"")</f>
        <v>4.72103004291846</v>
      </c>
      <c r="F902" s="26" t="n">
        <f aca="false">IFERROR(D902/B902,"")</f>
        <v>4.72103004291846</v>
      </c>
      <c r="G902" s="0" t="str">
        <f aca="false">Q902</f>
        <v>1</v>
      </c>
      <c r="H902" s="0" t="str">
        <f aca="false">IFERROR(LEFT(G902,1),"")</f>
        <v>1</v>
      </c>
      <c r="I902" s="0" t="n">
        <f aca="false">IF(LEN(G902)&gt;1,1,0)</f>
        <v>0</v>
      </c>
      <c r="J902" s="4" t="n">
        <v>45862</v>
      </c>
      <c r="K902" s="0" t="s">
        <v>16</v>
      </c>
      <c r="L902" s="0" t="s">
        <v>106</v>
      </c>
      <c r="M902" s="0" t="s">
        <v>226</v>
      </c>
      <c r="N902" s="0" t="s">
        <v>93</v>
      </c>
      <c r="O902" s="0" t="s">
        <v>1581</v>
      </c>
      <c r="Q902" s="0" t="s">
        <v>242</v>
      </c>
      <c r="R902" s="0" t="n">
        <v>1</v>
      </c>
      <c r="S902" s="5" t="n">
        <v>466</v>
      </c>
      <c r="T902" s="0" t="s">
        <v>243</v>
      </c>
      <c r="U902" s="0" t="n">
        <v>0</v>
      </c>
      <c r="V902" s="0" t="s">
        <v>230</v>
      </c>
      <c r="W902" s="0" t="s">
        <v>231</v>
      </c>
      <c r="Y902" s="0" t="s">
        <v>253</v>
      </c>
      <c r="Z902" s="0" t="s">
        <v>3854</v>
      </c>
      <c r="AA902" s="0" t="s">
        <v>235</v>
      </c>
      <c r="AB902" s="32" t="n">
        <v>2200</v>
      </c>
      <c r="AC902" s="32" t="n">
        <v>2200</v>
      </c>
      <c r="AD902" s="26" t="n">
        <f aca="false">IFERROR(AB902/B902,"")</f>
        <v>4.72103004291846</v>
      </c>
      <c r="AE902" s="26" t="n">
        <f aca="false">IFERROR(AC902/B902,"")</f>
        <v>4.72103004291846</v>
      </c>
      <c r="AF902" s="0" t="s">
        <v>236</v>
      </c>
      <c r="AG902" s="0" t="s">
        <v>236</v>
      </c>
      <c r="AH902" s="0" t="s">
        <v>230</v>
      </c>
      <c r="AI902" s="0" t="s">
        <v>1021</v>
      </c>
      <c r="AJ902" s="0" t="s">
        <v>3957</v>
      </c>
      <c r="AK902" s="0" t="s">
        <v>3958</v>
      </c>
      <c r="AL902" s="0" t="s">
        <v>3959</v>
      </c>
      <c r="AM902" s="0" t="s">
        <v>94</v>
      </c>
      <c r="AN902" s="26" t="n">
        <f aca="false">IFERROR(E902*(1+IF(AM902="Apartment",Data_Summary!$C$3,0)),"")</f>
        <v>4.72103004291846</v>
      </c>
      <c r="AO902" s="4" t="n">
        <v>46195</v>
      </c>
    </row>
    <row r="903" customFormat="false" ht="15" hidden="false" customHeight="false" outlineLevel="0" collapsed="false">
      <c r="A903" s="0" t="n">
        <f aca="false">IF(AND(ISNUMBER(B903),B903&gt;0,ISNUMBER(AB903),AB903&gt;0,J903&gt;=Data_Summary!$C$1),1,0)</f>
        <v>1</v>
      </c>
      <c r="B903" s="33" t="n">
        <v>403</v>
      </c>
      <c r="C903" s="5" t="n">
        <f aca="false">IF(ISNUMBER(AB903),AB903,"")</f>
        <v>1900</v>
      </c>
      <c r="D903" s="0" t="n">
        <f aca="false">IF(ISNUMBER(C903),C903-U903*Data_Summary!$C$2,"")</f>
        <v>1900</v>
      </c>
      <c r="E903" s="34" t="n">
        <f aca="false">IFERROR(C903/B903,"")</f>
        <v>4.71464019851117</v>
      </c>
      <c r="F903" s="26" t="n">
        <f aca="false">IFERROR(D903/B903,"")</f>
        <v>4.71464019851117</v>
      </c>
      <c r="G903" s="0" t="str">
        <f aca="false">Q903</f>
        <v>1</v>
      </c>
      <c r="H903" s="0" t="str">
        <f aca="false">IFERROR(LEFT(G903,1),"")</f>
        <v>1</v>
      </c>
      <c r="I903" s="0" t="n">
        <f aca="false">IF(LEN(G903)&gt;1,1,0)</f>
        <v>0</v>
      </c>
      <c r="J903" s="4" t="n">
        <v>45862</v>
      </c>
      <c r="K903" s="0" t="s">
        <v>16</v>
      </c>
      <c r="L903" s="0" t="s">
        <v>106</v>
      </c>
      <c r="M903" s="0" t="s">
        <v>226</v>
      </c>
      <c r="N903" s="0" t="s">
        <v>93</v>
      </c>
      <c r="O903" s="0" t="s">
        <v>1482</v>
      </c>
      <c r="Q903" s="0" t="s">
        <v>242</v>
      </c>
      <c r="R903" s="0" t="n">
        <v>1</v>
      </c>
      <c r="S903" s="5" t="n">
        <v>403</v>
      </c>
      <c r="T903" s="0" t="s">
        <v>303</v>
      </c>
      <c r="U903" s="0" t="n">
        <v>0</v>
      </c>
      <c r="V903" s="0" t="s">
        <v>230</v>
      </c>
      <c r="W903" s="0" t="s">
        <v>231</v>
      </c>
      <c r="X903" s="0" t="s">
        <v>232</v>
      </c>
      <c r="Y903" s="0" t="s">
        <v>260</v>
      </c>
      <c r="Z903" s="0" t="s">
        <v>3854</v>
      </c>
      <c r="AA903" s="0" t="s">
        <v>235</v>
      </c>
      <c r="AB903" s="32" t="n">
        <v>1900</v>
      </c>
      <c r="AC903" s="32" t="n">
        <v>1900</v>
      </c>
      <c r="AD903" s="26" t="n">
        <f aca="false">IFERROR(AB903/B903,"")</f>
        <v>4.71464019851117</v>
      </c>
      <c r="AE903" s="26" t="n">
        <f aca="false">IFERROR(AC903/B903,"")</f>
        <v>4.71464019851117</v>
      </c>
      <c r="AF903" s="0" t="s">
        <v>236</v>
      </c>
      <c r="AG903" s="0" t="s">
        <v>236</v>
      </c>
      <c r="AH903" s="0" t="s">
        <v>230</v>
      </c>
      <c r="AI903" s="0" t="s">
        <v>1021</v>
      </c>
      <c r="AJ903" s="0" t="s">
        <v>3960</v>
      </c>
      <c r="AK903" s="0" t="s">
        <v>3961</v>
      </c>
      <c r="AL903" s="0" t="s">
        <v>3962</v>
      </c>
      <c r="AM903" s="0" t="s">
        <v>94</v>
      </c>
      <c r="AN903" s="26" t="n">
        <f aca="false">IFERROR(E903*(1+IF(AM903="Apartment",Data_Summary!$C$3,0)),"")</f>
        <v>4.71464019851117</v>
      </c>
      <c r="AO903" s="4" t="n">
        <v>46195</v>
      </c>
    </row>
    <row r="904" customFormat="false" ht="15" hidden="false" customHeight="false" outlineLevel="0" collapsed="false">
      <c r="A904" s="0" t="n">
        <f aca="false">IF(AND(ISNUMBER(B904),B904&gt;0,ISNUMBER(AB904),AB904&gt;0,J904&gt;=Data_Summary!$C$1),1,0)</f>
        <v>1</v>
      </c>
      <c r="B904" s="33" t="n">
        <v>505</v>
      </c>
      <c r="C904" s="5" t="n">
        <f aca="false">IF(ISNUMBER(AB904),AB904,"")</f>
        <v>2250</v>
      </c>
      <c r="D904" s="0" t="n">
        <f aca="false">IF(ISNUMBER(C904),C904-U904*Data_Summary!$C$2,"")</f>
        <v>2250</v>
      </c>
      <c r="E904" s="34" t="n">
        <f aca="false">IFERROR(C904/B904,"")</f>
        <v>4.45544554455446</v>
      </c>
      <c r="F904" s="26" t="n">
        <f aca="false">IFERROR(D904/B904,"")</f>
        <v>4.45544554455446</v>
      </c>
      <c r="G904" s="0" t="str">
        <f aca="false">Q904</f>
        <v>1</v>
      </c>
      <c r="H904" s="0" t="str">
        <f aca="false">IFERROR(LEFT(G904,1),"")</f>
        <v>1</v>
      </c>
      <c r="I904" s="0" t="n">
        <f aca="false">IF(LEN(G904)&gt;1,1,0)</f>
        <v>0</v>
      </c>
      <c r="J904" s="4" t="n">
        <v>45859</v>
      </c>
      <c r="K904" s="0" t="s">
        <v>16</v>
      </c>
      <c r="L904" s="0" t="s">
        <v>106</v>
      </c>
      <c r="M904" s="0" t="s">
        <v>226</v>
      </c>
      <c r="N904" s="0" t="s">
        <v>93</v>
      </c>
      <c r="O904" s="0" t="s">
        <v>3963</v>
      </c>
      <c r="Q904" s="0" t="s">
        <v>242</v>
      </c>
      <c r="R904" s="0" t="n">
        <v>1</v>
      </c>
      <c r="S904" s="5" t="n">
        <v>505</v>
      </c>
      <c r="T904" s="0" t="s">
        <v>243</v>
      </c>
      <c r="U904" s="0" t="n">
        <v>0</v>
      </c>
      <c r="V904" s="0" t="s">
        <v>230</v>
      </c>
      <c r="W904" s="0" t="s">
        <v>244</v>
      </c>
      <c r="X904" s="0" t="s">
        <v>232</v>
      </c>
      <c r="Y904" s="0" t="s">
        <v>308</v>
      </c>
      <c r="Z904" s="0" t="s">
        <v>3854</v>
      </c>
      <c r="AA904" s="0" t="s">
        <v>235</v>
      </c>
      <c r="AB904" s="32" t="n">
        <v>2250</v>
      </c>
      <c r="AC904" s="32" t="n">
        <v>2300</v>
      </c>
      <c r="AD904" s="26" t="n">
        <f aca="false">IFERROR(AB904/B904,"")</f>
        <v>4.45544554455446</v>
      </c>
      <c r="AE904" s="26" t="n">
        <f aca="false">IFERROR(AC904/B904,"")</f>
        <v>4.55445544554455</v>
      </c>
      <c r="AF904" s="0" t="s">
        <v>236</v>
      </c>
      <c r="AG904" s="0" t="s">
        <v>236</v>
      </c>
      <c r="AH904" s="0" t="s">
        <v>230</v>
      </c>
      <c r="AI904" s="0" t="s">
        <v>2106</v>
      </c>
      <c r="AJ904" s="0" t="s">
        <v>3964</v>
      </c>
      <c r="AK904" s="0" t="s">
        <v>3965</v>
      </c>
      <c r="AL904" s="0" t="s">
        <v>3966</v>
      </c>
      <c r="AM904" s="0" t="s">
        <v>94</v>
      </c>
      <c r="AN904" s="26" t="n">
        <f aca="false">IFERROR(E904*(1+IF(AM904="Apartment",Data_Summary!$C$3,0)),"")</f>
        <v>4.45544554455446</v>
      </c>
      <c r="AO904" s="4" t="n">
        <v>46195</v>
      </c>
    </row>
    <row r="905" customFormat="false" ht="15" hidden="false" customHeight="false" outlineLevel="0" collapsed="false">
      <c r="A905" s="0" t="n">
        <f aca="false">IF(AND(ISNUMBER(B905),B905&gt;0,ISNUMBER(AB905),AB905&gt;0,J905&gt;=Data_Summary!$C$1),1,0)</f>
        <v>1</v>
      </c>
      <c r="B905" s="33" t="n">
        <v>585</v>
      </c>
      <c r="C905" s="5" t="n">
        <f aca="false">IF(ISNUMBER(AB905),AB905,"")</f>
        <v>2400</v>
      </c>
      <c r="D905" s="0" t="n">
        <f aca="false">IF(ISNUMBER(C905),C905-U905*Data_Summary!$C$2,"")</f>
        <v>2250</v>
      </c>
      <c r="E905" s="34" t="n">
        <f aca="false">IFERROR(C905/B905,"")</f>
        <v>4.1025641025641</v>
      </c>
      <c r="F905" s="26" t="n">
        <f aca="false">IFERROR(D905/B905,"")</f>
        <v>3.84615384615385</v>
      </c>
      <c r="G905" s="0" t="str">
        <f aca="false">Q905</f>
        <v>1+1</v>
      </c>
      <c r="H905" s="0" t="str">
        <f aca="false">IFERROR(LEFT(G905,1),"")</f>
        <v>1</v>
      </c>
      <c r="I905" s="0" t="n">
        <f aca="false">IF(LEN(G905)&gt;1,1,0)</f>
        <v>1</v>
      </c>
      <c r="J905" s="4" t="n">
        <v>45849</v>
      </c>
      <c r="K905" s="0" t="s">
        <v>16</v>
      </c>
      <c r="L905" s="0" t="s">
        <v>106</v>
      </c>
      <c r="M905" s="0" t="s">
        <v>226</v>
      </c>
      <c r="N905" s="0" t="s">
        <v>93</v>
      </c>
      <c r="O905" s="0" t="s">
        <v>1891</v>
      </c>
      <c r="Q905" s="0" t="s">
        <v>270</v>
      </c>
      <c r="R905" s="0" t="n">
        <v>1</v>
      </c>
      <c r="S905" s="5" t="n">
        <v>585</v>
      </c>
      <c r="T905" s="0" t="s">
        <v>271</v>
      </c>
      <c r="U905" s="0" t="n">
        <v>1</v>
      </c>
      <c r="V905" s="0" t="s">
        <v>230</v>
      </c>
      <c r="W905" s="0" t="s">
        <v>244</v>
      </c>
      <c r="X905" s="0" t="s">
        <v>232</v>
      </c>
      <c r="Y905" s="0" t="s">
        <v>245</v>
      </c>
      <c r="Z905" s="0" t="s">
        <v>3854</v>
      </c>
      <c r="AA905" s="0" t="s">
        <v>235</v>
      </c>
      <c r="AB905" s="32" t="n">
        <v>2400</v>
      </c>
      <c r="AC905" s="32" t="n">
        <v>2425</v>
      </c>
      <c r="AD905" s="26" t="n">
        <f aca="false">IFERROR(AB905/B905,"")</f>
        <v>4.1025641025641</v>
      </c>
      <c r="AE905" s="26" t="n">
        <f aca="false">IFERROR(AC905/B905,"")</f>
        <v>4.14529914529915</v>
      </c>
      <c r="AF905" s="0" t="s">
        <v>236</v>
      </c>
      <c r="AG905" s="0" t="s">
        <v>236</v>
      </c>
      <c r="AH905" s="0" t="s">
        <v>230</v>
      </c>
      <c r="AI905" s="0" t="s">
        <v>1111</v>
      </c>
      <c r="AJ905" s="0" t="s">
        <v>3967</v>
      </c>
      <c r="AK905" s="0" t="s">
        <v>3968</v>
      </c>
      <c r="AL905" s="0" t="s">
        <v>3969</v>
      </c>
      <c r="AM905" s="0" t="s">
        <v>94</v>
      </c>
      <c r="AN905" s="26" t="n">
        <f aca="false">IFERROR(E905*(1+IF(AM905="Apartment",Data_Summary!$C$3,0)),"")</f>
        <v>4.1025641025641</v>
      </c>
      <c r="AO905" s="4" t="n">
        <v>46195</v>
      </c>
    </row>
    <row r="906" customFormat="false" ht="15" hidden="false" customHeight="false" outlineLevel="0" collapsed="false">
      <c r="A906" s="0" t="n">
        <f aca="false">IF(AND(ISNUMBER(B906),B906&gt;0,ISNUMBER(AB906),AB906&gt;0,J906&gt;=Data_Summary!$C$1),1,0)</f>
        <v>1</v>
      </c>
      <c r="B906" s="33" t="n">
        <v>403</v>
      </c>
      <c r="C906" s="5" t="n">
        <f aca="false">IF(ISNUMBER(AB906),AB906,"")</f>
        <v>2100</v>
      </c>
      <c r="D906" s="0" t="n">
        <f aca="false">IF(ISNUMBER(C906),C906-U906*Data_Summary!$C$2,"")</f>
        <v>2100</v>
      </c>
      <c r="E906" s="34" t="n">
        <f aca="false">IFERROR(C906/B906,"")</f>
        <v>5.21091811414392</v>
      </c>
      <c r="F906" s="26" t="n">
        <f aca="false">IFERROR(D906/B906,"")</f>
        <v>5.21091811414392</v>
      </c>
      <c r="G906" s="0" t="str">
        <f aca="false">Q906</f>
        <v>1</v>
      </c>
      <c r="H906" s="0" t="str">
        <f aca="false">IFERROR(LEFT(G906,1),"")</f>
        <v>1</v>
      </c>
      <c r="I906" s="0" t="n">
        <f aca="false">IF(LEN(G906)&gt;1,1,0)</f>
        <v>0</v>
      </c>
      <c r="J906" s="4" t="n">
        <v>45849</v>
      </c>
      <c r="K906" s="0" t="s">
        <v>16</v>
      </c>
      <c r="L906" s="0" t="s">
        <v>106</v>
      </c>
      <c r="M906" s="0" t="s">
        <v>226</v>
      </c>
      <c r="N906" s="0" t="s">
        <v>93</v>
      </c>
      <c r="O906" s="0" t="s">
        <v>3377</v>
      </c>
      <c r="Q906" s="0" t="s">
        <v>242</v>
      </c>
      <c r="R906" s="0" t="n">
        <v>1</v>
      </c>
      <c r="S906" s="5" t="n">
        <v>403</v>
      </c>
      <c r="T906" s="0" t="s">
        <v>303</v>
      </c>
      <c r="U906" s="0" t="n">
        <v>0</v>
      </c>
      <c r="V906" s="0" t="s">
        <v>230</v>
      </c>
      <c r="W906" s="0" t="s">
        <v>231</v>
      </c>
      <c r="X906" s="0" t="s">
        <v>232</v>
      </c>
      <c r="Y906" s="0" t="s">
        <v>272</v>
      </c>
      <c r="Z906" s="0" t="s">
        <v>3854</v>
      </c>
      <c r="AA906" s="0" t="s">
        <v>235</v>
      </c>
      <c r="AB906" s="32" t="n">
        <v>2100</v>
      </c>
      <c r="AC906" s="32" t="n">
        <v>2100</v>
      </c>
      <c r="AD906" s="26" t="n">
        <f aca="false">IFERROR(AB906/B906,"")</f>
        <v>5.21091811414392</v>
      </c>
      <c r="AE906" s="26" t="n">
        <f aca="false">IFERROR(AC906/B906,"")</f>
        <v>5.21091811414392</v>
      </c>
      <c r="AF906" s="0" t="s">
        <v>236</v>
      </c>
      <c r="AG906" s="0" t="s">
        <v>236</v>
      </c>
      <c r="AH906" s="0" t="s">
        <v>230</v>
      </c>
      <c r="AI906" s="0" t="s">
        <v>1111</v>
      </c>
      <c r="AJ906" s="0" t="s">
        <v>3970</v>
      </c>
      <c r="AK906" s="0" t="s">
        <v>3971</v>
      </c>
      <c r="AL906" s="0" t="s">
        <v>3972</v>
      </c>
      <c r="AM906" s="0" t="s">
        <v>94</v>
      </c>
      <c r="AN906" s="26" t="n">
        <f aca="false">IFERROR(E906*(1+IF(AM906="Apartment",Data_Summary!$C$3,0)),"")</f>
        <v>5.21091811414392</v>
      </c>
      <c r="AO906" s="4" t="n">
        <v>46195</v>
      </c>
    </row>
    <row r="907" customFormat="false" ht="15" hidden="false" customHeight="false" outlineLevel="0" collapsed="false">
      <c r="A907" s="0" t="n">
        <f aca="false">IF(AND(ISNUMBER(B907),B907&gt;0,ISNUMBER(AB907),AB907&gt;0,J907&gt;=Data_Summary!$C$1),1,0)</f>
        <v>1</v>
      </c>
      <c r="B907" s="30" t="n">
        <v>492</v>
      </c>
      <c r="C907" s="5" t="n">
        <f aca="false">IF(ISNUMBER(AB907),AB907,"")</f>
        <v>2150</v>
      </c>
      <c r="D907" s="0" t="n">
        <f aca="false">IF(ISNUMBER(C907),C907-U907*Data_Summary!$C$2,"")</f>
        <v>2150</v>
      </c>
      <c r="E907" s="31" t="n">
        <f aca="false">IFERROR(C907/B907,"")</f>
        <v>4.36991869918699</v>
      </c>
      <c r="F907" s="26" t="n">
        <f aca="false">IFERROR(D907/B907,"")</f>
        <v>4.36991869918699</v>
      </c>
      <c r="G907" s="0" t="str">
        <f aca="false">Q907</f>
        <v>1</v>
      </c>
      <c r="H907" s="0" t="str">
        <f aca="false">IFERROR(LEFT(G907,1),"")</f>
        <v>1</v>
      </c>
      <c r="I907" s="0" t="n">
        <f aca="false">IF(LEN(G907)&gt;1,1,0)</f>
        <v>0</v>
      </c>
      <c r="J907" s="4" t="n">
        <v>45846</v>
      </c>
      <c r="K907" s="0" t="s">
        <v>16</v>
      </c>
      <c r="L907" s="0" t="s">
        <v>106</v>
      </c>
      <c r="M907" s="0" t="s">
        <v>226</v>
      </c>
      <c r="N907" s="0" t="s">
        <v>93</v>
      </c>
      <c r="O907" s="0" t="s">
        <v>2487</v>
      </c>
      <c r="Q907" s="0" t="s">
        <v>242</v>
      </c>
      <c r="R907" s="0" t="n">
        <v>1</v>
      </c>
      <c r="S907" s="5" t="n">
        <v>492</v>
      </c>
      <c r="T907" s="0" t="s">
        <v>303</v>
      </c>
      <c r="U907" s="0" t="n">
        <v>0</v>
      </c>
      <c r="V907" s="0" t="s">
        <v>230</v>
      </c>
      <c r="W907" s="0" t="s">
        <v>231</v>
      </c>
      <c r="X907" s="0" t="s">
        <v>232</v>
      </c>
      <c r="Y907" s="0" t="s">
        <v>272</v>
      </c>
      <c r="Z907" s="0" t="s">
        <v>3854</v>
      </c>
      <c r="AA907" s="0" t="s">
        <v>235</v>
      </c>
      <c r="AB907" s="32" t="n">
        <v>2150</v>
      </c>
      <c r="AC907" s="32" t="n">
        <v>2150</v>
      </c>
      <c r="AD907" s="26" t="n">
        <f aca="false">IFERROR(AB907/B907,"")</f>
        <v>4.36991869918699</v>
      </c>
      <c r="AE907" s="26" t="n">
        <f aca="false">IFERROR(AC907/B907,"")</f>
        <v>4.36991869918699</v>
      </c>
      <c r="AF907" s="0" t="s">
        <v>236</v>
      </c>
      <c r="AG907" s="0" t="s">
        <v>236</v>
      </c>
      <c r="AH907" s="0" t="s">
        <v>236</v>
      </c>
      <c r="AI907" s="0" t="s">
        <v>1135</v>
      </c>
      <c r="AJ907" s="0" t="s">
        <v>3973</v>
      </c>
      <c r="AK907" s="0" t="s">
        <v>3974</v>
      </c>
      <c r="AL907" s="0" t="s">
        <v>3975</v>
      </c>
      <c r="AM907" s="0" t="s">
        <v>94</v>
      </c>
      <c r="AN907" s="26" t="n">
        <f aca="false">IFERROR(E907*(1+IF(AM907="Apartment",Data_Summary!$C$3,0)),"")</f>
        <v>4.36991869918699</v>
      </c>
      <c r="AO907" s="4" t="n">
        <v>46195</v>
      </c>
    </row>
    <row r="908" customFormat="false" ht="15" hidden="false" customHeight="false" outlineLevel="0" collapsed="false">
      <c r="A908" s="0" t="n">
        <f aca="false">IF(AND(ISNUMBER(B908),B908&gt;0,ISNUMBER(AB908),AB908&gt;0,J908&gt;=Data_Summary!$C$1),1,0)</f>
        <v>1</v>
      </c>
      <c r="B908" s="30" t="n">
        <v>492</v>
      </c>
      <c r="C908" s="5" t="n">
        <f aca="false">IF(ISNUMBER(AB908),AB908,"")</f>
        <v>2200</v>
      </c>
      <c r="D908" s="0" t="n">
        <f aca="false">IF(ISNUMBER(C908),C908-U908*Data_Summary!$C$2,"")</f>
        <v>2200</v>
      </c>
      <c r="E908" s="31" t="n">
        <f aca="false">IFERROR(C908/B908,"")</f>
        <v>4.47154471544716</v>
      </c>
      <c r="F908" s="26" t="n">
        <f aca="false">IFERROR(D908/B908,"")</f>
        <v>4.47154471544716</v>
      </c>
      <c r="G908" s="0" t="str">
        <f aca="false">Q908</f>
        <v>1</v>
      </c>
      <c r="H908" s="0" t="str">
        <f aca="false">IFERROR(LEFT(G908,1),"")</f>
        <v>1</v>
      </c>
      <c r="I908" s="0" t="n">
        <f aca="false">IF(LEN(G908)&gt;1,1,0)</f>
        <v>0</v>
      </c>
      <c r="J908" s="4" t="n">
        <v>45843</v>
      </c>
      <c r="K908" s="0" t="s">
        <v>16</v>
      </c>
      <c r="L908" s="0" t="s">
        <v>106</v>
      </c>
      <c r="M908" s="0" t="s">
        <v>226</v>
      </c>
      <c r="N908" s="0" t="s">
        <v>93</v>
      </c>
      <c r="O908" s="0" t="s">
        <v>778</v>
      </c>
      <c r="Q908" s="0" t="s">
        <v>242</v>
      </c>
      <c r="R908" s="0" t="n">
        <v>1</v>
      </c>
      <c r="S908" s="5" t="n">
        <v>492</v>
      </c>
      <c r="T908" s="0" t="s">
        <v>303</v>
      </c>
      <c r="U908" s="0" t="n">
        <v>0</v>
      </c>
      <c r="V908" s="0" t="s">
        <v>230</v>
      </c>
      <c r="W908" s="0" t="s">
        <v>244</v>
      </c>
      <c r="X908" s="0" t="s">
        <v>232</v>
      </c>
      <c r="Y908" s="0" t="s">
        <v>272</v>
      </c>
      <c r="Z908" s="0" t="s">
        <v>3854</v>
      </c>
      <c r="AA908" s="0" t="s">
        <v>235</v>
      </c>
      <c r="AB908" s="32" t="n">
        <v>2200</v>
      </c>
      <c r="AC908" s="32" t="n">
        <v>2200</v>
      </c>
      <c r="AD908" s="26" t="n">
        <f aca="false">IFERROR(AB908/B908,"")</f>
        <v>4.47154471544716</v>
      </c>
      <c r="AE908" s="26" t="n">
        <f aca="false">IFERROR(AC908/B908,"")</f>
        <v>4.47154471544716</v>
      </c>
      <c r="AF908" s="0" t="s">
        <v>236</v>
      </c>
      <c r="AG908" s="0" t="s">
        <v>236</v>
      </c>
      <c r="AH908" s="0" t="s">
        <v>230</v>
      </c>
      <c r="AI908" s="0" t="s">
        <v>1153</v>
      </c>
      <c r="AJ908" s="0" t="s">
        <v>3976</v>
      </c>
      <c r="AK908" s="0" t="s">
        <v>3977</v>
      </c>
      <c r="AL908" s="0" t="s">
        <v>3978</v>
      </c>
      <c r="AM908" s="0" t="s">
        <v>94</v>
      </c>
      <c r="AN908" s="26" t="n">
        <f aca="false">IFERROR(E908*(1+IF(AM908="Apartment",Data_Summary!$C$3,0)),"")</f>
        <v>4.47154471544716</v>
      </c>
      <c r="AO908" s="4" t="n">
        <v>46195</v>
      </c>
    </row>
    <row r="909" customFormat="false" ht="15" hidden="false" customHeight="false" outlineLevel="0" collapsed="false">
      <c r="A909" s="0" t="n">
        <f aca="false">IF(AND(ISNUMBER(B909),B909&gt;0,ISNUMBER(AB909),AB909&gt;0,J909&gt;=Data_Summary!$C$1),1,0)</f>
        <v>1</v>
      </c>
      <c r="B909" s="30" t="n">
        <v>643</v>
      </c>
      <c r="C909" s="5" t="n">
        <f aca="false">IF(ISNUMBER(AB909),AB909,"")</f>
        <v>2350</v>
      </c>
      <c r="D909" s="0" t="n">
        <f aca="false">IF(ISNUMBER(C909),C909-U909*Data_Summary!$C$2,"")</f>
        <v>2350</v>
      </c>
      <c r="E909" s="31" t="n">
        <f aca="false">IFERROR(C909/B909,"")</f>
        <v>3.6547433903577</v>
      </c>
      <c r="F909" s="26" t="n">
        <f aca="false">IFERROR(D909/B909,"")</f>
        <v>3.6547433903577</v>
      </c>
      <c r="G909" s="0" t="str">
        <f aca="false">Q909</f>
        <v>1+1</v>
      </c>
      <c r="H909" s="0" t="str">
        <f aca="false">IFERROR(LEFT(G909,1),"")</f>
        <v>1</v>
      </c>
      <c r="I909" s="0" t="n">
        <f aca="false">IF(LEN(G909)&gt;1,1,0)</f>
        <v>1</v>
      </c>
      <c r="J909" s="4" t="n">
        <v>45840</v>
      </c>
      <c r="K909" s="0" t="s">
        <v>16</v>
      </c>
      <c r="L909" s="0" t="s">
        <v>106</v>
      </c>
      <c r="M909" s="0" t="s">
        <v>226</v>
      </c>
      <c r="N909" s="0" t="s">
        <v>93</v>
      </c>
      <c r="O909" s="0" t="s">
        <v>735</v>
      </c>
      <c r="Q909" s="0" t="s">
        <v>270</v>
      </c>
      <c r="R909" s="0" t="n">
        <v>1</v>
      </c>
      <c r="S909" s="5" t="n">
        <v>643</v>
      </c>
      <c r="T909" s="0" t="s">
        <v>271</v>
      </c>
      <c r="U909" s="0" t="n">
        <v>0</v>
      </c>
      <c r="V909" s="0" t="s">
        <v>230</v>
      </c>
      <c r="X909" s="0" t="s">
        <v>232</v>
      </c>
      <c r="Y909" s="0" t="s">
        <v>245</v>
      </c>
      <c r="Z909" s="0" t="s">
        <v>3854</v>
      </c>
      <c r="AA909" s="0" t="s">
        <v>235</v>
      </c>
      <c r="AB909" s="32" t="n">
        <v>2350</v>
      </c>
      <c r="AC909" s="32" t="n">
        <v>2500</v>
      </c>
      <c r="AD909" s="26" t="n">
        <f aca="false">IFERROR(AB909/B909,"")</f>
        <v>3.6547433903577</v>
      </c>
      <c r="AE909" s="26" t="n">
        <f aca="false">IFERROR(AC909/B909,"")</f>
        <v>3.88802488335925</v>
      </c>
      <c r="AF909" s="0" t="s">
        <v>236</v>
      </c>
      <c r="AG909" s="0" t="s">
        <v>236</v>
      </c>
      <c r="AH909" s="0" t="s">
        <v>236</v>
      </c>
      <c r="AI909" s="0" t="s">
        <v>1192</v>
      </c>
      <c r="AJ909" s="0" t="s">
        <v>3979</v>
      </c>
      <c r="AK909" s="0" t="s">
        <v>3980</v>
      </c>
      <c r="AL909" s="0" t="s">
        <v>3981</v>
      </c>
      <c r="AM909" s="0" t="s">
        <v>94</v>
      </c>
      <c r="AN909" s="26" t="n">
        <f aca="false">IFERROR(E909*(1+IF(AM909="Apartment",Data_Summary!$C$3,0)),"")</f>
        <v>3.6547433903577</v>
      </c>
      <c r="AO909" s="4" t="n">
        <v>46195</v>
      </c>
    </row>
    <row r="910" customFormat="false" ht="15" hidden="false" customHeight="false" outlineLevel="0" collapsed="false">
      <c r="A910" s="0" t="n">
        <f aca="false">IF(AND(ISNUMBER(B910),B910&gt;0,ISNUMBER(AB910),AB910&gt;0,J910&gt;=Data_Summary!$C$1),1,0)</f>
        <v>1</v>
      </c>
      <c r="B910" s="33" t="n">
        <v>403</v>
      </c>
      <c r="C910" s="5" t="n">
        <f aca="false">IF(ISNUMBER(AB910),AB910,"")</f>
        <v>2200</v>
      </c>
      <c r="D910" s="0" t="n">
        <f aca="false">IF(ISNUMBER(C910),C910-U910*Data_Summary!$C$2,"")</f>
        <v>2200</v>
      </c>
      <c r="E910" s="34" t="n">
        <f aca="false">IFERROR(C910/B910,"")</f>
        <v>5.4590570719603</v>
      </c>
      <c r="F910" s="26" t="n">
        <f aca="false">IFERROR(D910/B910,"")</f>
        <v>5.4590570719603</v>
      </c>
      <c r="G910" s="0" t="str">
        <f aca="false">Q910</f>
        <v>1</v>
      </c>
      <c r="H910" s="0" t="str">
        <f aca="false">IFERROR(LEFT(G910,1),"")</f>
        <v>1</v>
      </c>
      <c r="I910" s="0" t="n">
        <f aca="false">IF(LEN(G910)&gt;1,1,0)</f>
        <v>0</v>
      </c>
      <c r="J910" s="4" t="n">
        <v>45837</v>
      </c>
      <c r="K910" s="0" t="s">
        <v>16</v>
      </c>
      <c r="L910" s="0" t="s">
        <v>106</v>
      </c>
      <c r="M910" s="0" t="s">
        <v>226</v>
      </c>
      <c r="N910" s="0" t="s">
        <v>93</v>
      </c>
      <c r="O910" s="0" t="s">
        <v>3192</v>
      </c>
      <c r="Q910" s="0" t="s">
        <v>242</v>
      </c>
      <c r="R910" s="0" t="n">
        <v>1</v>
      </c>
      <c r="S910" s="5" t="n">
        <v>403</v>
      </c>
      <c r="T910" s="0" t="s">
        <v>303</v>
      </c>
      <c r="U910" s="0" t="n">
        <v>0</v>
      </c>
      <c r="V910" s="0" t="s">
        <v>230</v>
      </c>
      <c r="W910" s="0" t="s">
        <v>231</v>
      </c>
      <c r="X910" s="0" t="s">
        <v>232</v>
      </c>
      <c r="Y910" s="0" t="s">
        <v>272</v>
      </c>
      <c r="Z910" s="0" t="s">
        <v>3854</v>
      </c>
      <c r="AA910" s="0" t="s">
        <v>235</v>
      </c>
      <c r="AB910" s="32" t="n">
        <v>2200</v>
      </c>
      <c r="AC910" s="32" t="n">
        <v>2200</v>
      </c>
      <c r="AD910" s="26" t="n">
        <f aca="false">IFERROR(AB910/B910,"")</f>
        <v>5.4590570719603</v>
      </c>
      <c r="AE910" s="26" t="n">
        <f aca="false">IFERROR(AC910/B910,"")</f>
        <v>5.4590570719603</v>
      </c>
      <c r="AF910" s="0" t="s">
        <v>236</v>
      </c>
      <c r="AG910" s="0" t="s">
        <v>236</v>
      </c>
      <c r="AH910" s="0" t="s">
        <v>236</v>
      </c>
      <c r="AI910" s="0" t="s">
        <v>1215</v>
      </c>
      <c r="AJ910" s="0" t="s">
        <v>3982</v>
      </c>
      <c r="AK910" s="0" t="s">
        <v>3983</v>
      </c>
      <c r="AL910" s="0" t="s">
        <v>3984</v>
      </c>
      <c r="AM910" s="0" t="s">
        <v>94</v>
      </c>
      <c r="AN910" s="26" t="n">
        <f aca="false">IFERROR(E910*(1+IF(AM910="Apartment",Data_Summary!$C$3,0)),"")</f>
        <v>5.4590570719603</v>
      </c>
      <c r="AO910" s="4" t="n">
        <v>46195</v>
      </c>
    </row>
    <row r="911" customFormat="false" ht="15" hidden="false" customHeight="false" outlineLevel="0" collapsed="false">
      <c r="A911" s="0" t="n">
        <f aca="false">IF(AND(ISNUMBER(B911),B911&gt;0,ISNUMBER(AB911),AB911&gt;0,J911&gt;=Data_Summary!$C$1),1,0)</f>
        <v>1</v>
      </c>
      <c r="B911" s="33" t="n">
        <v>493</v>
      </c>
      <c r="C911" s="5" t="n">
        <f aca="false">IF(ISNUMBER(AB911),AB911,"")</f>
        <v>2100</v>
      </c>
      <c r="D911" s="0" t="n">
        <f aca="false">IF(ISNUMBER(C911),C911-U911*Data_Summary!$C$2,"")</f>
        <v>2100</v>
      </c>
      <c r="E911" s="34" t="n">
        <f aca="false">IFERROR(C911/B911,"")</f>
        <v>4.25963488843813</v>
      </c>
      <c r="F911" s="26" t="n">
        <f aca="false">IFERROR(D911/B911,"")</f>
        <v>4.25963488843813</v>
      </c>
      <c r="G911" s="0" t="str">
        <f aca="false">Q911</f>
        <v>1</v>
      </c>
      <c r="H911" s="0" t="str">
        <f aca="false">IFERROR(LEFT(G911,1),"")</f>
        <v>1</v>
      </c>
      <c r="I911" s="0" t="n">
        <f aca="false">IF(LEN(G911)&gt;1,1,0)</f>
        <v>0</v>
      </c>
      <c r="J911" s="4" t="n">
        <v>45827</v>
      </c>
      <c r="K911" s="0" t="s">
        <v>16</v>
      </c>
      <c r="L911" s="0" t="s">
        <v>106</v>
      </c>
      <c r="M911" s="0" t="s">
        <v>226</v>
      </c>
      <c r="N911" s="0" t="s">
        <v>93</v>
      </c>
      <c r="O911" s="0" t="s">
        <v>1638</v>
      </c>
      <c r="Q911" s="0" t="s">
        <v>242</v>
      </c>
      <c r="R911" s="0" t="n">
        <v>1</v>
      </c>
      <c r="S911" s="5" t="n">
        <v>493</v>
      </c>
      <c r="T911" s="0" t="s">
        <v>303</v>
      </c>
      <c r="U911" s="0" t="n">
        <v>0</v>
      </c>
      <c r="V911" s="0" t="s">
        <v>230</v>
      </c>
      <c r="W911" s="0" t="s">
        <v>244</v>
      </c>
      <c r="X911" s="0" t="s">
        <v>232</v>
      </c>
      <c r="Y911" s="0" t="s">
        <v>272</v>
      </c>
      <c r="Z911" s="0" t="s">
        <v>3854</v>
      </c>
      <c r="AA911" s="0" t="s">
        <v>235</v>
      </c>
      <c r="AB911" s="32" t="n">
        <v>2100</v>
      </c>
      <c r="AC911" s="32" t="n">
        <v>2100</v>
      </c>
      <c r="AD911" s="26" t="n">
        <f aca="false">IFERROR(AB911/B911,"")</f>
        <v>4.25963488843813</v>
      </c>
      <c r="AE911" s="26" t="n">
        <f aca="false">IFERROR(AC911/B911,"")</f>
        <v>4.25963488843813</v>
      </c>
      <c r="AF911" s="0" t="s">
        <v>236</v>
      </c>
      <c r="AG911" s="0" t="s">
        <v>236</v>
      </c>
      <c r="AH911" s="0" t="s">
        <v>230</v>
      </c>
      <c r="AI911" s="0" t="s">
        <v>1334</v>
      </c>
      <c r="AJ911" s="0" t="s">
        <v>3985</v>
      </c>
      <c r="AK911" s="0" t="s">
        <v>3986</v>
      </c>
      <c r="AL911" s="0" t="s">
        <v>3987</v>
      </c>
      <c r="AM911" s="0" t="s">
        <v>94</v>
      </c>
      <c r="AN911" s="26" t="n">
        <f aca="false">IFERROR(E911*(1+IF(AM911="Apartment",Data_Summary!$C$3,0)),"")</f>
        <v>4.25963488843813</v>
      </c>
      <c r="AO911" s="4" t="n">
        <v>46195</v>
      </c>
    </row>
    <row r="912" customFormat="false" ht="15" hidden="false" customHeight="false" outlineLevel="0" collapsed="false">
      <c r="A912" s="0" t="n">
        <f aca="false">IF(AND(ISNUMBER(B912),B912&gt;0,ISNUMBER(AB912),AB912&gt;0,J912&gt;=Data_Summary!$C$1),1,0)</f>
        <v>1</v>
      </c>
      <c r="B912" s="33" t="n">
        <v>466</v>
      </c>
      <c r="C912" s="5" t="n">
        <f aca="false">IF(ISNUMBER(AB912),AB912,"")</f>
        <v>2200</v>
      </c>
      <c r="D912" s="0" t="n">
        <f aca="false">IF(ISNUMBER(C912),C912-U912*Data_Summary!$C$2,"")</f>
        <v>2200</v>
      </c>
      <c r="E912" s="34" t="n">
        <f aca="false">IFERROR(C912/B912,"")</f>
        <v>4.72103004291846</v>
      </c>
      <c r="F912" s="26" t="n">
        <f aca="false">IFERROR(D912/B912,"")</f>
        <v>4.72103004291846</v>
      </c>
      <c r="G912" s="0" t="str">
        <f aca="false">Q912</f>
        <v>1</v>
      </c>
      <c r="H912" s="0" t="str">
        <f aca="false">IFERROR(LEFT(G912,1),"")</f>
        <v>1</v>
      </c>
      <c r="I912" s="0" t="n">
        <f aca="false">IF(LEN(G912)&gt;1,1,0)</f>
        <v>0</v>
      </c>
      <c r="J912" s="4" t="n">
        <v>45826</v>
      </c>
      <c r="K912" s="0" t="s">
        <v>16</v>
      </c>
      <c r="L912" s="0" t="s">
        <v>106</v>
      </c>
      <c r="M912" s="0" t="s">
        <v>226</v>
      </c>
      <c r="N912" s="0" t="s">
        <v>93</v>
      </c>
      <c r="O912" s="0" t="s">
        <v>1569</v>
      </c>
      <c r="Q912" s="0" t="s">
        <v>242</v>
      </c>
      <c r="R912" s="0" t="n">
        <v>1</v>
      </c>
      <c r="S912" s="5" t="n">
        <v>466</v>
      </c>
      <c r="T912" s="0" t="s">
        <v>303</v>
      </c>
      <c r="U912" s="0" t="n">
        <v>0</v>
      </c>
      <c r="V912" s="0" t="s">
        <v>230</v>
      </c>
      <c r="W912" s="0" t="s">
        <v>244</v>
      </c>
      <c r="X912" s="0" t="s">
        <v>232</v>
      </c>
      <c r="Y912" s="0" t="s">
        <v>308</v>
      </c>
      <c r="Z912" s="0" t="s">
        <v>3854</v>
      </c>
      <c r="AA912" s="0" t="s">
        <v>235</v>
      </c>
      <c r="AB912" s="32" t="n">
        <v>2200</v>
      </c>
      <c r="AC912" s="32" t="n">
        <v>2200</v>
      </c>
      <c r="AD912" s="26" t="n">
        <f aca="false">IFERROR(AB912/B912,"")</f>
        <v>4.72103004291846</v>
      </c>
      <c r="AE912" s="26" t="n">
        <f aca="false">IFERROR(AC912/B912,"")</f>
        <v>4.72103004291846</v>
      </c>
      <c r="AF912" s="0" t="s">
        <v>236</v>
      </c>
      <c r="AG912" s="0" t="s">
        <v>236</v>
      </c>
      <c r="AH912" s="0" t="s">
        <v>230</v>
      </c>
      <c r="AI912" s="0" t="s">
        <v>1351</v>
      </c>
      <c r="AJ912" s="0" t="s">
        <v>3988</v>
      </c>
      <c r="AK912" s="0" t="s">
        <v>3989</v>
      </c>
      <c r="AL912" s="0" t="s">
        <v>3990</v>
      </c>
      <c r="AM912" s="0" t="s">
        <v>94</v>
      </c>
      <c r="AN912" s="26" t="n">
        <f aca="false">IFERROR(E912*(1+IF(AM912="Apartment",Data_Summary!$C$3,0)),"")</f>
        <v>4.72103004291846</v>
      </c>
      <c r="AO912" s="4" t="n">
        <v>46195</v>
      </c>
    </row>
    <row r="913" customFormat="false" ht="15" hidden="false" customHeight="false" outlineLevel="0" collapsed="false">
      <c r="A913" s="0" t="n">
        <f aca="false">IF(AND(ISNUMBER(B913),B913&gt;0,ISNUMBER(AB913),AB913&gt;0,J913&gt;=Data_Summary!$C$1),1,0)</f>
        <v>1</v>
      </c>
      <c r="B913" s="30" t="n">
        <v>643</v>
      </c>
      <c r="C913" s="5" t="n">
        <f aca="false">IF(ISNUMBER(AB913),AB913,"")</f>
        <v>2600</v>
      </c>
      <c r="D913" s="0" t="n">
        <f aca="false">IF(ISNUMBER(C913),C913-U913*Data_Summary!$C$2,"")</f>
        <v>2450</v>
      </c>
      <c r="E913" s="31" t="n">
        <f aca="false">IFERROR(C913/B913,"")</f>
        <v>4.04354587869362</v>
      </c>
      <c r="F913" s="26" t="n">
        <f aca="false">IFERROR(D913/B913,"")</f>
        <v>3.81026438569207</v>
      </c>
      <c r="G913" s="0" t="str">
        <f aca="false">Q913</f>
        <v>1+1</v>
      </c>
      <c r="H913" s="0" t="str">
        <f aca="false">IFERROR(LEFT(G913,1),"")</f>
        <v>1</v>
      </c>
      <c r="I913" s="0" t="n">
        <f aca="false">IF(LEN(G913)&gt;1,1,0)</f>
        <v>1</v>
      </c>
      <c r="J913" s="4" t="n">
        <v>45824</v>
      </c>
      <c r="K913" s="0" t="s">
        <v>16</v>
      </c>
      <c r="L913" s="0" t="s">
        <v>106</v>
      </c>
      <c r="M913" s="0" t="s">
        <v>226</v>
      </c>
      <c r="N913" s="0" t="s">
        <v>93</v>
      </c>
      <c r="O913" s="0" t="s">
        <v>740</v>
      </c>
      <c r="Q913" s="0" t="s">
        <v>270</v>
      </c>
      <c r="R913" s="0" t="n">
        <v>1</v>
      </c>
      <c r="S913" s="5" t="n">
        <v>643</v>
      </c>
      <c r="T913" s="0" t="s">
        <v>271</v>
      </c>
      <c r="U913" s="0" t="n">
        <v>1</v>
      </c>
      <c r="V913" s="0" t="s">
        <v>230</v>
      </c>
      <c r="W913" s="0" t="s">
        <v>1300</v>
      </c>
      <c r="X913" s="0" t="s">
        <v>232</v>
      </c>
      <c r="Y913" s="0" t="s">
        <v>245</v>
      </c>
      <c r="Z913" s="0" t="s">
        <v>3854</v>
      </c>
      <c r="AA913" s="0" t="s">
        <v>235</v>
      </c>
      <c r="AB913" s="32" t="n">
        <v>2600</v>
      </c>
      <c r="AC913" s="32" t="n">
        <v>2600</v>
      </c>
      <c r="AD913" s="26" t="n">
        <f aca="false">IFERROR(AB913/B913,"")</f>
        <v>4.04354587869362</v>
      </c>
      <c r="AE913" s="26" t="n">
        <f aca="false">IFERROR(AC913/B913,"")</f>
        <v>4.04354587869362</v>
      </c>
      <c r="AF913" s="0" t="s">
        <v>236</v>
      </c>
      <c r="AG913" s="0" t="s">
        <v>236</v>
      </c>
      <c r="AH913" s="0" t="s">
        <v>230</v>
      </c>
      <c r="AI913" s="0" t="s">
        <v>1361</v>
      </c>
      <c r="AJ913" s="0" t="s">
        <v>3991</v>
      </c>
      <c r="AK913" s="0" t="s">
        <v>3992</v>
      </c>
      <c r="AL913" s="0" t="s">
        <v>3993</v>
      </c>
      <c r="AM913" s="0" t="s">
        <v>94</v>
      </c>
      <c r="AN913" s="26" t="n">
        <f aca="false">IFERROR(E913*(1+IF(AM913="Apartment",Data_Summary!$C$3,0)),"")</f>
        <v>4.04354587869362</v>
      </c>
      <c r="AO913" s="4" t="n">
        <v>46195</v>
      </c>
    </row>
    <row r="914" customFormat="false" ht="15" hidden="false" customHeight="false" outlineLevel="0" collapsed="false">
      <c r="A914" s="0" t="n">
        <f aca="false">IF(AND(ISNUMBER(B914),B914&gt;0,ISNUMBER(AB914),AB914&gt;0,J914&gt;=Data_Summary!$C$1),1,0)</f>
        <v>1</v>
      </c>
      <c r="B914" s="33" t="n">
        <v>505</v>
      </c>
      <c r="C914" s="5" t="n">
        <f aca="false">IF(ISNUMBER(AB914),AB914,"")</f>
        <v>2400</v>
      </c>
      <c r="D914" s="0" t="n">
        <f aca="false">IF(ISNUMBER(C914),C914-U914*Data_Summary!$C$2,"")</f>
        <v>2250</v>
      </c>
      <c r="E914" s="34" t="n">
        <f aca="false">IFERROR(C914/B914,"")</f>
        <v>4.75247524752475</v>
      </c>
      <c r="F914" s="26" t="n">
        <f aca="false">IFERROR(D914/B914,"")</f>
        <v>4.45544554455446</v>
      </c>
      <c r="G914" s="0" t="str">
        <f aca="false">Q914</f>
        <v>1</v>
      </c>
      <c r="H914" s="0" t="str">
        <f aca="false">IFERROR(LEFT(G914,1),"")</f>
        <v>1</v>
      </c>
      <c r="I914" s="0" t="n">
        <f aca="false">IF(LEN(G914)&gt;1,1,0)</f>
        <v>0</v>
      </c>
      <c r="J914" s="4" t="n">
        <v>45821</v>
      </c>
      <c r="K914" s="0" t="s">
        <v>16</v>
      </c>
      <c r="L914" s="0" t="s">
        <v>106</v>
      </c>
      <c r="M914" s="0" t="s">
        <v>226</v>
      </c>
      <c r="N914" s="0" t="s">
        <v>93</v>
      </c>
      <c r="O914" s="0" t="s">
        <v>1735</v>
      </c>
      <c r="Q914" s="0" t="s">
        <v>242</v>
      </c>
      <c r="R914" s="0" t="n">
        <v>1</v>
      </c>
      <c r="S914" s="5" t="n">
        <v>505</v>
      </c>
      <c r="T914" s="0" t="s">
        <v>243</v>
      </c>
      <c r="U914" s="0" t="n">
        <v>1</v>
      </c>
      <c r="V914" s="0" t="s">
        <v>230</v>
      </c>
      <c r="W914" s="0" t="s">
        <v>231</v>
      </c>
      <c r="X914" s="0" t="s">
        <v>232</v>
      </c>
      <c r="Y914" s="0" t="s">
        <v>308</v>
      </c>
      <c r="Z914" s="0" t="s">
        <v>3854</v>
      </c>
      <c r="AA914" s="0" t="s">
        <v>235</v>
      </c>
      <c r="AB914" s="32" t="n">
        <v>2400</v>
      </c>
      <c r="AC914" s="32" t="n">
        <v>2400</v>
      </c>
      <c r="AD914" s="26" t="n">
        <f aca="false">IFERROR(AB914/B914,"")</f>
        <v>4.75247524752475</v>
      </c>
      <c r="AE914" s="26" t="n">
        <f aca="false">IFERROR(AC914/B914,"")</f>
        <v>4.75247524752475</v>
      </c>
      <c r="AF914" s="0" t="s">
        <v>236</v>
      </c>
      <c r="AG914" s="0" t="s">
        <v>236</v>
      </c>
      <c r="AH914" s="0" t="s">
        <v>230</v>
      </c>
      <c r="AI914" s="0" t="s">
        <v>1384</v>
      </c>
      <c r="AJ914" s="0" t="s">
        <v>3994</v>
      </c>
      <c r="AK914" s="0" t="s">
        <v>3995</v>
      </c>
      <c r="AL914" s="0" t="s">
        <v>3996</v>
      </c>
      <c r="AM914" s="0" t="s">
        <v>94</v>
      </c>
      <c r="AN914" s="26" t="n">
        <f aca="false">IFERROR(E914*(1+IF(AM914="Apartment",Data_Summary!$C$3,0)),"")</f>
        <v>4.75247524752475</v>
      </c>
      <c r="AO914" s="4" t="n">
        <v>46195</v>
      </c>
    </row>
    <row r="915" customFormat="false" ht="15" hidden="false" customHeight="false" outlineLevel="0" collapsed="false">
      <c r="A915" s="0" t="n">
        <f aca="false">IF(AND(ISNUMBER(B915),B915&gt;0,ISNUMBER(AB915),AB915&gt;0,J915&gt;=Data_Summary!$C$1),1,0)</f>
        <v>1</v>
      </c>
      <c r="B915" s="33" t="n">
        <v>505</v>
      </c>
      <c r="C915" s="5" t="n">
        <f aca="false">IF(ISNUMBER(AB915),AB915,"")</f>
        <v>2300</v>
      </c>
      <c r="D915" s="0" t="n">
        <f aca="false">IF(ISNUMBER(C915),C915-U915*Data_Summary!$C$2,"")</f>
        <v>2150</v>
      </c>
      <c r="E915" s="34" t="n">
        <f aca="false">IFERROR(C915/B915,"")</f>
        <v>4.55445544554455</v>
      </c>
      <c r="F915" s="26" t="n">
        <f aca="false">IFERROR(D915/B915,"")</f>
        <v>4.25742574257426</v>
      </c>
      <c r="G915" s="0" t="str">
        <f aca="false">Q915</f>
        <v>1</v>
      </c>
      <c r="H915" s="0" t="str">
        <f aca="false">IFERROR(LEFT(G915,1),"")</f>
        <v>1</v>
      </c>
      <c r="I915" s="0" t="n">
        <f aca="false">IF(LEN(G915)&gt;1,1,0)</f>
        <v>0</v>
      </c>
      <c r="J915" s="4" t="n">
        <v>45817</v>
      </c>
      <c r="K915" s="0" t="s">
        <v>16</v>
      </c>
      <c r="L915" s="0" t="s">
        <v>106</v>
      </c>
      <c r="M915" s="0" t="s">
        <v>226</v>
      </c>
      <c r="N915" s="0" t="s">
        <v>93</v>
      </c>
      <c r="O915" s="0" t="s">
        <v>1589</v>
      </c>
      <c r="Q915" s="0" t="s">
        <v>242</v>
      </c>
      <c r="R915" s="0" t="n">
        <v>1</v>
      </c>
      <c r="S915" s="5" t="n">
        <v>505</v>
      </c>
      <c r="T915" s="0" t="s">
        <v>243</v>
      </c>
      <c r="U915" s="0" t="n">
        <v>1</v>
      </c>
      <c r="V915" s="0" t="s">
        <v>230</v>
      </c>
      <c r="W915" s="0" t="s">
        <v>231</v>
      </c>
      <c r="X915" s="0" t="s">
        <v>232</v>
      </c>
      <c r="Y915" s="0" t="s">
        <v>308</v>
      </c>
      <c r="Z915" s="0" t="s">
        <v>3854</v>
      </c>
      <c r="AA915" s="0" t="s">
        <v>235</v>
      </c>
      <c r="AB915" s="32" t="n">
        <v>2300</v>
      </c>
      <c r="AC915" s="32" t="n">
        <v>2300</v>
      </c>
      <c r="AD915" s="26" t="n">
        <f aca="false">IFERROR(AB915/B915,"")</f>
        <v>4.55445544554455</v>
      </c>
      <c r="AE915" s="26" t="n">
        <f aca="false">IFERROR(AC915/B915,"")</f>
        <v>4.55445544554455</v>
      </c>
      <c r="AF915" s="0" t="s">
        <v>236</v>
      </c>
      <c r="AG915" s="0" t="s">
        <v>236</v>
      </c>
      <c r="AH915" s="0" t="s">
        <v>230</v>
      </c>
      <c r="AI915" s="0" t="s">
        <v>1425</v>
      </c>
      <c r="AJ915" s="0" t="s">
        <v>3997</v>
      </c>
      <c r="AK915" s="0" t="s">
        <v>3998</v>
      </c>
      <c r="AL915" s="0" t="s">
        <v>3999</v>
      </c>
      <c r="AM915" s="0" t="s">
        <v>94</v>
      </c>
      <c r="AN915" s="26" t="n">
        <f aca="false">IFERROR(E915*(1+IF(AM915="Apartment",Data_Summary!$C$3,0)),"")</f>
        <v>4.55445544554455</v>
      </c>
      <c r="AO915" s="4" t="n">
        <v>46195</v>
      </c>
    </row>
    <row r="916" customFormat="false" ht="15" hidden="false" customHeight="false" outlineLevel="0" collapsed="false">
      <c r="A916" s="0" t="n">
        <f aca="false">IF(AND(ISNUMBER(B916),B916&gt;0,ISNUMBER(AB916),AB916&gt;0,J916&gt;=Data_Summary!$C$1),1,0)</f>
        <v>1</v>
      </c>
      <c r="B916" s="30" t="n">
        <v>643</v>
      </c>
      <c r="C916" s="5" t="n">
        <f aca="false">IF(ISNUMBER(AB916),AB916,"")</f>
        <v>2195</v>
      </c>
      <c r="D916" s="0" t="n">
        <f aca="false">IF(ISNUMBER(C916),C916-U916*Data_Summary!$C$2,"")</f>
        <v>2195</v>
      </c>
      <c r="E916" s="31" t="n">
        <f aca="false">IFERROR(C916/B916,"")</f>
        <v>3.41368584758942</v>
      </c>
      <c r="F916" s="26" t="n">
        <f aca="false">IFERROR(D916/B916,"")</f>
        <v>3.41368584758942</v>
      </c>
      <c r="G916" s="0" t="str">
        <f aca="false">Q916</f>
        <v>1+1</v>
      </c>
      <c r="H916" s="0" t="str">
        <f aca="false">IFERROR(LEFT(G916,1),"")</f>
        <v>1</v>
      </c>
      <c r="I916" s="0" t="n">
        <f aca="false">IF(LEN(G916)&gt;1,1,0)</f>
        <v>1</v>
      </c>
      <c r="J916" s="4" t="n">
        <v>45815</v>
      </c>
      <c r="K916" s="0" t="s">
        <v>16</v>
      </c>
      <c r="L916" s="0" t="s">
        <v>106</v>
      </c>
      <c r="M916" s="0" t="s">
        <v>226</v>
      </c>
      <c r="N916" s="0" t="s">
        <v>93</v>
      </c>
      <c r="O916" s="0" t="s">
        <v>4000</v>
      </c>
      <c r="Q916" s="0" t="s">
        <v>270</v>
      </c>
      <c r="R916" s="0" t="n">
        <v>1</v>
      </c>
      <c r="S916" s="5" t="n">
        <v>643</v>
      </c>
      <c r="T916" s="0" t="s">
        <v>271</v>
      </c>
      <c r="U916" s="0" t="n">
        <v>0</v>
      </c>
      <c r="V916" s="0" t="s">
        <v>230</v>
      </c>
      <c r="W916" s="0" t="s">
        <v>231</v>
      </c>
      <c r="X916" s="0" t="s">
        <v>232</v>
      </c>
      <c r="Y916" s="0" t="s">
        <v>297</v>
      </c>
      <c r="Z916" s="0" t="s">
        <v>3854</v>
      </c>
      <c r="AA916" s="0" t="s">
        <v>235</v>
      </c>
      <c r="AB916" s="32" t="n">
        <v>2195</v>
      </c>
      <c r="AC916" s="32" t="n">
        <v>2195</v>
      </c>
      <c r="AD916" s="26" t="n">
        <f aca="false">IFERROR(AB916/B916,"")</f>
        <v>3.41368584758942</v>
      </c>
      <c r="AE916" s="26" t="n">
        <f aca="false">IFERROR(AC916/B916,"")</f>
        <v>3.41368584758942</v>
      </c>
      <c r="AF916" s="0" t="s">
        <v>236</v>
      </c>
      <c r="AG916" s="0" t="s">
        <v>236</v>
      </c>
      <c r="AH916" s="0" t="s">
        <v>230</v>
      </c>
      <c r="AI916" s="0" t="s">
        <v>1440</v>
      </c>
      <c r="AJ916" s="0" t="s">
        <v>4001</v>
      </c>
      <c r="AK916" s="0" t="s">
        <v>4002</v>
      </c>
      <c r="AL916" s="0" t="s">
        <v>4003</v>
      </c>
      <c r="AM916" s="0" t="s">
        <v>94</v>
      </c>
      <c r="AN916" s="26" t="n">
        <f aca="false">IFERROR(E916*(1+IF(AM916="Apartment",Data_Summary!$C$3,0)),"")</f>
        <v>3.41368584758942</v>
      </c>
      <c r="AO916" s="4" t="n">
        <v>46195</v>
      </c>
    </row>
    <row r="917" customFormat="false" ht="15" hidden="false" customHeight="false" outlineLevel="0" collapsed="false">
      <c r="A917" s="0" t="n">
        <f aca="false">IF(AND(ISNUMBER(B917),B917&gt;0,ISNUMBER(AB917),AB917&gt;0,J917&gt;=Data_Summary!$C$1),1,0)</f>
        <v>1</v>
      </c>
      <c r="B917" s="30" t="n">
        <v>643</v>
      </c>
      <c r="C917" s="5" t="n">
        <f aca="false">IF(ISNUMBER(AB917),AB917,"")</f>
        <v>2100</v>
      </c>
      <c r="D917" s="0" t="n">
        <f aca="false">IF(ISNUMBER(C917),C917-U917*Data_Summary!$C$2,"")</f>
        <v>2100</v>
      </c>
      <c r="E917" s="31" t="n">
        <f aca="false">IFERROR(C917/B917,"")</f>
        <v>3.26594090202177</v>
      </c>
      <c r="F917" s="26" t="n">
        <f aca="false">IFERROR(D917/B917,"")</f>
        <v>3.26594090202177</v>
      </c>
      <c r="G917" s="0" t="str">
        <f aca="false">Q917</f>
        <v>1+1</v>
      </c>
      <c r="H917" s="0" t="str">
        <f aca="false">IFERROR(LEFT(G917,1),"")</f>
        <v>1</v>
      </c>
      <c r="I917" s="0" t="n">
        <f aca="false">IF(LEN(G917)&gt;1,1,0)</f>
        <v>1</v>
      </c>
      <c r="J917" s="4" t="n">
        <v>45814</v>
      </c>
      <c r="K917" s="0" t="s">
        <v>16</v>
      </c>
      <c r="L917" s="0" t="s">
        <v>106</v>
      </c>
      <c r="M917" s="0" t="s">
        <v>226</v>
      </c>
      <c r="N917" s="0" t="s">
        <v>93</v>
      </c>
      <c r="O917" s="0" t="s">
        <v>4004</v>
      </c>
      <c r="Q917" s="0" t="s">
        <v>270</v>
      </c>
      <c r="R917" s="0" t="n">
        <v>1</v>
      </c>
      <c r="S917" s="5" t="n">
        <v>643</v>
      </c>
      <c r="T917" s="0" t="s">
        <v>271</v>
      </c>
      <c r="U917" s="0" t="n">
        <v>0</v>
      </c>
      <c r="V917" s="0" t="s">
        <v>230</v>
      </c>
      <c r="W917" s="0" t="s">
        <v>244</v>
      </c>
      <c r="X917" s="0" t="s">
        <v>232</v>
      </c>
      <c r="Y917" s="0" t="s">
        <v>245</v>
      </c>
      <c r="Z917" s="0" t="s">
        <v>3854</v>
      </c>
      <c r="AA917" s="0" t="s">
        <v>235</v>
      </c>
      <c r="AB917" s="32" t="n">
        <v>2100</v>
      </c>
      <c r="AC917" s="32" t="n">
        <v>2100</v>
      </c>
      <c r="AD917" s="26" t="n">
        <f aca="false">IFERROR(AB917/B917,"")</f>
        <v>3.26594090202177</v>
      </c>
      <c r="AE917" s="26" t="n">
        <f aca="false">IFERROR(AC917/B917,"")</f>
        <v>3.26594090202177</v>
      </c>
      <c r="AF917" s="0" t="s">
        <v>236</v>
      </c>
      <c r="AG917" s="0" t="s">
        <v>236</v>
      </c>
      <c r="AH917" s="0" t="s">
        <v>236</v>
      </c>
      <c r="AI917" s="0" t="s">
        <v>1448</v>
      </c>
      <c r="AJ917" s="0" t="s">
        <v>4005</v>
      </c>
      <c r="AK917" s="0" t="s">
        <v>4006</v>
      </c>
      <c r="AL917" s="0" t="s">
        <v>4007</v>
      </c>
      <c r="AM917" s="0" t="s">
        <v>94</v>
      </c>
      <c r="AN917" s="26" t="n">
        <f aca="false">IFERROR(E917*(1+IF(AM917="Apartment",Data_Summary!$C$3,0)),"")</f>
        <v>3.26594090202177</v>
      </c>
      <c r="AO917" s="4" t="n">
        <v>46195</v>
      </c>
    </row>
    <row r="918" customFormat="false" ht="15" hidden="false" customHeight="false" outlineLevel="0" collapsed="false">
      <c r="A918" s="0" t="n">
        <f aca="false">IF(AND(ISNUMBER(B918),B918&gt;0,ISNUMBER(AB918),AB918&gt;0,J918&gt;=Data_Summary!$C$1),1,0)</f>
        <v>1</v>
      </c>
      <c r="B918" s="33" t="n">
        <v>403</v>
      </c>
      <c r="C918" s="5" t="n">
        <f aca="false">IF(ISNUMBER(AB918),AB918,"")</f>
        <v>2200</v>
      </c>
      <c r="D918" s="0" t="n">
        <f aca="false">IF(ISNUMBER(C918),C918-U918*Data_Summary!$C$2,"")</f>
        <v>2050</v>
      </c>
      <c r="E918" s="34" t="n">
        <f aca="false">IFERROR(C918/B918,"")</f>
        <v>5.4590570719603</v>
      </c>
      <c r="F918" s="26" t="n">
        <f aca="false">IFERROR(D918/B918,"")</f>
        <v>5.08684863523573</v>
      </c>
      <c r="G918" s="0" t="str">
        <f aca="false">Q918</f>
        <v>1</v>
      </c>
      <c r="H918" s="0" t="str">
        <f aca="false">IFERROR(LEFT(G918,1),"")</f>
        <v>1</v>
      </c>
      <c r="I918" s="0" t="n">
        <f aca="false">IF(LEN(G918)&gt;1,1,0)</f>
        <v>0</v>
      </c>
      <c r="J918" s="4" t="n">
        <v>45788</v>
      </c>
      <c r="K918" s="0" t="s">
        <v>16</v>
      </c>
      <c r="L918" s="0" t="s">
        <v>106</v>
      </c>
      <c r="M918" s="0" t="s">
        <v>226</v>
      </c>
      <c r="N918" s="0" t="s">
        <v>93</v>
      </c>
      <c r="O918" s="0" t="s">
        <v>525</v>
      </c>
      <c r="Q918" s="0" t="s">
        <v>242</v>
      </c>
      <c r="R918" s="0" t="n">
        <v>1</v>
      </c>
      <c r="S918" s="5" t="n">
        <v>403</v>
      </c>
      <c r="T918" s="0" t="s">
        <v>303</v>
      </c>
      <c r="U918" s="0" t="n">
        <v>1</v>
      </c>
      <c r="V918" s="0" t="s">
        <v>230</v>
      </c>
      <c r="W918" s="0" t="s">
        <v>231</v>
      </c>
      <c r="Y918" s="0" t="s">
        <v>272</v>
      </c>
      <c r="Z918" s="0" t="s">
        <v>3854</v>
      </c>
      <c r="AA918" s="0" t="s">
        <v>235</v>
      </c>
      <c r="AB918" s="32" t="n">
        <v>2200</v>
      </c>
      <c r="AC918" s="32" t="n">
        <v>2250</v>
      </c>
      <c r="AD918" s="26" t="n">
        <f aca="false">IFERROR(AB918/B918,"")</f>
        <v>5.4590570719603</v>
      </c>
      <c r="AE918" s="26" t="n">
        <f aca="false">IFERROR(AC918/B918,"")</f>
        <v>5.58312655086849</v>
      </c>
      <c r="AF918" s="0" t="s">
        <v>236</v>
      </c>
      <c r="AG918" s="0" t="s">
        <v>236</v>
      </c>
      <c r="AH918" s="0" t="s">
        <v>230</v>
      </c>
      <c r="AI918" s="0" t="s">
        <v>4008</v>
      </c>
      <c r="AJ918" s="0" t="s">
        <v>4009</v>
      </c>
      <c r="AK918" s="0" t="s">
        <v>4010</v>
      </c>
      <c r="AL918" s="0" t="s">
        <v>4011</v>
      </c>
      <c r="AM918" s="0" t="s">
        <v>94</v>
      </c>
      <c r="AN918" s="26" t="n">
        <f aca="false">IFERROR(E918*(1+IF(AM918="Apartment",Data_Summary!$C$3,0)),"")</f>
        <v>5.4590570719603</v>
      </c>
      <c r="AO918" s="4" t="n">
        <v>46195</v>
      </c>
    </row>
    <row r="919" customFormat="false" ht="15" hidden="false" customHeight="false" outlineLevel="0" collapsed="false">
      <c r="A919" s="0" t="n">
        <f aca="false">IF(AND(ISNUMBER(B919),B919&gt;0,ISNUMBER(AB919),AB919&gt;0,J919&gt;=Data_Summary!$C$1),1,0)</f>
        <v>1</v>
      </c>
      <c r="B919" s="33" t="n">
        <v>585</v>
      </c>
      <c r="C919" s="5" t="n">
        <f aca="false">IF(ISNUMBER(AB919),AB919,"")</f>
        <v>2525</v>
      </c>
      <c r="D919" s="0" t="n">
        <f aca="false">IF(ISNUMBER(C919),C919-U919*Data_Summary!$C$2,"")</f>
        <v>2375</v>
      </c>
      <c r="E919" s="34" t="n">
        <f aca="false">IFERROR(C919/B919,"")</f>
        <v>4.31623931623932</v>
      </c>
      <c r="F919" s="26" t="n">
        <f aca="false">IFERROR(D919/B919,"")</f>
        <v>4.05982905982906</v>
      </c>
      <c r="G919" s="0" t="str">
        <f aca="false">Q919</f>
        <v>1+1</v>
      </c>
      <c r="H919" s="0" t="str">
        <f aca="false">IFERROR(LEFT(G919,1),"")</f>
        <v>1</v>
      </c>
      <c r="I919" s="0" t="n">
        <f aca="false">IF(LEN(G919)&gt;1,1,0)</f>
        <v>1</v>
      </c>
      <c r="J919" s="4" t="n">
        <v>45786</v>
      </c>
      <c r="K919" s="0" t="s">
        <v>16</v>
      </c>
      <c r="L919" s="0" t="s">
        <v>106</v>
      </c>
      <c r="M919" s="0" t="s">
        <v>226</v>
      </c>
      <c r="N919" s="0" t="s">
        <v>93</v>
      </c>
      <c r="O919" s="0" t="s">
        <v>986</v>
      </c>
      <c r="Q919" s="0" t="s">
        <v>270</v>
      </c>
      <c r="R919" s="0" t="n">
        <v>1</v>
      </c>
      <c r="S919" s="5" t="n">
        <v>585</v>
      </c>
      <c r="T919" s="0" t="s">
        <v>243</v>
      </c>
      <c r="U919" s="0" t="n">
        <v>1</v>
      </c>
      <c r="V919" s="0" t="s">
        <v>230</v>
      </c>
      <c r="W919" s="0" t="s">
        <v>231</v>
      </c>
      <c r="X919" s="0" t="s">
        <v>232</v>
      </c>
      <c r="Y919" s="0" t="s">
        <v>272</v>
      </c>
      <c r="Z919" s="0" t="s">
        <v>3854</v>
      </c>
      <c r="AA919" s="0" t="s">
        <v>235</v>
      </c>
      <c r="AB919" s="32" t="n">
        <v>2525</v>
      </c>
      <c r="AC919" s="32" t="n">
        <v>2500</v>
      </c>
      <c r="AD919" s="26" t="n">
        <f aca="false">IFERROR(AB919/B919,"")</f>
        <v>4.31623931623932</v>
      </c>
      <c r="AE919" s="26" t="n">
        <f aca="false">IFERROR(AC919/B919,"")</f>
        <v>4.27350427350427</v>
      </c>
      <c r="AF919" s="0" t="s">
        <v>236</v>
      </c>
      <c r="AG919" s="0" t="s">
        <v>236</v>
      </c>
      <c r="AH919" s="0" t="s">
        <v>236</v>
      </c>
      <c r="AI919" s="0" t="s">
        <v>4012</v>
      </c>
      <c r="AJ919" s="0" t="s">
        <v>4013</v>
      </c>
      <c r="AK919" s="0" t="s">
        <v>4014</v>
      </c>
      <c r="AL919" s="0" t="s">
        <v>4015</v>
      </c>
      <c r="AM919" s="0" t="s">
        <v>94</v>
      </c>
      <c r="AN919" s="26" t="n">
        <f aca="false">IFERROR(E919*(1+IF(AM919="Apartment",Data_Summary!$C$3,0)),"")</f>
        <v>4.31623931623932</v>
      </c>
      <c r="AO919" s="4" t="n">
        <v>46195</v>
      </c>
    </row>
    <row r="920" customFormat="false" ht="15" hidden="false" customHeight="false" outlineLevel="0" collapsed="false">
      <c r="A920" s="0" t="n">
        <f aca="false">IF(AND(ISNUMBER(B920),B920&gt;0,ISNUMBER(AB920),AB920&gt;0,J920&gt;=Data_Summary!$C$1),1,0)</f>
        <v>1</v>
      </c>
      <c r="B920" s="33" t="n">
        <v>585</v>
      </c>
      <c r="C920" s="5" t="n">
        <f aca="false">IF(ISNUMBER(AB920),AB920,"")</f>
        <v>2400</v>
      </c>
      <c r="D920" s="0" t="n">
        <f aca="false">IF(ISNUMBER(C920),C920-U920*Data_Summary!$C$2,"")</f>
        <v>2400</v>
      </c>
      <c r="E920" s="34" t="n">
        <f aca="false">IFERROR(C920/B920,"")</f>
        <v>4.1025641025641</v>
      </c>
      <c r="F920" s="26" t="n">
        <f aca="false">IFERROR(D920/B920,"")</f>
        <v>4.1025641025641</v>
      </c>
      <c r="G920" s="0" t="str">
        <f aca="false">Q920</f>
        <v>1+1</v>
      </c>
      <c r="H920" s="0" t="str">
        <f aca="false">IFERROR(LEFT(G920,1),"")</f>
        <v>1</v>
      </c>
      <c r="I920" s="0" t="n">
        <f aca="false">IF(LEN(G920)&gt;1,1,0)</f>
        <v>1</v>
      </c>
      <c r="J920" s="4" t="n">
        <v>45784</v>
      </c>
      <c r="K920" s="0" t="s">
        <v>16</v>
      </c>
      <c r="L920" s="0" t="s">
        <v>106</v>
      </c>
      <c r="M920" s="0" t="s">
        <v>226</v>
      </c>
      <c r="N920" s="0" t="s">
        <v>93</v>
      </c>
      <c r="O920" s="0" t="s">
        <v>1461</v>
      </c>
      <c r="Q920" s="0" t="s">
        <v>270</v>
      </c>
      <c r="R920" s="0" t="n">
        <v>1</v>
      </c>
      <c r="S920" s="5" t="n">
        <v>585</v>
      </c>
      <c r="T920" s="0" t="s">
        <v>243</v>
      </c>
      <c r="U920" s="0" t="n">
        <v>0</v>
      </c>
      <c r="V920" s="0" t="s">
        <v>230</v>
      </c>
      <c r="W920" s="0" t="s">
        <v>244</v>
      </c>
      <c r="X920" s="0" t="s">
        <v>232</v>
      </c>
      <c r="Y920" s="0" t="s">
        <v>245</v>
      </c>
      <c r="Z920" s="0" t="s">
        <v>3854</v>
      </c>
      <c r="AA920" s="0" t="s">
        <v>235</v>
      </c>
      <c r="AB920" s="32" t="n">
        <v>2400</v>
      </c>
      <c r="AC920" s="32" t="n">
        <v>2400</v>
      </c>
      <c r="AD920" s="26" t="n">
        <f aca="false">IFERROR(AB920/B920,"")</f>
        <v>4.1025641025641</v>
      </c>
      <c r="AE920" s="26" t="n">
        <f aca="false">IFERROR(AC920/B920,"")</f>
        <v>4.1025641025641</v>
      </c>
      <c r="AF920" s="0" t="s">
        <v>236</v>
      </c>
      <c r="AG920" s="0" t="s">
        <v>236</v>
      </c>
      <c r="AH920" s="0" t="s">
        <v>230</v>
      </c>
      <c r="AI920" s="0" t="s">
        <v>2225</v>
      </c>
      <c r="AJ920" s="0" t="s">
        <v>4016</v>
      </c>
      <c r="AK920" s="0" t="s">
        <v>4017</v>
      </c>
      <c r="AL920" s="0" t="s">
        <v>4018</v>
      </c>
      <c r="AM920" s="0" t="s">
        <v>94</v>
      </c>
      <c r="AN920" s="26" t="n">
        <f aca="false">IFERROR(E920*(1+IF(AM920="Apartment",Data_Summary!$C$3,0)),"")</f>
        <v>4.1025641025641</v>
      </c>
      <c r="AO920" s="4" t="n">
        <v>46195</v>
      </c>
    </row>
    <row r="921" customFormat="false" ht="15" hidden="false" customHeight="false" outlineLevel="0" collapsed="false">
      <c r="A921" s="0" t="n">
        <f aca="false">IF(AND(ISNUMBER(B921),B921&gt;0,ISNUMBER(AB921),AB921&gt;0,J921&gt;=Data_Summary!$C$1),1,0)</f>
        <v>1</v>
      </c>
      <c r="B921" s="30" t="n">
        <v>643</v>
      </c>
      <c r="C921" s="5" t="n">
        <f aca="false">IF(ISNUMBER(AB921),AB921,"")</f>
        <v>2600</v>
      </c>
      <c r="D921" s="0" t="n">
        <f aca="false">IF(ISNUMBER(C921),C921-U921*Data_Summary!$C$2,"")</f>
        <v>2450</v>
      </c>
      <c r="E921" s="31" t="n">
        <f aca="false">IFERROR(C921/B921,"")</f>
        <v>4.04354587869362</v>
      </c>
      <c r="F921" s="26" t="n">
        <f aca="false">IFERROR(D921/B921,"")</f>
        <v>3.81026438569207</v>
      </c>
      <c r="G921" s="0" t="str">
        <f aca="false">Q921</f>
        <v>1+1</v>
      </c>
      <c r="H921" s="0" t="str">
        <f aca="false">IFERROR(LEFT(G921,1),"")</f>
        <v>1</v>
      </c>
      <c r="I921" s="0" t="n">
        <f aca="false">IF(LEN(G921)&gt;1,1,0)</f>
        <v>1</v>
      </c>
      <c r="J921" s="4" t="n">
        <v>45783</v>
      </c>
      <c r="K921" s="0" t="s">
        <v>16</v>
      </c>
      <c r="L921" s="0" t="s">
        <v>106</v>
      </c>
      <c r="M921" s="0" t="s">
        <v>226</v>
      </c>
      <c r="N921" s="0" t="s">
        <v>93</v>
      </c>
      <c r="O921" s="0" t="s">
        <v>740</v>
      </c>
      <c r="Q921" s="0" t="s">
        <v>270</v>
      </c>
      <c r="R921" s="0" t="n">
        <v>1</v>
      </c>
      <c r="S921" s="5" t="n">
        <v>643</v>
      </c>
      <c r="T921" s="0" t="s">
        <v>271</v>
      </c>
      <c r="U921" s="0" t="n">
        <v>1</v>
      </c>
      <c r="V921" s="0" t="s">
        <v>230</v>
      </c>
      <c r="W921" s="0" t="s">
        <v>1300</v>
      </c>
      <c r="X921" s="0" t="s">
        <v>232</v>
      </c>
      <c r="Y921" s="0" t="s">
        <v>245</v>
      </c>
      <c r="Z921" s="0" t="s">
        <v>3854</v>
      </c>
      <c r="AA921" s="0" t="s">
        <v>235</v>
      </c>
      <c r="AB921" s="32" t="n">
        <v>2600</v>
      </c>
      <c r="AC921" s="32" t="n">
        <v>2600</v>
      </c>
      <c r="AD921" s="26" t="n">
        <f aca="false">IFERROR(AB921/B921,"")</f>
        <v>4.04354587869362</v>
      </c>
      <c r="AE921" s="26" t="n">
        <f aca="false">IFERROR(AC921/B921,"")</f>
        <v>4.04354587869362</v>
      </c>
      <c r="AF921" s="0" t="s">
        <v>236</v>
      </c>
      <c r="AG921" s="0" t="s">
        <v>236</v>
      </c>
      <c r="AH921" s="0" t="s">
        <v>230</v>
      </c>
      <c r="AI921" s="0" t="s">
        <v>3139</v>
      </c>
      <c r="AJ921" s="0" t="s">
        <v>4019</v>
      </c>
      <c r="AK921" s="0" t="s">
        <v>4020</v>
      </c>
      <c r="AL921" s="0" t="s">
        <v>4021</v>
      </c>
      <c r="AM921" s="0" t="s">
        <v>94</v>
      </c>
      <c r="AN921" s="26" t="n">
        <f aca="false">IFERROR(E921*(1+IF(AM921="Apartment",Data_Summary!$C$3,0)),"")</f>
        <v>4.04354587869362</v>
      </c>
      <c r="AO921" s="4" t="n">
        <v>46195</v>
      </c>
    </row>
    <row r="922" customFormat="false" ht="15" hidden="false" customHeight="false" outlineLevel="0" collapsed="false">
      <c r="A922" s="0" t="n">
        <f aca="false">IF(AND(ISNUMBER(B922),B922&gt;0,ISNUMBER(AB922),AB922&gt;0,J922&gt;=Data_Summary!$C$1),1,0)</f>
        <v>1</v>
      </c>
      <c r="B922" s="33" t="n">
        <v>515</v>
      </c>
      <c r="C922" s="5" t="n">
        <f aca="false">IF(ISNUMBER(AB922),AB922,"")</f>
        <v>2200</v>
      </c>
      <c r="D922" s="0" t="n">
        <f aca="false">IF(ISNUMBER(C922),C922-U922*Data_Summary!$C$2,"")</f>
        <v>2200</v>
      </c>
      <c r="E922" s="34" t="n">
        <f aca="false">IFERROR(C922/B922,"")</f>
        <v>4.27184466019418</v>
      </c>
      <c r="F922" s="26" t="n">
        <f aca="false">IFERROR(D922/B922,"")</f>
        <v>4.27184466019418</v>
      </c>
      <c r="G922" s="0" t="str">
        <f aca="false">Q922</f>
        <v>1</v>
      </c>
      <c r="H922" s="0" t="str">
        <f aca="false">IFERROR(LEFT(G922,1),"")</f>
        <v>1</v>
      </c>
      <c r="I922" s="0" t="n">
        <f aca="false">IF(LEN(G922)&gt;1,1,0)</f>
        <v>0</v>
      </c>
      <c r="J922" s="4" t="n">
        <v>45779</v>
      </c>
      <c r="K922" s="0" t="s">
        <v>16</v>
      </c>
      <c r="L922" s="0" t="s">
        <v>106</v>
      </c>
      <c r="M922" s="0" t="s">
        <v>226</v>
      </c>
      <c r="N922" s="0" t="s">
        <v>93</v>
      </c>
      <c r="O922" s="0" t="s">
        <v>2468</v>
      </c>
      <c r="Q922" s="0" t="s">
        <v>242</v>
      </c>
      <c r="R922" s="0" t="n">
        <v>1</v>
      </c>
      <c r="S922" s="5" t="n">
        <v>515</v>
      </c>
      <c r="T922" s="0" t="s">
        <v>243</v>
      </c>
      <c r="U922" s="0" t="n">
        <v>0</v>
      </c>
      <c r="V922" s="0" t="s">
        <v>230</v>
      </c>
      <c r="W922" s="0" t="s">
        <v>231</v>
      </c>
      <c r="X922" s="0" t="s">
        <v>232</v>
      </c>
      <c r="Y922" s="0" t="s">
        <v>278</v>
      </c>
      <c r="Z922" s="0" t="s">
        <v>3854</v>
      </c>
      <c r="AA922" s="0" t="s">
        <v>235</v>
      </c>
      <c r="AB922" s="32" t="n">
        <v>2200</v>
      </c>
      <c r="AC922" s="32" t="n">
        <v>2200</v>
      </c>
      <c r="AD922" s="26" t="n">
        <f aca="false">IFERROR(AB922/B922,"")</f>
        <v>4.27184466019418</v>
      </c>
      <c r="AE922" s="26" t="n">
        <f aca="false">IFERROR(AC922/B922,"")</f>
        <v>4.27184466019418</v>
      </c>
      <c r="AF922" s="0" t="s">
        <v>236</v>
      </c>
      <c r="AG922" s="0" t="s">
        <v>236</v>
      </c>
      <c r="AH922" s="0" t="s">
        <v>230</v>
      </c>
      <c r="AI922" s="0" t="s">
        <v>3728</v>
      </c>
      <c r="AJ922" s="0" t="s">
        <v>4022</v>
      </c>
      <c r="AK922" s="0" t="s">
        <v>4023</v>
      </c>
      <c r="AL922" s="0" t="s">
        <v>4024</v>
      </c>
      <c r="AM922" s="0" t="s">
        <v>94</v>
      </c>
      <c r="AN922" s="26" t="n">
        <f aca="false">IFERROR(E922*(1+IF(AM922="Apartment",Data_Summary!$C$3,0)),"")</f>
        <v>4.27184466019418</v>
      </c>
      <c r="AO922" s="4" t="n">
        <v>46195</v>
      </c>
    </row>
    <row r="923" customFormat="false" ht="15" hidden="false" customHeight="false" outlineLevel="0" collapsed="false">
      <c r="A923" s="0" t="n">
        <f aca="false">IF(AND(ISNUMBER(B923),B923&gt;0,ISNUMBER(AB923),AB923&gt;0,J923&gt;=Data_Summary!$C$1),1,0)</f>
        <v>1</v>
      </c>
      <c r="B923" s="33" t="n">
        <v>515</v>
      </c>
      <c r="C923" s="5" t="n">
        <f aca="false">IF(ISNUMBER(AB923),AB923,"")</f>
        <v>2200</v>
      </c>
      <c r="D923" s="0" t="n">
        <f aca="false">IF(ISNUMBER(C923),C923-U923*Data_Summary!$C$2,"")</f>
        <v>2200</v>
      </c>
      <c r="E923" s="34" t="n">
        <f aca="false">IFERROR(C923/B923,"")</f>
        <v>4.27184466019418</v>
      </c>
      <c r="F923" s="26" t="n">
        <f aca="false">IFERROR(D923/B923,"")</f>
        <v>4.27184466019418</v>
      </c>
      <c r="G923" s="0" t="str">
        <f aca="false">Q923</f>
        <v>1</v>
      </c>
      <c r="H923" s="0" t="str">
        <f aca="false">IFERROR(LEFT(G923,1),"")</f>
        <v>1</v>
      </c>
      <c r="I923" s="0" t="n">
        <f aca="false">IF(LEN(G923)&gt;1,1,0)</f>
        <v>0</v>
      </c>
      <c r="J923" s="4" t="n">
        <v>45779</v>
      </c>
      <c r="K923" s="0" t="s">
        <v>16</v>
      </c>
      <c r="L923" s="0" t="s">
        <v>106</v>
      </c>
      <c r="M923" s="0" t="s">
        <v>226</v>
      </c>
      <c r="N923" s="0" t="s">
        <v>93</v>
      </c>
      <c r="O923" s="0" t="s">
        <v>1944</v>
      </c>
      <c r="Q923" s="0" t="s">
        <v>242</v>
      </c>
      <c r="R923" s="0" t="n">
        <v>1</v>
      </c>
      <c r="S923" s="5" t="n">
        <v>515</v>
      </c>
      <c r="T923" s="0" t="s">
        <v>243</v>
      </c>
      <c r="U923" s="0" t="n">
        <v>0</v>
      </c>
      <c r="V923" s="0" t="s">
        <v>230</v>
      </c>
      <c r="W923" s="0" t="s">
        <v>2546</v>
      </c>
      <c r="X923" s="0" t="s">
        <v>232</v>
      </c>
      <c r="Y923" s="0" t="s">
        <v>278</v>
      </c>
      <c r="Z923" s="0" t="s">
        <v>3854</v>
      </c>
      <c r="AA923" s="0" t="s">
        <v>235</v>
      </c>
      <c r="AB923" s="32" t="n">
        <v>2200</v>
      </c>
      <c r="AC923" s="32" t="n">
        <v>2200</v>
      </c>
      <c r="AD923" s="26" t="n">
        <f aca="false">IFERROR(AB923/B923,"")</f>
        <v>4.27184466019418</v>
      </c>
      <c r="AE923" s="26" t="n">
        <f aca="false">IFERROR(AC923/B923,"")</f>
        <v>4.27184466019418</v>
      </c>
      <c r="AF923" s="0" t="s">
        <v>236</v>
      </c>
      <c r="AG923" s="0" t="s">
        <v>236</v>
      </c>
      <c r="AH923" s="0" t="s">
        <v>236</v>
      </c>
      <c r="AI923" s="0" t="s">
        <v>3728</v>
      </c>
      <c r="AJ923" s="0" t="s">
        <v>4025</v>
      </c>
      <c r="AK923" s="0" t="s">
        <v>4026</v>
      </c>
      <c r="AL923" s="0" t="s">
        <v>4024</v>
      </c>
      <c r="AM923" s="0" t="s">
        <v>94</v>
      </c>
      <c r="AN923" s="26" t="n">
        <f aca="false">IFERROR(E923*(1+IF(AM923="Apartment",Data_Summary!$C$3,0)),"")</f>
        <v>4.27184466019418</v>
      </c>
      <c r="AO923" s="4" t="n">
        <v>46195</v>
      </c>
    </row>
    <row r="924" customFormat="false" ht="15" hidden="false" customHeight="false" outlineLevel="0" collapsed="false">
      <c r="A924" s="0" t="n">
        <f aca="false">IF(AND(ISNUMBER(B924),B924&gt;0,ISNUMBER(AB924),AB924&gt;0,J924&gt;=Data_Summary!$C$1),1,0)</f>
        <v>1</v>
      </c>
      <c r="B924" s="33" t="n">
        <v>403</v>
      </c>
      <c r="C924" s="5" t="n">
        <f aca="false">IF(ISNUMBER(AB924),AB924,"")</f>
        <v>2000</v>
      </c>
      <c r="D924" s="0" t="n">
        <f aca="false">IF(ISNUMBER(C924),C924-U924*Data_Summary!$C$2,"")</f>
        <v>2000</v>
      </c>
      <c r="E924" s="34" t="n">
        <f aca="false">IFERROR(C924/B924,"")</f>
        <v>4.96277915632754</v>
      </c>
      <c r="F924" s="26" t="n">
        <f aca="false">IFERROR(D924/B924,"")</f>
        <v>4.96277915632754</v>
      </c>
      <c r="G924" s="0" t="n">
        <f aca="false">Q924</f>
        <v>0</v>
      </c>
      <c r="H924" s="0" t="str">
        <f aca="false">IFERROR(LEFT(G924,1),"")</f>
        <v>0</v>
      </c>
      <c r="I924" s="0" t="n">
        <f aca="false">IF(LEN(G924)&gt;1,1,0)</f>
        <v>0</v>
      </c>
      <c r="J924" s="4" t="n">
        <v>45778</v>
      </c>
      <c r="K924" s="0" t="s">
        <v>16</v>
      </c>
      <c r="L924" s="0" t="s">
        <v>106</v>
      </c>
      <c r="M924" s="0" t="s">
        <v>226</v>
      </c>
      <c r="N924" s="0" t="s">
        <v>93</v>
      </c>
      <c r="O924" s="0" t="s">
        <v>662</v>
      </c>
      <c r="R924" s="0" t="n">
        <v>1</v>
      </c>
      <c r="S924" s="5" t="n">
        <v>403</v>
      </c>
      <c r="T924" s="0" t="s">
        <v>303</v>
      </c>
      <c r="U924" s="0" t="n">
        <v>0</v>
      </c>
      <c r="V924" s="0" t="s">
        <v>230</v>
      </c>
      <c r="W924" s="0" t="s">
        <v>244</v>
      </c>
      <c r="X924" s="0" t="s">
        <v>232</v>
      </c>
      <c r="Y924" s="0" t="s">
        <v>260</v>
      </c>
      <c r="Z924" s="0" t="s">
        <v>3854</v>
      </c>
      <c r="AA924" s="0" t="s">
        <v>235</v>
      </c>
      <c r="AB924" s="32" t="n">
        <v>2000</v>
      </c>
      <c r="AC924" s="32" t="n">
        <v>2000</v>
      </c>
      <c r="AD924" s="26" t="n">
        <f aca="false">IFERROR(AB924/B924,"")</f>
        <v>4.96277915632754</v>
      </c>
      <c r="AE924" s="26" t="n">
        <f aca="false">IFERROR(AC924/B924,"")</f>
        <v>4.96277915632754</v>
      </c>
      <c r="AF924" s="0" t="s">
        <v>236</v>
      </c>
      <c r="AG924" s="0" t="s">
        <v>236</v>
      </c>
      <c r="AH924" s="0" t="s">
        <v>230</v>
      </c>
      <c r="AI924" s="0" t="s">
        <v>2235</v>
      </c>
      <c r="AJ924" s="0" t="s">
        <v>4027</v>
      </c>
      <c r="AK924" s="0" t="s">
        <v>4028</v>
      </c>
      <c r="AL924" s="0" t="s">
        <v>4029</v>
      </c>
      <c r="AM924" s="0" t="s">
        <v>94</v>
      </c>
      <c r="AN924" s="26" t="n">
        <f aca="false">IFERROR(E924*(1+IF(AM924="Apartment",Data_Summary!$C$3,0)),"")</f>
        <v>4.96277915632754</v>
      </c>
      <c r="AO924" s="4" t="n">
        <v>46195</v>
      </c>
    </row>
    <row r="925" customFormat="false" ht="15" hidden="false" customHeight="false" outlineLevel="0" collapsed="false">
      <c r="A925" s="0" t="n">
        <f aca="false">IF(AND(ISNUMBER(B925),B925&gt;0,ISNUMBER(AB925),AB925&gt;0,J925&gt;=Data_Summary!$C$1),1,0)</f>
        <v>1</v>
      </c>
      <c r="B925" s="33" t="n">
        <v>493</v>
      </c>
      <c r="C925" s="5" t="n">
        <f aca="false">IF(ISNUMBER(AB925),AB925,"")</f>
        <v>2250</v>
      </c>
      <c r="D925" s="0" t="n">
        <f aca="false">IF(ISNUMBER(C925),C925-U925*Data_Summary!$C$2,"")</f>
        <v>2250</v>
      </c>
      <c r="E925" s="34" t="n">
        <f aca="false">IFERROR(C925/B925,"")</f>
        <v>4.56389452332657</v>
      </c>
      <c r="F925" s="26" t="n">
        <f aca="false">IFERROR(D925/B925,"")</f>
        <v>4.56389452332657</v>
      </c>
      <c r="G925" s="0" t="str">
        <f aca="false">Q925</f>
        <v>1</v>
      </c>
      <c r="H925" s="0" t="str">
        <f aca="false">IFERROR(LEFT(G925,1),"")</f>
        <v>1</v>
      </c>
      <c r="I925" s="0" t="n">
        <f aca="false">IF(LEN(G925)&gt;1,1,0)</f>
        <v>0</v>
      </c>
      <c r="J925" s="4" t="n">
        <v>45778</v>
      </c>
      <c r="K925" s="0" t="s">
        <v>16</v>
      </c>
      <c r="L925" s="0" t="s">
        <v>106</v>
      </c>
      <c r="M925" s="0" t="s">
        <v>226</v>
      </c>
      <c r="N925" s="0" t="s">
        <v>93</v>
      </c>
      <c r="O925" s="0" t="s">
        <v>558</v>
      </c>
      <c r="Q925" s="0" t="s">
        <v>242</v>
      </c>
      <c r="R925" s="0" t="n">
        <v>1</v>
      </c>
      <c r="S925" s="5" t="n">
        <v>493</v>
      </c>
      <c r="T925" s="0" t="s">
        <v>243</v>
      </c>
      <c r="U925" s="0" t="n">
        <v>0</v>
      </c>
      <c r="V925" s="0" t="s">
        <v>230</v>
      </c>
      <c r="W925" s="0" t="s">
        <v>231</v>
      </c>
      <c r="X925" s="0" t="s">
        <v>232</v>
      </c>
      <c r="Y925" s="0" t="s">
        <v>272</v>
      </c>
      <c r="Z925" s="0" t="s">
        <v>3854</v>
      </c>
      <c r="AA925" s="0" t="s">
        <v>235</v>
      </c>
      <c r="AB925" s="32" t="n">
        <v>2250</v>
      </c>
      <c r="AC925" s="32" t="n">
        <v>2250</v>
      </c>
      <c r="AD925" s="26" t="n">
        <f aca="false">IFERROR(AB925/B925,"")</f>
        <v>4.56389452332657</v>
      </c>
      <c r="AE925" s="26" t="n">
        <f aca="false">IFERROR(AC925/B925,"")</f>
        <v>4.56389452332657</v>
      </c>
      <c r="AF925" s="0" t="s">
        <v>236</v>
      </c>
      <c r="AG925" s="0" t="s">
        <v>236</v>
      </c>
      <c r="AH925" s="0" t="s">
        <v>230</v>
      </c>
      <c r="AI925" s="0" t="s">
        <v>2235</v>
      </c>
      <c r="AJ925" s="0" t="s">
        <v>4030</v>
      </c>
      <c r="AK925" s="0" t="s">
        <v>4031</v>
      </c>
      <c r="AL925" s="0" t="s">
        <v>4032</v>
      </c>
      <c r="AM925" s="0" t="s">
        <v>94</v>
      </c>
      <c r="AN925" s="26" t="n">
        <f aca="false">IFERROR(E925*(1+IF(AM925="Apartment",Data_Summary!$C$3,0)),"")</f>
        <v>4.56389452332657</v>
      </c>
      <c r="AO925" s="4" t="n">
        <v>46195</v>
      </c>
    </row>
    <row r="926" customFormat="false" ht="15" hidden="false" customHeight="false" outlineLevel="0" collapsed="false">
      <c r="A926" s="0" t="n">
        <f aca="false">IF(AND(ISNUMBER(B926),B926&gt;0,ISNUMBER(AB926),AB926&gt;0,J926&gt;=Data_Summary!$C$1),1,0)</f>
        <v>1</v>
      </c>
      <c r="B926" s="33" t="n">
        <v>585</v>
      </c>
      <c r="C926" s="5" t="n">
        <f aca="false">IF(ISNUMBER(AB926),AB926,"")</f>
        <v>2450</v>
      </c>
      <c r="D926" s="0" t="n">
        <f aca="false">IF(ISNUMBER(C926),C926-U926*Data_Summary!$C$2,"")</f>
        <v>2300</v>
      </c>
      <c r="E926" s="34" t="n">
        <f aca="false">IFERROR(C926/B926,"")</f>
        <v>4.18803418803419</v>
      </c>
      <c r="F926" s="26" t="n">
        <f aca="false">IFERROR(D926/B926,"")</f>
        <v>3.93162393162393</v>
      </c>
      <c r="G926" s="0" t="str">
        <f aca="false">Q926</f>
        <v>1+1</v>
      </c>
      <c r="H926" s="0" t="str">
        <f aca="false">IFERROR(LEFT(G926,1),"")</f>
        <v>1</v>
      </c>
      <c r="I926" s="0" t="n">
        <f aca="false">IF(LEN(G926)&gt;1,1,0)</f>
        <v>1</v>
      </c>
      <c r="J926" s="4" t="n">
        <v>45776</v>
      </c>
      <c r="K926" s="0" t="s">
        <v>16</v>
      </c>
      <c r="L926" s="0" t="s">
        <v>106</v>
      </c>
      <c r="M926" s="0" t="s">
        <v>226</v>
      </c>
      <c r="N926" s="0" t="s">
        <v>93</v>
      </c>
      <c r="O926" s="0" t="s">
        <v>1477</v>
      </c>
      <c r="Q926" s="0" t="s">
        <v>270</v>
      </c>
      <c r="R926" s="0" t="n">
        <v>1</v>
      </c>
      <c r="S926" s="5" t="n">
        <v>585</v>
      </c>
      <c r="T926" s="0" t="s">
        <v>243</v>
      </c>
      <c r="U926" s="0" t="n">
        <v>1</v>
      </c>
      <c r="V926" s="0" t="s">
        <v>230</v>
      </c>
      <c r="W926" s="0" t="s">
        <v>231</v>
      </c>
      <c r="X926" s="0" t="s">
        <v>232</v>
      </c>
      <c r="Y926" s="0" t="s">
        <v>272</v>
      </c>
      <c r="Z926" s="0" t="s">
        <v>3854</v>
      </c>
      <c r="AA926" s="0" t="s">
        <v>235</v>
      </c>
      <c r="AB926" s="32" t="n">
        <v>2450</v>
      </c>
      <c r="AC926" s="32" t="n">
        <v>2450</v>
      </c>
      <c r="AD926" s="26" t="n">
        <f aca="false">IFERROR(AB926/B926,"")</f>
        <v>4.18803418803419</v>
      </c>
      <c r="AE926" s="26" t="n">
        <f aca="false">IFERROR(AC926/B926,"")</f>
        <v>4.18803418803419</v>
      </c>
      <c r="AF926" s="0" t="s">
        <v>236</v>
      </c>
      <c r="AG926" s="0" t="s">
        <v>236</v>
      </c>
      <c r="AH926" s="0" t="s">
        <v>236</v>
      </c>
      <c r="AI926" s="0" t="s">
        <v>2243</v>
      </c>
      <c r="AJ926" s="0" t="s">
        <v>4033</v>
      </c>
      <c r="AK926" s="0" t="s">
        <v>4034</v>
      </c>
      <c r="AL926" s="0" t="s">
        <v>4035</v>
      </c>
      <c r="AM926" s="0" t="s">
        <v>94</v>
      </c>
      <c r="AN926" s="26" t="n">
        <f aca="false">IFERROR(E926*(1+IF(AM926="Apartment",Data_Summary!$C$3,0)),"")</f>
        <v>4.18803418803419</v>
      </c>
      <c r="AO926" s="4" t="n">
        <v>46195</v>
      </c>
    </row>
    <row r="927" customFormat="false" ht="15" hidden="false" customHeight="false" outlineLevel="0" collapsed="false">
      <c r="A927" s="0" t="n">
        <f aca="false">IF(AND(ISNUMBER(B927),B927&gt;0,ISNUMBER(AB927),AB927&gt;0,J927&gt;=Data_Summary!$C$1),1,0)</f>
        <v>1</v>
      </c>
      <c r="B927" s="33" t="n">
        <v>686</v>
      </c>
      <c r="C927" s="5" t="n">
        <f aca="false">IF(ISNUMBER(AB927),AB927,"")</f>
        <v>2800</v>
      </c>
      <c r="D927" s="0" t="n">
        <f aca="false">IF(ISNUMBER(C927),C927-U927*Data_Summary!$C$2,"")</f>
        <v>2650</v>
      </c>
      <c r="E927" s="34" t="n">
        <f aca="false">IFERROR(C927/B927,"")</f>
        <v>4.08163265306123</v>
      </c>
      <c r="F927" s="26" t="n">
        <f aca="false">IFERROR(D927/B927,"")</f>
        <v>3.86297376093294</v>
      </c>
      <c r="G927" s="0" t="str">
        <f aca="false">Q927</f>
        <v>2</v>
      </c>
      <c r="H927" s="0" t="str">
        <f aca="false">IFERROR(LEFT(G927,1),"")</f>
        <v>2</v>
      </c>
      <c r="I927" s="0" t="n">
        <f aca="false">IF(LEN(G927)&gt;1,1,0)</f>
        <v>0</v>
      </c>
      <c r="J927" s="4" t="n">
        <v>45775</v>
      </c>
      <c r="K927" s="0" t="s">
        <v>16</v>
      </c>
      <c r="L927" s="0" t="s">
        <v>106</v>
      </c>
      <c r="M927" s="0" t="s">
        <v>226</v>
      </c>
      <c r="N927" s="0" t="s">
        <v>93</v>
      </c>
      <c r="O927" s="0" t="s">
        <v>3865</v>
      </c>
      <c r="Q927" s="0" t="s">
        <v>251</v>
      </c>
      <c r="R927" s="0" t="n">
        <v>1</v>
      </c>
      <c r="S927" s="5" t="n">
        <v>686</v>
      </c>
      <c r="T927" s="0" t="s">
        <v>271</v>
      </c>
      <c r="U927" s="0" t="n">
        <v>1</v>
      </c>
      <c r="V927" s="0" t="s">
        <v>230</v>
      </c>
      <c r="W927" s="0" t="s">
        <v>244</v>
      </c>
      <c r="X927" s="0" t="s">
        <v>232</v>
      </c>
      <c r="Y927" s="0" t="s">
        <v>260</v>
      </c>
      <c r="Z927" s="0" t="s">
        <v>3854</v>
      </c>
      <c r="AA927" s="0" t="s">
        <v>235</v>
      </c>
      <c r="AB927" s="32" t="n">
        <v>2800</v>
      </c>
      <c r="AC927" s="32" t="n">
        <v>2800</v>
      </c>
      <c r="AD927" s="26" t="n">
        <f aca="false">IFERROR(AB927/B927,"")</f>
        <v>4.08163265306123</v>
      </c>
      <c r="AE927" s="26" t="n">
        <f aca="false">IFERROR(AC927/B927,"")</f>
        <v>4.08163265306123</v>
      </c>
      <c r="AF927" s="0" t="s">
        <v>236</v>
      </c>
      <c r="AG927" s="0" t="s">
        <v>236</v>
      </c>
      <c r="AH927" s="0" t="s">
        <v>230</v>
      </c>
      <c r="AI927" s="0" t="s">
        <v>2247</v>
      </c>
      <c r="AJ927" s="0" t="s">
        <v>4036</v>
      </c>
      <c r="AK927" s="0" t="s">
        <v>4037</v>
      </c>
      <c r="AL927" s="0" t="s">
        <v>4038</v>
      </c>
      <c r="AM927" s="0" t="s">
        <v>94</v>
      </c>
      <c r="AN927" s="26" t="n">
        <f aca="false">IFERROR(E927*(1+IF(AM927="Apartment",Data_Summary!$C$3,0)),"")</f>
        <v>4.08163265306123</v>
      </c>
      <c r="AO927" s="4" t="n">
        <v>46195</v>
      </c>
    </row>
    <row r="928" customFormat="false" ht="15" hidden="false" customHeight="false" outlineLevel="0" collapsed="false">
      <c r="A928" s="0" t="n">
        <f aca="false">IF(AND(ISNUMBER(B928),B928&gt;0,ISNUMBER(AB928),AB928&gt;0,J928&gt;=Data_Summary!$C$1),1,0)</f>
        <v>1</v>
      </c>
      <c r="B928" s="30" t="n">
        <v>492</v>
      </c>
      <c r="C928" s="5" t="n">
        <f aca="false">IF(ISNUMBER(AB928),AB928,"")</f>
        <v>2100</v>
      </c>
      <c r="D928" s="0" t="n">
        <f aca="false">IF(ISNUMBER(C928),C928-U928*Data_Summary!$C$2,"")</f>
        <v>2100</v>
      </c>
      <c r="E928" s="31" t="n">
        <f aca="false">IFERROR(C928/B928,"")</f>
        <v>4.26829268292683</v>
      </c>
      <c r="F928" s="26" t="n">
        <f aca="false">IFERROR(D928/B928,"")</f>
        <v>4.26829268292683</v>
      </c>
      <c r="G928" s="0" t="str">
        <f aca="false">Q928</f>
        <v>1</v>
      </c>
      <c r="H928" s="0" t="str">
        <f aca="false">IFERROR(LEFT(G928,1),"")</f>
        <v>1</v>
      </c>
      <c r="I928" s="0" t="n">
        <f aca="false">IF(LEN(G928)&gt;1,1,0)</f>
        <v>0</v>
      </c>
      <c r="J928" s="4" t="n">
        <v>45765</v>
      </c>
      <c r="K928" s="0" t="s">
        <v>16</v>
      </c>
      <c r="L928" s="0" t="s">
        <v>106</v>
      </c>
      <c r="M928" s="0" t="s">
        <v>226</v>
      </c>
      <c r="N928" s="0" t="s">
        <v>93</v>
      </c>
      <c r="O928" s="0" t="s">
        <v>2625</v>
      </c>
      <c r="Q928" s="0" t="s">
        <v>242</v>
      </c>
      <c r="R928" s="0" t="n">
        <v>1</v>
      </c>
      <c r="S928" s="5" t="n">
        <v>492</v>
      </c>
      <c r="T928" s="0" t="s">
        <v>303</v>
      </c>
      <c r="U928" s="0" t="n">
        <v>0</v>
      </c>
      <c r="V928" s="0" t="s">
        <v>230</v>
      </c>
      <c r="W928" s="0" t="s">
        <v>231</v>
      </c>
      <c r="X928" s="0" t="s">
        <v>232</v>
      </c>
      <c r="Y928" s="0" t="s">
        <v>272</v>
      </c>
      <c r="Z928" s="0" t="s">
        <v>3854</v>
      </c>
      <c r="AA928" s="0" t="s">
        <v>235</v>
      </c>
      <c r="AB928" s="32" t="n">
        <v>2100</v>
      </c>
      <c r="AC928" s="32" t="n">
        <v>2050</v>
      </c>
      <c r="AD928" s="26" t="n">
        <f aca="false">IFERROR(AB928/B928,"")</f>
        <v>4.26829268292683</v>
      </c>
      <c r="AE928" s="26" t="n">
        <f aca="false">IFERROR(AC928/B928,"")</f>
        <v>4.16666666666667</v>
      </c>
      <c r="AF928" s="0" t="s">
        <v>236</v>
      </c>
      <c r="AG928" s="0" t="s">
        <v>236</v>
      </c>
      <c r="AH928" s="0" t="s">
        <v>230</v>
      </c>
      <c r="AI928" s="0" t="s">
        <v>3743</v>
      </c>
      <c r="AJ928" s="0" t="s">
        <v>4039</v>
      </c>
      <c r="AK928" s="0" t="s">
        <v>4040</v>
      </c>
      <c r="AL928" s="0" t="s">
        <v>4041</v>
      </c>
      <c r="AM928" s="0" t="s">
        <v>94</v>
      </c>
      <c r="AN928" s="26" t="n">
        <f aca="false">IFERROR(E928*(1+IF(AM928="Apartment",Data_Summary!$C$3,0)),"")</f>
        <v>4.26829268292683</v>
      </c>
      <c r="AO928" s="4" t="n">
        <v>46195</v>
      </c>
    </row>
    <row r="929" customFormat="false" ht="15" hidden="false" customHeight="false" outlineLevel="0" collapsed="false">
      <c r="A929" s="0" t="n">
        <f aca="false">IF(AND(ISNUMBER(B929),B929&gt;0,ISNUMBER(AB929),AB929&gt;0,J929&gt;=Data_Summary!$C$1),1,0)</f>
        <v>1</v>
      </c>
      <c r="B929" s="33" t="n">
        <v>585</v>
      </c>
      <c r="C929" s="5" t="n">
        <f aca="false">IF(ISNUMBER(AB929),AB929,"")</f>
        <v>2300</v>
      </c>
      <c r="D929" s="0" t="n">
        <f aca="false">IF(ISNUMBER(C929),C929-U929*Data_Summary!$C$2,"")</f>
        <v>2300</v>
      </c>
      <c r="E929" s="34" t="n">
        <f aca="false">IFERROR(C929/B929,"")</f>
        <v>3.93162393162393</v>
      </c>
      <c r="F929" s="26" t="n">
        <f aca="false">IFERROR(D929/B929,"")</f>
        <v>3.93162393162393</v>
      </c>
      <c r="G929" s="0" t="str">
        <f aca="false">Q929</f>
        <v>1+1</v>
      </c>
      <c r="H929" s="0" t="str">
        <f aca="false">IFERROR(LEFT(G929,1),"")</f>
        <v>1</v>
      </c>
      <c r="I929" s="0" t="n">
        <f aca="false">IF(LEN(G929)&gt;1,1,0)</f>
        <v>1</v>
      </c>
      <c r="J929" s="4" t="n">
        <v>45764</v>
      </c>
      <c r="K929" s="0" t="s">
        <v>16</v>
      </c>
      <c r="L929" s="0" t="s">
        <v>106</v>
      </c>
      <c r="M929" s="0" t="s">
        <v>226</v>
      </c>
      <c r="N929" s="0" t="s">
        <v>93</v>
      </c>
      <c r="O929" s="0" t="s">
        <v>1491</v>
      </c>
      <c r="Q929" s="0" t="s">
        <v>270</v>
      </c>
      <c r="R929" s="0" t="n">
        <v>1</v>
      </c>
      <c r="S929" s="5" t="n">
        <v>585</v>
      </c>
      <c r="T929" s="0" t="s">
        <v>271</v>
      </c>
      <c r="U929" s="0" t="n">
        <v>0</v>
      </c>
      <c r="V929" s="0" t="s">
        <v>230</v>
      </c>
      <c r="W929" s="0" t="s">
        <v>231</v>
      </c>
      <c r="X929" s="0" t="s">
        <v>232</v>
      </c>
      <c r="Y929" s="0" t="s">
        <v>245</v>
      </c>
      <c r="Z929" s="0" t="s">
        <v>3854</v>
      </c>
      <c r="AA929" s="0" t="s">
        <v>235</v>
      </c>
      <c r="AB929" s="32" t="n">
        <v>2300</v>
      </c>
      <c r="AC929" s="32" t="n">
        <v>2350</v>
      </c>
      <c r="AD929" s="26" t="n">
        <f aca="false">IFERROR(AB929/B929,"")</f>
        <v>3.93162393162393</v>
      </c>
      <c r="AE929" s="26" t="n">
        <f aca="false">IFERROR(AC929/B929,"")</f>
        <v>4.01709401709402</v>
      </c>
      <c r="AF929" s="0" t="s">
        <v>236</v>
      </c>
      <c r="AG929" s="0" t="s">
        <v>236</v>
      </c>
      <c r="AH929" s="0" t="s">
        <v>230</v>
      </c>
      <c r="AI929" s="0" t="s">
        <v>2272</v>
      </c>
      <c r="AJ929" s="0" t="s">
        <v>4042</v>
      </c>
      <c r="AK929" s="0" t="s">
        <v>4043</v>
      </c>
      <c r="AL929" s="0" t="s">
        <v>4044</v>
      </c>
      <c r="AM929" s="0" t="s">
        <v>94</v>
      </c>
      <c r="AN929" s="26" t="n">
        <f aca="false">IFERROR(E929*(1+IF(AM929="Apartment",Data_Summary!$C$3,0)),"")</f>
        <v>3.93162393162393</v>
      </c>
      <c r="AO929" s="4" t="n">
        <v>46195</v>
      </c>
    </row>
    <row r="930" customFormat="false" ht="15" hidden="false" customHeight="false" outlineLevel="0" collapsed="false">
      <c r="A930" s="0" t="n">
        <f aca="false">IF(AND(ISNUMBER(B930),B930&gt;0,ISNUMBER(AB930),AB930&gt;0,J930&gt;=Data_Summary!$C$1),1,0)</f>
        <v>1</v>
      </c>
      <c r="B930" s="30" t="n">
        <v>643</v>
      </c>
      <c r="C930" s="5" t="n">
        <f aca="false">IF(ISNUMBER(AB930),AB930,"")</f>
        <v>2550</v>
      </c>
      <c r="D930" s="0" t="n">
        <f aca="false">IF(ISNUMBER(C930),C930-U930*Data_Summary!$C$2,"")</f>
        <v>2400</v>
      </c>
      <c r="E930" s="31" t="n">
        <f aca="false">IFERROR(C930/B930,"")</f>
        <v>3.96578538102644</v>
      </c>
      <c r="F930" s="26" t="n">
        <f aca="false">IFERROR(D930/B930,"")</f>
        <v>3.73250388802488</v>
      </c>
      <c r="G930" s="0" t="str">
        <f aca="false">Q930</f>
        <v>1+1</v>
      </c>
      <c r="H930" s="0" t="str">
        <f aca="false">IFERROR(LEFT(G930,1),"")</f>
        <v>1</v>
      </c>
      <c r="I930" s="0" t="n">
        <f aca="false">IF(LEN(G930)&gt;1,1,0)</f>
        <v>1</v>
      </c>
      <c r="J930" s="4" t="n">
        <v>45757</v>
      </c>
      <c r="K930" s="0" t="s">
        <v>16</v>
      </c>
      <c r="L930" s="0" t="s">
        <v>106</v>
      </c>
      <c r="M930" s="0" t="s">
        <v>226</v>
      </c>
      <c r="N930" s="0" t="s">
        <v>93</v>
      </c>
      <c r="O930" s="0" t="s">
        <v>2329</v>
      </c>
      <c r="Q930" s="0" t="s">
        <v>270</v>
      </c>
      <c r="R930" s="0" t="n">
        <v>1</v>
      </c>
      <c r="S930" s="5" t="n">
        <v>643</v>
      </c>
      <c r="T930" s="0" t="s">
        <v>271</v>
      </c>
      <c r="U930" s="0" t="n">
        <v>1</v>
      </c>
      <c r="V930" s="0" t="s">
        <v>230</v>
      </c>
      <c r="W930" s="0" t="s">
        <v>231</v>
      </c>
      <c r="X930" s="0" t="s">
        <v>232</v>
      </c>
      <c r="Y930" s="0" t="s">
        <v>245</v>
      </c>
      <c r="Z930" s="0" t="s">
        <v>3854</v>
      </c>
      <c r="AA930" s="0" t="s">
        <v>235</v>
      </c>
      <c r="AB930" s="32" t="n">
        <v>2550</v>
      </c>
      <c r="AC930" s="32" t="n">
        <v>2550</v>
      </c>
      <c r="AD930" s="26" t="n">
        <f aca="false">IFERROR(AB930/B930,"")</f>
        <v>3.96578538102644</v>
      </c>
      <c r="AE930" s="26" t="n">
        <f aca="false">IFERROR(AC930/B930,"")</f>
        <v>3.96578538102644</v>
      </c>
      <c r="AF930" s="0" t="s">
        <v>236</v>
      </c>
      <c r="AG930" s="0" t="s">
        <v>236</v>
      </c>
      <c r="AH930" s="0" t="s">
        <v>230</v>
      </c>
      <c r="AI930" s="0" t="s">
        <v>3188</v>
      </c>
      <c r="AJ930" s="0" t="s">
        <v>4045</v>
      </c>
      <c r="AK930" s="0" t="s">
        <v>4046</v>
      </c>
      <c r="AL930" s="0" t="s">
        <v>4047</v>
      </c>
      <c r="AM930" s="0" t="s">
        <v>94</v>
      </c>
      <c r="AN930" s="26" t="n">
        <f aca="false">IFERROR(E930*(1+IF(AM930="Apartment",Data_Summary!$C$3,0)),"")</f>
        <v>3.96578538102644</v>
      </c>
      <c r="AO930" s="4" t="n">
        <v>46195</v>
      </c>
    </row>
    <row r="931" customFormat="false" ht="15" hidden="false" customHeight="false" outlineLevel="0" collapsed="false">
      <c r="A931" s="0" t="n">
        <f aca="false">IF(AND(ISNUMBER(B931),B931&gt;0,ISNUMBER(AB931),AB931&gt;0,J931&gt;=Data_Summary!$C$1),1,0)</f>
        <v>1</v>
      </c>
      <c r="B931" s="33" t="n">
        <v>742</v>
      </c>
      <c r="C931" s="5" t="n">
        <f aca="false">IF(ISNUMBER(AB931),AB931,"")</f>
        <v>2800</v>
      </c>
      <c r="D931" s="0" t="n">
        <f aca="false">IF(ISNUMBER(C931),C931-U931*Data_Summary!$C$2,"")</f>
        <v>2800</v>
      </c>
      <c r="E931" s="34" t="n">
        <f aca="false">IFERROR(C931/B931,"")</f>
        <v>3.77358490566038</v>
      </c>
      <c r="F931" s="26" t="n">
        <f aca="false">IFERROR(D931/B931,"")</f>
        <v>3.77358490566038</v>
      </c>
      <c r="G931" s="0" t="str">
        <f aca="false">Q931</f>
        <v>2</v>
      </c>
      <c r="H931" s="0" t="str">
        <f aca="false">IFERROR(LEFT(G931,1),"")</f>
        <v>2</v>
      </c>
      <c r="I931" s="0" t="n">
        <f aca="false">IF(LEN(G931)&gt;1,1,0)</f>
        <v>0</v>
      </c>
      <c r="J931" s="4" t="n">
        <v>45756</v>
      </c>
      <c r="K931" s="0" t="s">
        <v>16</v>
      </c>
      <c r="L931" s="0" t="s">
        <v>106</v>
      </c>
      <c r="M931" s="0" t="s">
        <v>226</v>
      </c>
      <c r="N931" s="0" t="s">
        <v>93</v>
      </c>
      <c r="O931" s="0" t="s">
        <v>1540</v>
      </c>
      <c r="Q931" s="0" t="s">
        <v>251</v>
      </c>
      <c r="R931" s="0" t="n">
        <v>2</v>
      </c>
      <c r="S931" s="5" t="n">
        <v>742</v>
      </c>
      <c r="T931" s="0" t="s">
        <v>252</v>
      </c>
      <c r="U931" s="0" t="n">
        <v>0</v>
      </c>
      <c r="V931" s="0" t="s">
        <v>230</v>
      </c>
      <c r="W931" s="0" t="s">
        <v>231</v>
      </c>
      <c r="X931" s="0" t="s">
        <v>232</v>
      </c>
      <c r="Y931" s="0" t="s">
        <v>297</v>
      </c>
      <c r="Z931" s="0" t="s">
        <v>3854</v>
      </c>
      <c r="AA931" s="0" t="s">
        <v>235</v>
      </c>
      <c r="AB931" s="32" t="n">
        <v>2800</v>
      </c>
      <c r="AC931" s="32" t="n">
        <v>2850</v>
      </c>
      <c r="AD931" s="26" t="n">
        <f aca="false">IFERROR(AB931/B931,"")</f>
        <v>3.77358490566038</v>
      </c>
      <c r="AE931" s="26" t="n">
        <f aca="false">IFERROR(AC931/B931,"")</f>
        <v>3.84097035040431</v>
      </c>
      <c r="AF931" s="0" t="s">
        <v>236</v>
      </c>
      <c r="AG931" s="0" t="s">
        <v>236</v>
      </c>
      <c r="AH931" s="0" t="s">
        <v>230</v>
      </c>
      <c r="AI931" s="0" t="s">
        <v>2290</v>
      </c>
      <c r="AJ931" s="0" t="s">
        <v>4048</v>
      </c>
      <c r="AK931" s="0" t="s">
        <v>4049</v>
      </c>
      <c r="AL931" s="0" t="s">
        <v>4050</v>
      </c>
      <c r="AM931" s="0" t="s">
        <v>94</v>
      </c>
      <c r="AN931" s="26" t="n">
        <f aca="false">IFERROR(E931*(1+IF(AM931="Apartment",Data_Summary!$C$3,0)),"")</f>
        <v>3.77358490566038</v>
      </c>
      <c r="AO931" s="4" t="n">
        <v>46195</v>
      </c>
    </row>
    <row r="932" customFormat="false" ht="15" hidden="false" customHeight="false" outlineLevel="0" collapsed="false">
      <c r="A932" s="0" t="n">
        <f aca="false">IF(AND(ISNUMBER(B932),B932&gt;0,ISNUMBER(AB932),AB932&gt;0,J932&gt;=Data_Summary!$C$1),1,0)</f>
        <v>1</v>
      </c>
      <c r="B932" s="33" t="n">
        <v>493</v>
      </c>
      <c r="C932" s="5" t="n">
        <f aca="false">IF(ISNUMBER(AB932),AB932,"")</f>
        <v>2250</v>
      </c>
      <c r="D932" s="0" t="n">
        <f aca="false">IF(ISNUMBER(C932),C932-U932*Data_Summary!$C$2,"")</f>
        <v>2100</v>
      </c>
      <c r="E932" s="34" t="n">
        <f aca="false">IFERROR(C932/B932,"")</f>
        <v>4.56389452332657</v>
      </c>
      <c r="F932" s="26" t="n">
        <f aca="false">IFERROR(D932/B932,"")</f>
        <v>4.25963488843813</v>
      </c>
      <c r="G932" s="0" t="str">
        <f aca="false">Q932</f>
        <v>1</v>
      </c>
      <c r="H932" s="0" t="str">
        <f aca="false">IFERROR(LEFT(G932,1),"")</f>
        <v>1</v>
      </c>
      <c r="I932" s="0" t="n">
        <f aca="false">IF(LEN(G932)&gt;1,1,0)</f>
        <v>0</v>
      </c>
      <c r="J932" s="4" t="n">
        <v>45753</v>
      </c>
      <c r="K932" s="0" t="s">
        <v>16</v>
      </c>
      <c r="L932" s="0" t="s">
        <v>106</v>
      </c>
      <c r="M932" s="0" t="s">
        <v>226</v>
      </c>
      <c r="N932" s="0" t="s">
        <v>93</v>
      </c>
      <c r="O932" s="0" t="s">
        <v>2495</v>
      </c>
      <c r="Q932" s="0" t="s">
        <v>242</v>
      </c>
      <c r="R932" s="0" t="n">
        <v>1</v>
      </c>
      <c r="S932" s="5" t="n">
        <v>493</v>
      </c>
      <c r="T932" s="0" t="s">
        <v>303</v>
      </c>
      <c r="U932" s="0" t="n">
        <v>1</v>
      </c>
      <c r="V932" s="0" t="s">
        <v>230</v>
      </c>
      <c r="W932" s="0" t="s">
        <v>231</v>
      </c>
      <c r="X932" s="0" t="s">
        <v>232</v>
      </c>
      <c r="Y932" s="0" t="s">
        <v>272</v>
      </c>
      <c r="Z932" s="0" t="s">
        <v>3854</v>
      </c>
      <c r="AA932" s="0" t="s">
        <v>235</v>
      </c>
      <c r="AB932" s="32" t="n">
        <v>2250</v>
      </c>
      <c r="AC932" s="32" t="n">
        <v>2300</v>
      </c>
      <c r="AD932" s="26" t="n">
        <f aca="false">IFERROR(AB932/B932,"")</f>
        <v>4.56389452332657</v>
      </c>
      <c r="AE932" s="26" t="n">
        <f aca="false">IFERROR(AC932/B932,"")</f>
        <v>4.66531440162272</v>
      </c>
      <c r="AF932" s="0" t="s">
        <v>236</v>
      </c>
      <c r="AG932" s="0" t="s">
        <v>236</v>
      </c>
      <c r="AH932" s="0" t="s">
        <v>230</v>
      </c>
      <c r="AI932" s="0" t="s">
        <v>3767</v>
      </c>
      <c r="AJ932" s="0" t="s">
        <v>4051</v>
      </c>
      <c r="AK932" s="0" t="s">
        <v>4052</v>
      </c>
      <c r="AL932" s="0" t="s">
        <v>4053</v>
      </c>
      <c r="AM932" s="0" t="s">
        <v>94</v>
      </c>
      <c r="AN932" s="26" t="n">
        <f aca="false">IFERROR(E932*(1+IF(AM932="Apartment",Data_Summary!$C$3,0)),"")</f>
        <v>4.56389452332657</v>
      </c>
      <c r="AO932" s="4" t="n">
        <v>46195</v>
      </c>
    </row>
    <row r="933" customFormat="false" ht="15" hidden="false" customHeight="false" outlineLevel="0" collapsed="false">
      <c r="A933" s="0" t="n">
        <f aca="false">IF(AND(ISNUMBER(B933),B933&gt;0,ISNUMBER(AB933),AB933&gt;0,J933&gt;=Data_Summary!$C$1),1,0)</f>
        <v>1</v>
      </c>
      <c r="B933" s="33" t="n">
        <v>403</v>
      </c>
      <c r="C933" s="5" t="n">
        <f aca="false">IF(ISNUMBER(AB933),AB933,"")</f>
        <v>2050</v>
      </c>
      <c r="D933" s="0" t="n">
        <f aca="false">IF(ISNUMBER(C933),C933-U933*Data_Summary!$C$2,"")</f>
        <v>2050</v>
      </c>
      <c r="E933" s="34" t="n">
        <f aca="false">IFERROR(C933/B933,"")</f>
        <v>5.08684863523573</v>
      </c>
      <c r="F933" s="26" t="n">
        <f aca="false">IFERROR(D933/B933,"")</f>
        <v>5.08684863523573</v>
      </c>
      <c r="G933" s="0" t="str">
        <f aca="false">Q933</f>
        <v>1</v>
      </c>
      <c r="H933" s="0" t="str">
        <f aca="false">IFERROR(LEFT(G933,1),"")</f>
        <v>1</v>
      </c>
      <c r="I933" s="0" t="n">
        <f aca="false">IF(LEN(G933)&gt;1,1,0)</f>
        <v>0</v>
      </c>
      <c r="J933" s="4" t="n">
        <v>45729</v>
      </c>
      <c r="K933" s="0" t="s">
        <v>16</v>
      </c>
      <c r="L933" s="0" t="s">
        <v>106</v>
      </c>
      <c r="M933" s="0" t="s">
        <v>226</v>
      </c>
      <c r="N933" s="0" t="s">
        <v>93</v>
      </c>
      <c r="O933" s="0" t="s">
        <v>2535</v>
      </c>
      <c r="Q933" s="0" t="s">
        <v>242</v>
      </c>
      <c r="R933" s="0" t="n">
        <v>1</v>
      </c>
      <c r="S933" s="5" t="n">
        <v>403</v>
      </c>
      <c r="T933" s="0" t="s">
        <v>303</v>
      </c>
      <c r="U933" s="0" t="n">
        <v>0</v>
      </c>
      <c r="V933" s="0" t="s">
        <v>230</v>
      </c>
      <c r="W933" s="0" t="s">
        <v>244</v>
      </c>
      <c r="X933" s="0" t="s">
        <v>232</v>
      </c>
      <c r="Y933" s="0" t="s">
        <v>272</v>
      </c>
      <c r="Z933" s="0" t="s">
        <v>3854</v>
      </c>
      <c r="AA933" s="0" t="s">
        <v>235</v>
      </c>
      <c r="AB933" s="32" t="n">
        <v>2050</v>
      </c>
      <c r="AC933" s="32" t="n">
        <v>2100</v>
      </c>
      <c r="AD933" s="26" t="n">
        <f aca="false">IFERROR(AB933/B933,"")</f>
        <v>5.08684863523573</v>
      </c>
      <c r="AE933" s="26" t="n">
        <f aca="false">IFERROR(AC933/B933,"")</f>
        <v>5.21091811414392</v>
      </c>
      <c r="AF933" s="0" t="s">
        <v>236</v>
      </c>
      <c r="AG933" s="0" t="s">
        <v>236</v>
      </c>
      <c r="AH933" s="0" t="s">
        <v>230</v>
      </c>
      <c r="AI933" s="0" t="s">
        <v>3793</v>
      </c>
      <c r="AJ933" s="0" t="s">
        <v>4054</v>
      </c>
      <c r="AK933" s="0" t="s">
        <v>4055</v>
      </c>
      <c r="AL933" s="0" t="s">
        <v>4056</v>
      </c>
      <c r="AM933" s="0" t="s">
        <v>94</v>
      </c>
      <c r="AN933" s="26" t="n">
        <f aca="false">IFERROR(E933*(1+IF(AM933="Apartment",Data_Summary!$C$3,0)),"")</f>
        <v>5.08684863523573</v>
      </c>
      <c r="AO933" s="4" t="n">
        <v>46195</v>
      </c>
    </row>
    <row r="934" customFormat="false" ht="15" hidden="false" customHeight="false" outlineLevel="0" collapsed="false">
      <c r="A934" s="0" t="n">
        <f aca="false">IF(AND(ISNUMBER(B934),B934&gt;0,ISNUMBER(AB934),AB934&gt;0,J934&gt;=Data_Summary!$C$1),1,0)</f>
        <v>1</v>
      </c>
      <c r="B934" s="30" t="n">
        <v>643</v>
      </c>
      <c r="C934" s="5" t="n">
        <f aca="false">IF(ISNUMBER(AB934),AB934,"")</f>
        <v>2400</v>
      </c>
      <c r="D934" s="0" t="n">
        <f aca="false">IF(ISNUMBER(C934),C934-U934*Data_Summary!$C$2,"")</f>
        <v>2400</v>
      </c>
      <c r="E934" s="31" t="n">
        <f aca="false">IFERROR(C934/B934,"")</f>
        <v>3.73250388802488</v>
      </c>
      <c r="F934" s="26" t="n">
        <f aca="false">IFERROR(D934/B934,"")</f>
        <v>3.73250388802488</v>
      </c>
      <c r="G934" s="0" t="str">
        <f aca="false">Q934</f>
        <v>1</v>
      </c>
      <c r="H934" s="0" t="str">
        <f aca="false">IFERROR(LEFT(G934,1),"")</f>
        <v>1</v>
      </c>
      <c r="I934" s="0" t="n">
        <f aca="false">IF(LEN(G934)&gt;1,1,0)</f>
        <v>0</v>
      </c>
      <c r="J934" s="4" t="n">
        <v>45726</v>
      </c>
      <c r="K934" s="0" t="s">
        <v>16</v>
      </c>
      <c r="L934" s="0" t="s">
        <v>106</v>
      </c>
      <c r="M934" s="0" t="s">
        <v>226</v>
      </c>
      <c r="N934" s="0" t="s">
        <v>93</v>
      </c>
      <c r="O934" s="0" t="s">
        <v>4057</v>
      </c>
      <c r="Q934" s="0" t="s">
        <v>242</v>
      </c>
      <c r="R934" s="0" t="n">
        <v>1</v>
      </c>
      <c r="S934" s="5" t="n">
        <v>643</v>
      </c>
      <c r="T934" s="0" t="s">
        <v>271</v>
      </c>
      <c r="U934" s="0" t="n">
        <v>0</v>
      </c>
      <c r="V934" s="0" t="s">
        <v>230</v>
      </c>
      <c r="W934" s="0" t="s">
        <v>231</v>
      </c>
      <c r="X934" s="0" t="s">
        <v>232</v>
      </c>
      <c r="Y934" s="0" t="s">
        <v>253</v>
      </c>
      <c r="Z934" s="0" t="s">
        <v>3854</v>
      </c>
      <c r="AA934" s="0" t="s">
        <v>235</v>
      </c>
      <c r="AB934" s="32" t="n">
        <v>2400</v>
      </c>
      <c r="AC934" s="32" t="n">
        <v>2400</v>
      </c>
      <c r="AD934" s="26" t="n">
        <f aca="false">IFERROR(AB934/B934,"")</f>
        <v>3.73250388802488</v>
      </c>
      <c r="AE934" s="26" t="n">
        <f aca="false">IFERROR(AC934/B934,"")</f>
        <v>3.73250388802488</v>
      </c>
      <c r="AF934" s="0" t="s">
        <v>236</v>
      </c>
      <c r="AG934" s="0" t="s">
        <v>236</v>
      </c>
      <c r="AH934" s="0" t="s">
        <v>230</v>
      </c>
      <c r="AI934" s="0" t="s">
        <v>3797</v>
      </c>
      <c r="AJ934" s="0" t="s">
        <v>4058</v>
      </c>
      <c r="AK934" s="0" t="s">
        <v>4059</v>
      </c>
      <c r="AL934" s="0" t="s">
        <v>4060</v>
      </c>
      <c r="AM934" s="0" t="s">
        <v>94</v>
      </c>
      <c r="AN934" s="26" t="n">
        <f aca="false">IFERROR(E934*(1+IF(AM934="Apartment",Data_Summary!$C$3,0)),"")</f>
        <v>3.73250388802488</v>
      </c>
      <c r="AO934" s="4" t="n">
        <v>46195</v>
      </c>
    </row>
    <row r="935" customFormat="false" ht="15" hidden="false" customHeight="false" outlineLevel="0" collapsed="false">
      <c r="A935" s="0" t="n">
        <f aca="false">IF(AND(ISNUMBER(B935),B935&gt;0,ISNUMBER(AB935),AB935&gt;0,J935&gt;=Data_Summary!$C$1),1,0)</f>
        <v>1</v>
      </c>
      <c r="B935" s="30" t="n">
        <v>502</v>
      </c>
      <c r="C935" s="5" t="n">
        <f aca="false">IF(ISNUMBER(AB935),AB935,"")</f>
        <v>2075</v>
      </c>
      <c r="D935" s="0" t="n">
        <f aca="false">IF(ISNUMBER(C935),C935-U935*Data_Summary!$C$2,"")</f>
        <v>2075</v>
      </c>
      <c r="E935" s="31" t="n">
        <f aca="false">IFERROR(C935/B935,"")</f>
        <v>4.13346613545817</v>
      </c>
      <c r="F935" s="26" t="n">
        <f aca="false">IFERROR(D935/B935,"")</f>
        <v>4.13346613545817</v>
      </c>
      <c r="G935" s="0" t="str">
        <f aca="false">Q935</f>
        <v>1</v>
      </c>
      <c r="H935" s="0" t="str">
        <f aca="false">IFERROR(LEFT(G935,1),"")</f>
        <v>1</v>
      </c>
      <c r="I935" s="0" t="n">
        <f aca="false">IF(LEN(G935)&gt;1,1,0)</f>
        <v>0</v>
      </c>
      <c r="J935" s="4" t="n">
        <v>45713</v>
      </c>
      <c r="K935" s="0" t="s">
        <v>16</v>
      </c>
      <c r="L935" s="0" t="s">
        <v>106</v>
      </c>
      <c r="M935" s="0" t="s">
        <v>226</v>
      </c>
      <c r="N935" s="0" t="s">
        <v>93</v>
      </c>
      <c r="O935" s="0" t="s">
        <v>4061</v>
      </c>
      <c r="Q935" s="0" t="s">
        <v>242</v>
      </c>
      <c r="R935" s="0" t="n">
        <v>1</v>
      </c>
      <c r="S935" s="5" t="n">
        <v>502</v>
      </c>
      <c r="T935" s="0" t="s">
        <v>243</v>
      </c>
      <c r="U935" s="0" t="n">
        <v>0</v>
      </c>
      <c r="V935" s="0" t="s">
        <v>230</v>
      </c>
      <c r="W935" s="0" t="s">
        <v>231</v>
      </c>
      <c r="X935" s="0" t="s">
        <v>232</v>
      </c>
      <c r="Y935" s="0" t="s">
        <v>253</v>
      </c>
      <c r="Z935" s="0" t="s">
        <v>3854</v>
      </c>
      <c r="AA935" s="0" t="s">
        <v>235</v>
      </c>
      <c r="AB935" s="32" t="n">
        <v>2075</v>
      </c>
      <c r="AC935" s="32" t="n">
        <v>2075</v>
      </c>
      <c r="AD935" s="26" t="n">
        <f aca="false">IFERROR(AB935/B935,"")</f>
        <v>4.13346613545817</v>
      </c>
      <c r="AE935" s="26" t="n">
        <f aca="false">IFERROR(AC935/B935,"")</f>
        <v>4.13346613545817</v>
      </c>
      <c r="AF935" s="0" t="s">
        <v>236</v>
      </c>
      <c r="AG935" s="0" t="s">
        <v>236</v>
      </c>
      <c r="AH935" s="0" t="s">
        <v>230</v>
      </c>
      <c r="AI935" s="0" t="s">
        <v>2352</v>
      </c>
      <c r="AJ935" s="0" t="s">
        <v>4062</v>
      </c>
      <c r="AK935" s="0" t="s">
        <v>4063</v>
      </c>
      <c r="AL935" s="0" t="s">
        <v>4064</v>
      </c>
      <c r="AM935" s="0" t="s">
        <v>94</v>
      </c>
      <c r="AN935" s="26" t="n">
        <f aca="false">IFERROR(E935*(1+IF(AM935="Apartment",Data_Summary!$C$3,0)),"")</f>
        <v>4.13346613545817</v>
      </c>
      <c r="AO935" s="4" t="n">
        <v>46195</v>
      </c>
    </row>
    <row r="936" customFormat="false" ht="15" hidden="false" customHeight="false" outlineLevel="0" collapsed="false">
      <c r="A936" s="0" t="n">
        <f aca="false">IF(AND(ISNUMBER(B936),B936&gt;0,ISNUMBER(AB936),AB936&gt;0,J936&gt;=Data_Summary!$C$1),1,0)</f>
        <v>1</v>
      </c>
      <c r="B936" s="30" t="n">
        <v>643</v>
      </c>
      <c r="C936" s="5" t="n">
        <f aca="false">IF(ISNUMBER(AB936),AB936,"")</f>
        <v>2500</v>
      </c>
      <c r="D936" s="0" t="n">
        <f aca="false">IF(ISNUMBER(C936),C936-U936*Data_Summary!$C$2,"")</f>
        <v>2350</v>
      </c>
      <c r="E936" s="31" t="n">
        <f aca="false">IFERROR(C936/B936,"")</f>
        <v>3.88802488335925</v>
      </c>
      <c r="F936" s="26" t="n">
        <f aca="false">IFERROR(D936/B936,"")</f>
        <v>3.6547433903577</v>
      </c>
      <c r="G936" s="0" t="str">
        <f aca="false">Q936</f>
        <v>1+1</v>
      </c>
      <c r="H936" s="0" t="str">
        <f aca="false">IFERROR(LEFT(G936,1),"")</f>
        <v>1</v>
      </c>
      <c r="I936" s="0" t="n">
        <f aca="false">IF(LEN(G936)&gt;1,1,0)</f>
        <v>1</v>
      </c>
      <c r="J936" s="4" t="n">
        <v>45713</v>
      </c>
      <c r="K936" s="0" t="s">
        <v>16</v>
      </c>
      <c r="L936" s="0" t="s">
        <v>106</v>
      </c>
      <c r="M936" s="0" t="s">
        <v>226</v>
      </c>
      <c r="N936" s="0" t="s">
        <v>93</v>
      </c>
      <c r="O936" s="0" t="s">
        <v>4065</v>
      </c>
      <c r="Q936" s="0" t="s">
        <v>270</v>
      </c>
      <c r="R936" s="0" t="n">
        <v>1</v>
      </c>
      <c r="S936" s="5" t="n">
        <v>643</v>
      </c>
      <c r="T936" s="0" t="s">
        <v>271</v>
      </c>
      <c r="U936" s="0" t="n">
        <v>1</v>
      </c>
      <c r="V936" s="0" t="s">
        <v>230</v>
      </c>
      <c r="W936" s="0" t="s">
        <v>231</v>
      </c>
      <c r="X936" s="0" t="s">
        <v>232</v>
      </c>
      <c r="Y936" s="0" t="s">
        <v>297</v>
      </c>
      <c r="Z936" s="0" t="s">
        <v>3854</v>
      </c>
      <c r="AA936" s="0" t="s">
        <v>235</v>
      </c>
      <c r="AB936" s="32" t="n">
        <v>2500</v>
      </c>
      <c r="AC936" s="32" t="n">
        <v>2600</v>
      </c>
      <c r="AD936" s="26" t="n">
        <f aca="false">IFERROR(AB936/B936,"")</f>
        <v>3.88802488335925</v>
      </c>
      <c r="AE936" s="26" t="n">
        <f aca="false">IFERROR(AC936/B936,"")</f>
        <v>4.04354587869362</v>
      </c>
      <c r="AF936" s="0" t="s">
        <v>236</v>
      </c>
      <c r="AG936" s="0" t="s">
        <v>236</v>
      </c>
      <c r="AH936" s="0" t="s">
        <v>230</v>
      </c>
      <c r="AI936" s="0" t="s">
        <v>2352</v>
      </c>
      <c r="AJ936" s="0" t="s">
        <v>4066</v>
      </c>
      <c r="AK936" s="0" t="s">
        <v>4067</v>
      </c>
      <c r="AL936" s="0" t="s">
        <v>4068</v>
      </c>
      <c r="AM936" s="0" t="s">
        <v>94</v>
      </c>
      <c r="AN936" s="26" t="n">
        <f aca="false">IFERROR(E936*(1+IF(AM936="Apartment",Data_Summary!$C$3,0)),"")</f>
        <v>3.88802488335925</v>
      </c>
      <c r="AO936" s="4" t="n">
        <v>46195</v>
      </c>
    </row>
    <row r="937" customFormat="false" ht="15" hidden="false" customHeight="false" outlineLevel="0" collapsed="false">
      <c r="A937" s="0" t="n">
        <f aca="false">IF(AND(ISNUMBER(B937),B937&gt;0,ISNUMBER(AB937),AB937&gt;0,J937&gt;=Data_Summary!$C$1),1,0)</f>
        <v>1</v>
      </c>
      <c r="B937" s="33" t="n">
        <v>493</v>
      </c>
      <c r="C937" s="5" t="n">
        <f aca="false">IF(ISNUMBER(AB937),AB937,"")</f>
        <v>2250</v>
      </c>
      <c r="D937" s="0" t="n">
        <f aca="false">IF(ISNUMBER(C937),C937-U937*Data_Summary!$C$2,"")</f>
        <v>2250</v>
      </c>
      <c r="E937" s="34" t="n">
        <f aca="false">IFERROR(C937/B937,"")</f>
        <v>4.56389452332657</v>
      </c>
      <c r="F937" s="26" t="n">
        <f aca="false">IFERROR(D937/B937,"")</f>
        <v>4.56389452332657</v>
      </c>
      <c r="G937" s="0" t="str">
        <f aca="false">Q937</f>
        <v>1</v>
      </c>
      <c r="H937" s="0" t="str">
        <f aca="false">IFERROR(LEFT(G937,1),"")</f>
        <v>1</v>
      </c>
      <c r="I937" s="0" t="n">
        <f aca="false">IF(LEN(G937)&gt;1,1,0)</f>
        <v>0</v>
      </c>
      <c r="J937" s="4" t="n">
        <v>45695</v>
      </c>
      <c r="K937" s="0" t="s">
        <v>16</v>
      </c>
      <c r="L937" s="0" t="s">
        <v>106</v>
      </c>
      <c r="M937" s="0" t="s">
        <v>226</v>
      </c>
      <c r="N937" s="0" t="s">
        <v>93</v>
      </c>
      <c r="O937" s="0" t="s">
        <v>558</v>
      </c>
      <c r="Q937" s="0" t="s">
        <v>242</v>
      </c>
      <c r="R937" s="0" t="n">
        <v>1</v>
      </c>
      <c r="S937" s="5" t="n">
        <v>493</v>
      </c>
      <c r="T937" s="0" t="s">
        <v>243</v>
      </c>
      <c r="U937" s="0" t="n">
        <v>0</v>
      </c>
      <c r="V937" s="0" t="s">
        <v>230</v>
      </c>
      <c r="W937" s="0" t="s">
        <v>231</v>
      </c>
      <c r="X937" s="0" t="s">
        <v>232</v>
      </c>
      <c r="Y937" s="0" t="s">
        <v>272</v>
      </c>
      <c r="Z937" s="0" t="s">
        <v>3854</v>
      </c>
      <c r="AA937" s="0" t="s">
        <v>235</v>
      </c>
      <c r="AB937" s="32" t="n">
        <v>2250</v>
      </c>
      <c r="AC937" s="32" t="n">
        <v>2250</v>
      </c>
      <c r="AD937" s="26" t="n">
        <f aca="false">IFERROR(AB937/B937,"")</f>
        <v>4.56389452332657</v>
      </c>
      <c r="AE937" s="26" t="n">
        <f aca="false">IFERROR(AC937/B937,"")</f>
        <v>4.56389452332657</v>
      </c>
      <c r="AF937" s="0" t="s">
        <v>236</v>
      </c>
      <c r="AG937" s="0" t="s">
        <v>236</v>
      </c>
      <c r="AH937" s="0" t="s">
        <v>230</v>
      </c>
      <c r="AI937" s="0" t="s">
        <v>4069</v>
      </c>
      <c r="AJ937" s="0" t="s">
        <v>4070</v>
      </c>
      <c r="AK937" s="0" t="s">
        <v>4071</v>
      </c>
      <c r="AL937" s="0" t="s">
        <v>4072</v>
      </c>
      <c r="AM937" s="0" t="s">
        <v>94</v>
      </c>
      <c r="AN937" s="26" t="n">
        <f aca="false">IFERROR(E937*(1+IF(AM937="Apartment",Data_Summary!$C$3,0)),"")</f>
        <v>4.56389452332657</v>
      </c>
      <c r="AO937" s="4" t="n">
        <v>46195</v>
      </c>
    </row>
    <row r="938" customFormat="false" ht="15" hidden="false" customHeight="false" outlineLevel="0" collapsed="false">
      <c r="A938" s="0" t="n">
        <f aca="false">IF(AND(ISNUMBER(B938),B938&gt;0,ISNUMBER(AB938),AB938&gt;0,J938&gt;=Data_Summary!$C$1),1,0)</f>
        <v>1</v>
      </c>
      <c r="B938" s="33" t="n">
        <v>585</v>
      </c>
      <c r="C938" s="5" t="n">
        <f aca="false">IF(ISNUMBER(AB938),AB938,"")</f>
        <v>2350</v>
      </c>
      <c r="D938" s="0" t="n">
        <f aca="false">IF(ISNUMBER(C938),C938-U938*Data_Summary!$C$2,"")</f>
        <v>2200</v>
      </c>
      <c r="E938" s="34" t="n">
        <f aca="false">IFERROR(C938/B938,"")</f>
        <v>4.01709401709402</v>
      </c>
      <c r="F938" s="26" t="n">
        <f aca="false">IFERROR(D938/B938,"")</f>
        <v>3.76068376068376</v>
      </c>
      <c r="G938" s="0" t="str">
        <f aca="false">Q938</f>
        <v>1+1</v>
      </c>
      <c r="H938" s="0" t="str">
        <f aca="false">IFERROR(LEFT(G938,1),"")</f>
        <v>1</v>
      </c>
      <c r="I938" s="0" t="n">
        <f aca="false">IF(LEN(G938)&gt;1,1,0)</f>
        <v>1</v>
      </c>
      <c r="J938" s="4" t="n">
        <v>45694</v>
      </c>
      <c r="K938" s="0" t="s">
        <v>16</v>
      </c>
      <c r="L938" s="0" t="s">
        <v>106</v>
      </c>
      <c r="M938" s="0" t="s">
        <v>226</v>
      </c>
      <c r="N938" s="0" t="s">
        <v>93</v>
      </c>
      <c r="O938" s="0" t="s">
        <v>3501</v>
      </c>
      <c r="Q938" s="0" t="s">
        <v>270</v>
      </c>
      <c r="R938" s="0" t="n">
        <v>1</v>
      </c>
      <c r="S938" s="5" t="n">
        <v>585</v>
      </c>
      <c r="T938" s="0" t="s">
        <v>243</v>
      </c>
      <c r="U938" s="0" t="n">
        <v>1</v>
      </c>
      <c r="V938" s="0" t="s">
        <v>230</v>
      </c>
      <c r="W938" s="0" t="s">
        <v>231</v>
      </c>
      <c r="X938" s="0" t="s">
        <v>232</v>
      </c>
      <c r="Y938" s="0" t="s">
        <v>245</v>
      </c>
      <c r="Z938" s="0" t="s">
        <v>3854</v>
      </c>
      <c r="AA938" s="0" t="s">
        <v>235</v>
      </c>
      <c r="AB938" s="32" t="n">
        <v>2350</v>
      </c>
      <c r="AC938" s="32" t="n">
        <v>2350</v>
      </c>
      <c r="AD938" s="26" t="n">
        <f aca="false">IFERROR(AB938/B938,"")</f>
        <v>4.01709401709402</v>
      </c>
      <c r="AE938" s="26" t="n">
        <f aca="false">IFERROR(AC938/B938,"")</f>
        <v>4.01709401709402</v>
      </c>
      <c r="AF938" s="0" t="s">
        <v>236</v>
      </c>
      <c r="AG938" s="0" t="s">
        <v>236</v>
      </c>
      <c r="AH938" s="0" t="s">
        <v>230</v>
      </c>
      <c r="AI938" s="0" t="s">
        <v>2397</v>
      </c>
      <c r="AJ938" s="0" t="s">
        <v>4073</v>
      </c>
      <c r="AK938" s="0" t="s">
        <v>4074</v>
      </c>
      <c r="AL938" s="0" t="s">
        <v>4075</v>
      </c>
      <c r="AM938" s="0" t="s">
        <v>94</v>
      </c>
      <c r="AN938" s="26" t="n">
        <f aca="false">IFERROR(E938*(1+IF(AM938="Apartment",Data_Summary!$C$3,0)),"")</f>
        <v>4.01709401709402</v>
      </c>
      <c r="AO938" s="4" t="n">
        <v>46195</v>
      </c>
    </row>
    <row r="939" customFormat="false" ht="15" hidden="false" customHeight="false" outlineLevel="0" collapsed="false">
      <c r="A939" s="0" t="n">
        <f aca="false">IF(AND(ISNUMBER(B939),B939&gt;0,ISNUMBER(AB939),AB939&gt;0,J939&gt;=Data_Summary!$C$1),1,0)</f>
        <v>1</v>
      </c>
      <c r="B939" s="33" t="n">
        <v>466</v>
      </c>
      <c r="C939" s="5" t="n">
        <f aca="false">IF(ISNUMBER(AB939),AB939,"")</f>
        <v>2150</v>
      </c>
      <c r="D939" s="0" t="n">
        <f aca="false">IF(ISNUMBER(C939),C939-U939*Data_Summary!$C$2,"")</f>
        <v>2150</v>
      </c>
      <c r="E939" s="34" t="n">
        <f aca="false">IFERROR(C939/B939,"")</f>
        <v>4.6137339055794</v>
      </c>
      <c r="F939" s="26" t="n">
        <f aca="false">IFERROR(D939/B939,"")</f>
        <v>4.6137339055794</v>
      </c>
      <c r="G939" s="0" t="str">
        <f aca="false">Q939</f>
        <v>1</v>
      </c>
      <c r="H939" s="0" t="str">
        <f aca="false">IFERROR(LEFT(G939,1),"")</f>
        <v>1</v>
      </c>
      <c r="I939" s="0" t="n">
        <f aca="false">IF(LEN(G939)&gt;1,1,0)</f>
        <v>0</v>
      </c>
      <c r="J939" s="4" t="n">
        <v>45693</v>
      </c>
      <c r="K939" s="0" t="s">
        <v>16</v>
      </c>
      <c r="L939" s="0" t="s">
        <v>106</v>
      </c>
      <c r="M939" s="0" t="s">
        <v>226</v>
      </c>
      <c r="N939" s="0" t="s">
        <v>93</v>
      </c>
      <c r="O939" s="0" t="s">
        <v>3763</v>
      </c>
      <c r="Q939" s="0" t="s">
        <v>242</v>
      </c>
      <c r="R939" s="0" t="n">
        <v>1</v>
      </c>
      <c r="S939" s="5" t="n">
        <v>466</v>
      </c>
      <c r="T939" s="0" t="s">
        <v>303</v>
      </c>
      <c r="U939" s="0" t="n">
        <v>0</v>
      </c>
      <c r="V939" s="0" t="s">
        <v>230</v>
      </c>
      <c r="W939" s="0" t="s">
        <v>244</v>
      </c>
      <c r="X939" s="0" t="s">
        <v>232</v>
      </c>
      <c r="Y939" s="0" t="s">
        <v>308</v>
      </c>
      <c r="Z939" s="0" t="s">
        <v>3854</v>
      </c>
      <c r="AA939" s="0" t="s">
        <v>235</v>
      </c>
      <c r="AB939" s="32" t="n">
        <v>2150</v>
      </c>
      <c r="AC939" s="32" t="n">
        <v>2200</v>
      </c>
      <c r="AD939" s="26" t="n">
        <f aca="false">IFERROR(AB939/B939,"")</f>
        <v>4.6137339055794</v>
      </c>
      <c r="AE939" s="26" t="n">
        <f aca="false">IFERROR(AC939/B939,"")</f>
        <v>4.72103004291846</v>
      </c>
      <c r="AF939" s="0" t="s">
        <v>236</v>
      </c>
      <c r="AG939" s="0" t="s">
        <v>236</v>
      </c>
      <c r="AH939" s="0" t="s">
        <v>230</v>
      </c>
      <c r="AI939" s="0" t="s">
        <v>2402</v>
      </c>
      <c r="AJ939" s="0" t="s">
        <v>4076</v>
      </c>
      <c r="AK939" s="0" t="s">
        <v>4077</v>
      </c>
      <c r="AL939" s="0" t="s">
        <v>4078</v>
      </c>
      <c r="AM939" s="0" t="s">
        <v>94</v>
      </c>
      <c r="AN939" s="26" t="n">
        <f aca="false">IFERROR(E939*(1+IF(AM939="Apartment",Data_Summary!$C$3,0)),"")</f>
        <v>4.6137339055794</v>
      </c>
      <c r="AO939" s="4" t="n">
        <v>46195</v>
      </c>
    </row>
    <row r="940" customFormat="false" ht="15" hidden="false" customHeight="false" outlineLevel="0" collapsed="false">
      <c r="A940" s="0" t="n">
        <f aca="false">IF(AND(ISNUMBER(B940),B940&gt;0,ISNUMBER(AB940),AB940&gt;0,J940&gt;=Data_Summary!$C$1),1,0)</f>
        <v>1</v>
      </c>
      <c r="B940" s="30" t="n">
        <v>587</v>
      </c>
      <c r="C940" s="5" t="n">
        <f aca="false">IF(ISNUMBER(AB940),AB940,"")</f>
        <v>2600</v>
      </c>
      <c r="D940" s="0" t="n">
        <f aca="false">IF(ISNUMBER(C940),C940-U940*Data_Summary!$C$2,"")</f>
        <v>2450</v>
      </c>
      <c r="E940" s="31" t="n">
        <f aca="false">IFERROR(C940/B940,"")</f>
        <v>4.42930153321976</v>
      </c>
      <c r="F940" s="26" t="n">
        <f aca="false">IFERROR(D940/B940,"")</f>
        <v>4.17376490630324</v>
      </c>
      <c r="G940" s="0" t="str">
        <f aca="false">Q940</f>
        <v>1</v>
      </c>
      <c r="H940" s="0" t="str">
        <f aca="false">IFERROR(LEFT(G940,1),"")</f>
        <v>1</v>
      </c>
      <c r="I940" s="0" t="n">
        <f aca="false">IF(LEN(G940)&gt;1,1,0)</f>
        <v>0</v>
      </c>
      <c r="J940" s="4" t="n">
        <v>46188</v>
      </c>
      <c r="K940" s="0" t="s">
        <v>17</v>
      </c>
      <c r="L940" s="0" t="s">
        <v>107</v>
      </c>
      <c r="M940" s="0" t="s">
        <v>226</v>
      </c>
      <c r="N940" s="0" t="s">
        <v>93</v>
      </c>
      <c r="O940" s="0" t="s">
        <v>4079</v>
      </c>
      <c r="Q940" s="0" t="s">
        <v>242</v>
      </c>
      <c r="R940" s="0" t="n">
        <v>1</v>
      </c>
      <c r="S940" s="5" t="n">
        <v>587</v>
      </c>
      <c r="T940" s="0" t="s">
        <v>243</v>
      </c>
      <c r="U940" s="0" t="n">
        <v>1</v>
      </c>
      <c r="V940" s="0" t="s">
        <v>230</v>
      </c>
      <c r="W940" s="0" t="s">
        <v>231</v>
      </c>
      <c r="X940" s="0" t="s">
        <v>232</v>
      </c>
      <c r="Y940" s="0" t="s">
        <v>272</v>
      </c>
      <c r="Z940" s="0" t="s">
        <v>4080</v>
      </c>
      <c r="AA940" s="0" t="s">
        <v>235</v>
      </c>
      <c r="AB940" s="32" t="n">
        <v>2600</v>
      </c>
      <c r="AC940" s="32" t="n">
        <v>2600</v>
      </c>
      <c r="AD940" s="26" t="n">
        <f aca="false">IFERROR(AB940/B940,"")</f>
        <v>4.42930153321976</v>
      </c>
      <c r="AE940" s="26" t="n">
        <f aca="false">IFERROR(AC940/B940,"")</f>
        <v>4.42930153321976</v>
      </c>
      <c r="AF940" s="0" t="s">
        <v>236</v>
      </c>
      <c r="AG940" s="0" t="s">
        <v>236</v>
      </c>
      <c r="AH940" s="0" t="s">
        <v>230</v>
      </c>
      <c r="AI940" s="0" t="s">
        <v>1556</v>
      </c>
      <c r="AJ940" s="0" t="s">
        <v>4081</v>
      </c>
      <c r="AK940" s="0" t="s">
        <v>4082</v>
      </c>
      <c r="AL940" s="0" t="s">
        <v>4083</v>
      </c>
      <c r="AM940" s="0" t="s">
        <v>94</v>
      </c>
      <c r="AN940" s="26" t="n">
        <f aca="false">IFERROR(E940*(1+IF(AM940="Apartment",Data_Summary!$C$3,0)),"")</f>
        <v>4.42930153321976</v>
      </c>
      <c r="AO940" s="4" t="n">
        <v>46195</v>
      </c>
    </row>
    <row r="941" customFormat="false" ht="15" hidden="false" customHeight="false" outlineLevel="0" collapsed="false">
      <c r="A941" s="0" t="n">
        <f aca="false">IF(AND(ISNUMBER(B941),B941&gt;0,ISNUMBER(AB941),AB941&gt;0,J941&gt;=Data_Summary!$C$1),1,0)</f>
        <v>1</v>
      </c>
      <c r="B941" s="33" t="n">
        <v>587</v>
      </c>
      <c r="C941" s="5" t="n">
        <f aca="false">IF(ISNUMBER(AB941),AB941,"")</f>
        <v>2600</v>
      </c>
      <c r="D941" s="0" t="n">
        <f aca="false">IF(ISNUMBER(C941),C941-U941*Data_Summary!$C$2,"")</f>
        <v>2600</v>
      </c>
      <c r="E941" s="34" t="n">
        <f aca="false">IFERROR(C941/B941,"")</f>
        <v>4.42930153321976</v>
      </c>
      <c r="F941" s="26" t="n">
        <f aca="false">IFERROR(D941/B941,"")</f>
        <v>4.42930153321976</v>
      </c>
      <c r="G941" s="0" t="str">
        <f aca="false">Q941</f>
        <v>1+1</v>
      </c>
      <c r="H941" s="0" t="str">
        <f aca="false">IFERROR(LEFT(G941,1),"")</f>
        <v>1</v>
      </c>
      <c r="I941" s="0" t="n">
        <f aca="false">IF(LEN(G941)&gt;1,1,0)</f>
        <v>1</v>
      </c>
      <c r="J941" s="4" t="n">
        <v>46183</v>
      </c>
      <c r="K941" s="0" t="s">
        <v>17</v>
      </c>
      <c r="L941" s="0" t="s">
        <v>107</v>
      </c>
      <c r="M941" s="0" t="s">
        <v>226</v>
      </c>
      <c r="N941" s="0" t="s">
        <v>93</v>
      </c>
      <c r="O941" s="0" t="s">
        <v>4084</v>
      </c>
      <c r="Q941" s="0" t="s">
        <v>270</v>
      </c>
      <c r="R941" s="0" t="n">
        <v>1</v>
      </c>
      <c r="S941" s="5" t="n">
        <v>587</v>
      </c>
      <c r="T941" s="0" t="s">
        <v>243</v>
      </c>
      <c r="U941" s="0" t="n">
        <v>0</v>
      </c>
      <c r="V941" s="0" t="s">
        <v>230</v>
      </c>
      <c r="W941" s="0" t="s">
        <v>231</v>
      </c>
      <c r="X941" s="0" t="s">
        <v>232</v>
      </c>
      <c r="Y941" s="0" t="s">
        <v>245</v>
      </c>
      <c r="Z941" s="0" t="s">
        <v>4080</v>
      </c>
      <c r="AA941" s="0" t="s">
        <v>235</v>
      </c>
      <c r="AB941" s="32" t="n">
        <v>2600</v>
      </c>
      <c r="AC941" s="32" t="n">
        <v>2600</v>
      </c>
      <c r="AD941" s="26" t="n">
        <f aca="false">IFERROR(AB941/B941,"")</f>
        <v>4.42930153321976</v>
      </c>
      <c r="AE941" s="26" t="n">
        <f aca="false">IFERROR(AC941/B941,"")</f>
        <v>4.42930153321976</v>
      </c>
      <c r="AF941" s="0" t="s">
        <v>230</v>
      </c>
      <c r="AG941" s="0" t="s">
        <v>236</v>
      </c>
      <c r="AH941" s="0" t="s">
        <v>230</v>
      </c>
      <c r="AI941" s="0" t="s">
        <v>273</v>
      </c>
      <c r="AJ941" s="0" t="s">
        <v>4085</v>
      </c>
      <c r="AK941" s="0" t="s">
        <v>4086</v>
      </c>
      <c r="AL941" s="0" t="s">
        <v>4087</v>
      </c>
      <c r="AM941" s="0" t="s">
        <v>94</v>
      </c>
      <c r="AN941" s="26" t="n">
        <f aca="false">IFERROR(E941*(1+IF(AM941="Apartment",Data_Summary!$C$3,0)),"")</f>
        <v>4.42930153321976</v>
      </c>
      <c r="AO941" s="4" t="n">
        <v>46195</v>
      </c>
    </row>
    <row r="942" customFormat="false" ht="15" hidden="false" customHeight="false" outlineLevel="0" collapsed="false">
      <c r="A942" s="0" t="n">
        <f aca="false">IF(AND(ISNUMBER(B942),B942&gt;0,ISNUMBER(AB942),AB942&gt;0,J942&gt;=Data_Summary!$C$1),1,0)</f>
        <v>1</v>
      </c>
      <c r="B942" s="30" t="n">
        <v>914</v>
      </c>
      <c r="C942" s="5" t="n">
        <f aca="false">IF(ISNUMBER(AB942),AB942,"")</f>
        <v>3900</v>
      </c>
      <c r="D942" s="0" t="n">
        <f aca="false">IF(ISNUMBER(C942),C942-U942*Data_Summary!$C$2,"")</f>
        <v>3750</v>
      </c>
      <c r="E942" s="31" t="n">
        <f aca="false">IFERROR(C942/B942,"")</f>
        <v>4.26695842450766</v>
      </c>
      <c r="F942" s="26" t="n">
        <f aca="false">IFERROR(D942/B942,"")</f>
        <v>4.10284463894967</v>
      </c>
      <c r="G942" s="0" t="str">
        <f aca="false">Q942</f>
        <v>2+1</v>
      </c>
      <c r="H942" s="0" t="str">
        <f aca="false">IFERROR(LEFT(G942,1),"")</f>
        <v>2</v>
      </c>
      <c r="I942" s="0" t="n">
        <f aca="false">IF(LEN(G942)&gt;1,1,0)</f>
        <v>1</v>
      </c>
      <c r="J942" s="4" t="n">
        <v>46182</v>
      </c>
      <c r="K942" s="0" t="s">
        <v>17</v>
      </c>
      <c r="L942" s="0" t="s">
        <v>107</v>
      </c>
      <c r="M942" s="0" t="s">
        <v>226</v>
      </c>
      <c r="N942" s="0" t="s">
        <v>93</v>
      </c>
      <c r="O942" s="0" t="s">
        <v>1912</v>
      </c>
      <c r="Q942" s="0" t="s">
        <v>451</v>
      </c>
      <c r="R942" s="0" t="n">
        <v>2</v>
      </c>
      <c r="S942" s="5" t="n">
        <v>914</v>
      </c>
      <c r="T942" s="0" t="s">
        <v>259</v>
      </c>
      <c r="U942" s="0" t="n">
        <v>1</v>
      </c>
      <c r="V942" s="0" t="s">
        <v>230</v>
      </c>
      <c r="X942" s="0" t="s">
        <v>232</v>
      </c>
      <c r="Y942" s="0" t="s">
        <v>260</v>
      </c>
      <c r="Z942" s="0" t="s">
        <v>4080</v>
      </c>
      <c r="AA942" s="0" t="s">
        <v>235</v>
      </c>
      <c r="AB942" s="32" t="n">
        <v>3900</v>
      </c>
      <c r="AC942" s="32" t="n">
        <v>3900</v>
      </c>
      <c r="AD942" s="26" t="n">
        <f aca="false">IFERROR(AB942/B942,"")</f>
        <v>4.26695842450766</v>
      </c>
      <c r="AE942" s="26" t="n">
        <f aca="false">IFERROR(AC942/B942,"")</f>
        <v>4.26695842450766</v>
      </c>
      <c r="AF942" s="0" t="s">
        <v>236</v>
      </c>
      <c r="AG942" s="0" t="s">
        <v>236</v>
      </c>
      <c r="AH942" s="0" t="s">
        <v>230</v>
      </c>
      <c r="AI942" s="0" t="s">
        <v>279</v>
      </c>
      <c r="AJ942" s="0" t="s">
        <v>4088</v>
      </c>
      <c r="AK942" s="0" t="s">
        <v>4089</v>
      </c>
      <c r="AL942" s="0" t="s">
        <v>4090</v>
      </c>
      <c r="AM942" s="0" t="s">
        <v>94</v>
      </c>
      <c r="AN942" s="26" t="n">
        <f aca="false">IFERROR(E942*(1+IF(AM942="Apartment",Data_Summary!$C$3,0)),"")</f>
        <v>4.26695842450766</v>
      </c>
      <c r="AO942" s="4" t="n">
        <v>46195</v>
      </c>
    </row>
    <row r="943" customFormat="false" ht="15" hidden="false" customHeight="false" outlineLevel="0" collapsed="false">
      <c r="A943" s="0" t="n">
        <f aca="false">IF(AND(ISNUMBER(B943),B943&gt;0,ISNUMBER(AB943),AB943&gt;0,J943&gt;=Data_Summary!$C$1),1,0)</f>
        <v>1</v>
      </c>
      <c r="B943" s="30" t="n">
        <v>630</v>
      </c>
      <c r="C943" s="5" t="n">
        <f aca="false">IF(ISNUMBER(AB943),AB943,"")</f>
        <v>2415</v>
      </c>
      <c r="D943" s="0" t="n">
        <f aca="false">IF(ISNUMBER(C943),C943-U943*Data_Summary!$C$2,"")</f>
        <v>2265</v>
      </c>
      <c r="E943" s="31" t="n">
        <f aca="false">IFERROR(C943/B943,"")</f>
        <v>3.83333333333333</v>
      </c>
      <c r="F943" s="26" t="n">
        <f aca="false">IFERROR(D943/B943,"")</f>
        <v>3.5952380952381</v>
      </c>
      <c r="G943" s="0" t="str">
        <f aca="false">Q943</f>
        <v>1</v>
      </c>
      <c r="H943" s="0" t="str">
        <f aca="false">IFERROR(LEFT(G943,1),"")</f>
        <v>1</v>
      </c>
      <c r="I943" s="0" t="n">
        <f aca="false">IF(LEN(G943)&gt;1,1,0)</f>
        <v>0</v>
      </c>
      <c r="J943" s="4" t="n">
        <v>46178</v>
      </c>
      <c r="K943" s="0" t="s">
        <v>17</v>
      </c>
      <c r="L943" s="0" t="s">
        <v>107</v>
      </c>
      <c r="M943" s="0" t="s">
        <v>226</v>
      </c>
      <c r="N943" s="0" t="s">
        <v>93</v>
      </c>
      <c r="O943" s="0" t="s">
        <v>4091</v>
      </c>
      <c r="Q943" s="0" t="s">
        <v>242</v>
      </c>
      <c r="R943" s="0" t="n">
        <v>1</v>
      </c>
      <c r="S943" s="5" t="n">
        <v>630</v>
      </c>
      <c r="T943" s="0" t="s">
        <v>271</v>
      </c>
      <c r="U943" s="0" t="n">
        <v>1</v>
      </c>
      <c r="V943" s="0" t="s">
        <v>230</v>
      </c>
      <c r="W943" s="0" t="s">
        <v>231</v>
      </c>
      <c r="X943" s="0" t="s">
        <v>232</v>
      </c>
      <c r="Y943" s="0" t="s">
        <v>245</v>
      </c>
      <c r="Z943" s="0" t="s">
        <v>4080</v>
      </c>
      <c r="AA943" s="0" t="s">
        <v>235</v>
      </c>
      <c r="AB943" s="32" t="n">
        <v>2415</v>
      </c>
      <c r="AC943" s="32" t="n">
        <v>2500</v>
      </c>
      <c r="AD943" s="26" t="n">
        <f aca="false">IFERROR(AB943/B943,"")</f>
        <v>3.83333333333333</v>
      </c>
      <c r="AE943" s="26" t="n">
        <f aca="false">IFERROR(AC943/B943,"")</f>
        <v>3.96825396825397</v>
      </c>
      <c r="AF943" s="0" t="s">
        <v>236</v>
      </c>
      <c r="AG943" s="0" t="s">
        <v>236</v>
      </c>
      <c r="AH943" s="0" t="s">
        <v>236</v>
      </c>
      <c r="AI943" s="0" t="s">
        <v>298</v>
      </c>
      <c r="AJ943" s="0" t="s">
        <v>4092</v>
      </c>
      <c r="AK943" s="0" t="s">
        <v>4093</v>
      </c>
      <c r="AL943" s="0" t="s">
        <v>4094</v>
      </c>
      <c r="AM943" s="0" t="s">
        <v>94</v>
      </c>
      <c r="AN943" s="26" t="n">
        <f aca="false">IFERROR(E943*(1+IF(AM943="Apartment",Data_Summary!$C$3,0)),"")</f>
        <v>3.83333333333333</v>
      </c>
      <c r="AO943" s="4" t="n">
        <v>46195</v>
      </c>
    </row>
    <row r="944" customFormat="false" ht="15" hidden="false" customHeight="false" outlineLevel="0" collapsed="false">
      <c r="A944" s="0" t="n">
        <f aca="false">IF(AND(ISNUMBER(B944),B944&gt;0,ISNUMBER(AB944),AB944&gt;0,J944&gt;=Data_Summary!$C$1),1,0)</f>
        <v>1</v>
      </c>
      <c r="B944" s="30" t="n">
        <v>914</v>
      </c>
      <c r="C944" s="5" t="n">
        <f aca="false">IF(ISNUMBER(AB944),AB944,"")</f>
        <v>3300</v>
      </c>
      <c r="D944" s="0" t="n">
        <f aca="false">IF(ISNUMBER(C944),C944-U944*Data_Summary!$C$2,"")</f>
        <v>3150</v>
      </c>
      <c r="E944" s="31" t="n">
        <f aca="false">IFERROR(C944/B944,"")</f>
        <v>3.61050328227571</v>
      </c>
      <c r="F944" s="26" t="n">
        <f aca="false">IFERROR(D944/B944,"")</f>
        <v>3.44638949671772</v>
      </c>
      <c r="G944" s="0" t="str">
        <f aca="false">Q944</f>
        <v>2+1</v>
      </c>
      <c r="H944" s="0" t="str">
        <f aca="false">IFERROR(LEFT(G944,1),"")</f>
        <v>2</v>
      </c>
      <c r="I944" s="0" t="n">
        <f aca="false">IF(LEN(G944)&gt;1,1,0)</f>
        <v>1</v>
      </c>
      <c r="J944" s="4" t="n">
        <v>46161</v>
      </c>
      <c r="K944" s="0" t="s">
        <v>17</v>
      </c>
      <c r="L944" s="0" t="s">
        <v>107</v>
      </c>
      <c r="M944" s="0" t="s">
        <v>226</v>
      </c>
      <c r="N944" s="0" t="s">
        <v>93</v>
      </c>
      <c r="O944" s="0" t="s">
        <v>1200</v>
      </c>
      <c r="Q944" s="0" t="s">
        <v>451</v>
      </c>
      <c r="R944" s="0" t="n">
        <v>2</v>
      </c>
      <c r="S944" s="5" t="n">
        <v>914</v>
      </c>
      <c r="T944" s="0" t="s">
        <v>259</v>
      </c>
      <c r="U944" s="0" t="n">
        <v>1</v>
      </c>
      <c r="V944" s="0" t="s">
        <v>230</v>
      </c>
      <c r="W944" s="0" t="s">
        <v>231</v>
      </c>
      <c r="X944" s="0" t="s">
        <v>232</v>
      </c>
      <c r="Y944" s="0" t="s">
        <v>260</v>
      </c>
      <c r="Z944" s="0" t="s">
        <v>4080</v>
      </c>
      <c r="AA944" s="0" t="s">
        <v>235</v>
      </c>
      <c r="AB944" s="32" t="n">
        <v>3300</v>
      </c>
      <c r="AC944" s="32" t="n">
        <v>3300</v>
      </c>
      <c r="AD944" s="26" t="n">
        <f aca="false">IFERROR(AB944/B944,"")</f>
        <v>3.61050328227571</v>
      </c>
      <c r="AE944" s="26" t="n">
        <f aca="false">IFERROR(AC944/B944,"")</f>
        <v>3.61050328227571</v>
      </c>
      <c r="AF944" s="0" t="s">
        <v>236</v>
      </c>
      <c r="AG944" s="0" t="s">
        <v>236</v>
      </c>
      <c r="AH944" s="0" t="s">
        <v>230</v>
      </c>
      <c r="AI944" s="0" t="s">
        <v>376</v>
      </c>
      <c r="AJ944" s="0" t="s">
        <v>4095</v>
      </c>
      <c r="AK944" s="0" t="s">
        <v>4096</v>
      </c>
      <c r="AL944" s="0" t="s">
        <v>4097</v>
      </c>
      <c r="AM944" s="0" t="s">
        <v>94</v>
      </c>
      <c r="AN944" s="26" t="n">
        <f aca="false">IFERROR(E944*(1+IF(AM944="Apartment",Data_Summary!$C$3,0)),"")</f>
        <v>3.61050328227571</v>
      </c>
      <c r="AO944" s="4" t="n">
        <v>46195</v>
      </c>
    </row>
    <row r="945" customFormat="false" ht="15" hidden="false" customHeight="false" outlineLevel="0" collapsed="false">
      <c r="A945" s="0" t="n">
        <f aca="false">IF(AND(ISNUMBER(B945),B945&gt;0,ISNUMBER(AB945),AB945&gt;0,J945&gt;=Data_Summary!$C$1),1,0)</f>
        <v>1</v>
      </c>
      <c r="B945" s="30" t="n">
        <v>630</v>
      </c>
      <c r="C945" s="5" t="n">
        <f aca="false">IF(ISNUMBER(AB945),AB945,"")</f>
        <v>2650</v>
      </c>
      <c r="D945" s="0" t="n">
        <f aca="false">IF(ISNUMBER(C945),C945-U945*Data_Summary!$C$2,"")</f>
        <v>2500</v>
      </c>
      <c r="E945" s="31" t="n">
        <f aca="false">IFERROR(C945/B945,"")</f>
        <v>4.20634920634921</v>
      </c>
      <c r="F945" s="26" t="n">
        <f aca="false">IFERROR(D945/B945,"")</f>
        <v>3.96825396825397</v>
      </c>
      <c r="G945" s="0" t="str">
        <f aca="false">Q945</f>
        <v>2</v>
      </c>
      <c r="H945" s="0" t="str">
        <f aca="false">IFERROR(LEFT(G945,1),"")</f>
        <v>2</v>
      </c>
      <c r="I945" s="0" t="n">
        <f aca="false">IF(LEN(G945)&gt;1,1,0)</f>
        <v>0</v>
      </c>
      <c r="J945" s="4" t="n">
        <v>46159</v>
      </c>
      <c r="K945" s="0" t="s">
        <v>17</v>
      </c>
      <c r="L945" s="0" t="s">
        <v>107</v>
      </c>
      <c r="M945" s="0" t="s">
        <v>226</v>
      </c>
      <c r="N945" s="0" t="s">
        <v>93</v>
      </c>
      <c r="O945" s="0" t="s">
        <v>4098</v>
      </c>
      <c r="Q945" s="0" t="s">
        <v>251</v>
      </c>
      <c r="R945" s="0" t="n">
        <v>1</v>
      </c>
      <c r="S945" s="5" t="n">
        <v>630</v>
      </c>
      <c r="T945" s="0" t="s">
        <v>271</v>
      </c>
      <c r="U945" s="0" t="n">
        <v>1</v>
      </c>
      <c r="V945" s="0" t="s">
        <v>230</v>
      </c>
      <c r="X945" s="0" t="s">
        <v>232</v>
      </c>
      <c r="Y945" s="0" t="s">
        <v>245</v>
      </c>
      <c r="Z945" s="0" t="s">
        <v>4080</v>
      </c>
      <c r="AA945" s="0" t="s">
        <v>235</v>
      </c>
      <c r="AB945" s="32" t="n">
        <v>2650</v>
      </c>
      <c r="AC945" s="32" t="n">
        <v>2599</v>
      </c>
      <c r="AD945" s="26" t="n">
        <f aca="false">IFERROR(AB945/B945,"")</f>
        <v>4.20634920634921</v>
      </c>
      <c r="AE945" s="26" t="n">
        <f aca="false">IFERROR(AC945/B945,"")</f>
        <v>4.12539682539683</v>
      </c>
      <c r="AF945" s="0" t="s">
        <v>236</v>
      </c>
      <c r="AG945" s="0" t="s">
        <v>236</v>
      </c>
      <c r="AH945" s="0" t="s">
        <v>230</v>
      </c>
      <c r="AI945" s="0" t="s">
        <v>381</v>
      </c>
      <c r="AJ945" s="0" t="s">
        <v>4099</v>
      </c>
      <c r="AK945" s="0" t="s">
        <v>4100</v>
      </c>
      <c r="AL945" s="0" t="s">
        <v>4101</v>
      </c>
      <c r="AM945" s="0" t="s">
        <v>94</v>
      </c>
      <c r="AN945" s="26" t="n">
        <f aca="false">IFERROR(E945*(1+IF(AM945="Apartment",Data_Summary!$C$3,0)),"")</f>
        <v>4.20634920634921</v>
      </c>
      <c r="AO945" s="4" t="n">
        <v>46195</v>
      </c>
    </row>
    <row r="946" customFormat="false" ht="15" hidden="false" customHeight="false" outlineLevel="0" collapsed="false">
      <c r="A946" s="0" t="n">
        <f aca="false">IF(AND(ISNUMBER(B946),B946&gt;0,ISNUMBER(AB946),AB946&gt;0,J946&gt;=Data_Summary!$C$1),1,0)</f>
        <v>1</v>
      </c>
      <c r="B946" s="30" t="n">
        <v>587</v>
      </c>
      <c r="C946" s="5" t="n">
        <f aca="false">IF(ISNUMBER(AB946),AB946,"")</f>
        <v>2550</v>
      </c>
      <c r="D946" s="0" t="n">
        <f aca="false">IF(ISNUMBER(C946),C946-U946*Data_Summary!$C$2,"")</f>
        <v>2400</v>
      </c>
      <c r="E946" s="31" t="n">
        <f aca="false">IFERROR(C946/B946,"")</f>
        <v>4.34412265758092</v>
      </c>
      <c r="F946" s="26" t="n">
        <f aca="false">IFERROR(D946/B946,"")</f>
        <v>4.0885860306644</v>
      </c>
      <c r="G946" s="0" t="str">
        <f aca="false">Q946</f>
        <v>1+1</v>
      </c>
      <c r="H946" s="0" t="str">
        <f aca="false">IFERROR(LEFT(G946,1),"")</f>
        <v>1</v>
      </c>
      <c r="I946" s="0" t="n">
        <f aca="false">IF(LEN(G946)&gt;1,1,0)</f>
        <v>1</v>
      </c>
      <c r="J946" s="4" t="n">
        <v>46150</v>
      </c>
      <c r="K946" s="0" t="s">
        <v>17</v>
      </c>
      <c r="L946" s="0" t="s">
        <v>107</v>
      </c>
      <c r="M946" s="0" t="s">
        <v>226</v>
      </c>
      <c r="N946" s="0" t="s">
        <v>93</v>
      </c>
      <c r="O946" s="0" t="s">
        <v>4102</v>
      </c>
      <c r="Q946" s="0" t="s">
        <v>270</v>
      </c>
      <c r="R946" s="0" t="n">
        <v>1</v>
      </c>
      <c r="S946" s="5" t="n">
        <v>587</v>
      </c>
      <c r="T946" s="0" t="s">
        <v>243</v>
      </c>
      <c r="U946" s="0" t="n">
        <v>1</v>
      </c>
      <c r="V946" s="0" t="s">
        <v>230</v>
      </c>
      <c r="W946" s="0" t="s">
        <v>244</v>
      </c>
      <c r="X946" s="0" t="s">
        <v>232</v>
      </c>
      <c r="Y946" s="0" t="s">
        <v>253</v>
      </c>
      <c r="Z946" s="0" t="s">
        <v>4080</v>
      </c>
      <c r="AA946" s="0" t="s">
        <v>235</v>
      </c>
      <c r="AB946" s="32" t="n">
        <v>2550</v>
      </c>
      <c r="AC946" s="32" t="n">
        <v>2550</v>
      </c>
      <c r="AD946" s="26" t="n">
        <f aca="false">IFERROR(AB946/B946,"")</f>
        <v>4.34412265758092</v>
      </c>
      <c r="AE946" s="26" t="n">
        <f aca="false">IFERROR(AC946/B946,"")</f>
        <v>4.34412265758092</v>
      </c>
      <c r="AF946" s="0" t="s">
        <v>236</v>
      </c>
      <c r="AG946" s="0" t="s">
        <v>236</v>
      </c>
      <c r="AH946" s="0" t="s">
        <v>230</v>
      </c>
      <c r="AI946" s="0" t="s">
        <v>401</v>
      </c>
      <c r="AJ946" s="0" t="s">
        <v>4103</v>
      </c>
      <c r="AK946" s="0" t="s">
        <v>4104</v>
      </c>
      <c r="AL946" s="0" t="s">
        <v>4105</v>
      </c>
      <c r="AM946" s="0" t="s">
        <v>94</v>
      </c>
      <c r="AN946" s="26" t="n">
        <f aca="false">IFERROR(E946*(1+IF(AM946="Apartment",Data_Summary!$C$3,0)),"")</f>
        <v>4.34412265758092</v>
      </c>
      <c r="AO946" s="4" t="n">
        <v>46195</v>
      </c>
    </row>
    <row r="947" customFormat="false" ht="15" hidden="false" customHeight="false" outlineLevel="0" collapsed="false">
      <c r="A947" s="0" t="n">
        <f aca="false">IF(AND(ISNUMBER(B947),B947&gt;0,ISNUMBER(AB947),AB947&gt;0,J947&gt;=Data_Summary!$C$1),1,0)</f>
        <v>1</v>
      </c>
      <c r="B947" s="30" t="n">
        <v>683</v>
      </c>
      <c r="C947" s="5" t="n">
        <f aca="false">IF(ISNUMBER(AB947),AB947,"")</f>
        <v>2400</v>
      </c>
      <c r="D947" s="0" t="n">
        <f aca="false">IF(ISNUMBER(C947),C947-U947*Data_Summary!$C$2,"")</f>
        <v>2400</v>
      </c>
      <c r="E947" s="31" t="n">
        <f aca="false">IFERROR(C947/B947,"")</f>
        <v>3.51390922401171</v>
      </c>
      <c r="F947" s="26" t="n">
        <f aca="false">IFERROR(D947/B947,"")</f>
        <v>3.51390922401171</v>
      </c>
      <c r="G947" s="0" t="str">
        <f aca="false">Q947</f>
        <v>1+1</v>
      </c>
      <c r="H947" s="0" t="str">
        <f aca="false">IFERROR(LEFT(G947,1),"")</f>
        <v>1</v>
      </c>
      <c r="I947" s="0" t="n">
        <f aca="false">IF(LEN(G947)&gt;1,1,0)</f>
        <v>1</v>
      </c>
      <c r="J947" s="4" t="n">
        <v>46149</v>
      </c>
      <c r="K947" s="0" t="s">
        <v>17</v>
      </c>
      <c r="L947" s="0" t="s">
        <v>107</v>
      </c>
      <c r="M947" s="0" t="s">
        <v>226</v>
      </c>
      <c r="N947" s="0" t="s">
        <v>93</v>
      </c>
      <c r="O947" s="0" t="s">
        <v>3763</v>
      </c>
      <c r="Q947" s="0" t="s">
        <v>270</v>
      </c>
      <c r="R947" s="0" t="n">
        <v>1</v>
      </c>
      <c r="S947" s="5" t="n">
        <v>683</v>
      </c>
      <c r="T947" s="0" t="s">
        <v>271</v>
      </c>
      <c r="U947" s="0" t="n">
        <v>0</v>
      </c>
      <c r="V947" s="0" t="s">
        <v>230</v>
      </c>
      <c r="W947" s="0" t="s">
        <v>244</v>
      </c>
      <c r="X947" s="0" t="s">
        <v>232</v>
      </c>
      <c r="Y947" s="0" t="s">
        <v>245</v>
      </c>
      <c r="Z947" s="0" t="s">
        <v>4080</v>
      </c>
      <c r="AA947" s="0" t="s">
        <v>235</v>
      </c>
      <c r="AB947" s="32" t="n">
        <v>2400</v>
      </c>
      <c r="AC947" s="32" t="n">
        <v>2395</v>
      </c>
      <c r="AD947" s="26" t="n">
        <f aca="false">IFERROR(AB947/B947,"")</f>
        <v>3.51390922401171</v>
      </c>
      <c r="AE947" s="26" t="n">
        <f aca="false">IFERROR(AC947/B947,"")</f>
        <v>3.50658857979502</v>
      </c>
      <c r="AF947" s="0" t="s">
        <v>236</v>
      </c>
      <c r="AG947" s="0" t="s">
        <v>236</v>
      </c>
      <c r="AH947" s="0" t="s">
        <v>230</v>
      </c>
      <c r="AI947" s="0" t="s">
        <v>1617</v>
      </c>
      <c r="AJ947" s="0" t="s">
        <v>4106</v>
      </c>
      <c r="AK947" s="0" t="s">
        <v>4107</v>
      </c>
      <c r="AL947" s="0" t="s">
        <v>4108</v>
      </c>
      <c r="AM947" s="0" t="s">
        <v>94</v>
      </c>
      <c r="AN947" s="26" t="n">
        <f aca="false">IFERROR(E947*(1+IF(AM947="Apartment",Data_Summary!$C$3,0)),"")</f>
        <v>3.51390922401171</v>
      </c>
      <c r="AO947" s="4" t="n">
        <v>46195</v>
      </c>
    </row>
    <row r="948" customFormat="false" ht="15" hidden="false" customHeight="false" outlineLevel="0" collapsed="false">
      <c r="A948" s="0" t="n">
        <f aca="false">IF(AND(ISNUMBER(B948),B948&gt;0,ISNUMBER(AB948),AB948&gt;0,J948&gt;=Data_Summary!$C$1),1,0)</f>
        <v>1</v>
      </c>
      <c r="B948" s="30" t="n">
        <v>595</v>
      </c>
      <c r="C948" s="5" t="n">
        <f aca="false">IF(ISNUMBER(AB948),AB948,"")</f>
        <v>2150</v>
      </c>
      <c r="D948" s="0" t="n">
        <f aca="false">IF(ISNUMBER(C948),C948-U948*Data_Summary!$C$2,"")</f>
        <v>2150</v>
      </c>
      <c r="E948" s="31" t="n">
        <f aca="false">IFERROR(C948/B948,"")</f>
        <v>3.61344537815126</v>
      </c>
      <c r="F948" s="26" t="n">
        <f aca="false">IFERROR(D948/B948,"")</f>
        <v>3.61344537815126</v>
      </c>
      <c r="G948" s="0" t="str">
        <f aca="false">Q948</f>
        <v>1+1</v>
      </c>
      <c r="H948" s="0" t="str">
        <f aca="false">IFERROR(LEFT(G948,1),"")</f>
        <v>1</v>
      </c>
      <c r="I948" s="0" t="n">
        <f aca="false">IF(LEN(G948)&gt;1,1,0)</f>
        <v>1</v>
      </c>
      <c r="J948" s="4" t="n">
        <v>46148</v>
      </c>
      <c r="K948" s="0" t="s">
        <v>17</v>
      </c>
      <c r="L948" s="0" t="s">
        <v>107</v>
      </c>
      <c r="M948" s="0" t="s">
        <v>226</v>
      </c>
      <c r="N948" s="0" t="s">
        <v>93</v>
      </c>
      <c r="O948" s="0" t="s">
        <v>4109</v>
      </c>
      <c r="Q948" s="0" t="s">
        <v>270</v>
      </c>
      <c r="R948" s="0" t="n">
        <v>1</v>
      </c>
      <c r="S948" s="5" t="n">
        <v>595</v>
      </c>
      <c r="T948" s="0" t="s">
        <v>243</v>
      </c>
      <c r="U948" s="0" t="n">
        <v>0</v>
      </c>
      <c r="V948" s="0" t="s">
        <v>230</v>
      </c>
      <c r="X948" s="0" t="s">
        <v>232</v>
      </c>
      <c r="Y948" s="0" t="s">
        <v>260</v>
      </c>
      <c r="Z948" s="0" t="s">
        <v>4080</v>
      </c>
      <c r="AA948" s="0" t="s">
        <v>235</v>
      </c>
      <c r="AB948" s="32" t="n">
        <v>2150</v>
      </c>
      <c r="AC948" s="32" t="n">
        <v>2200</v>
      </c>
      <c r="AD948" s="26" t="n">
        <f aca="false">IFERROR(AB948/B948,"")</f>
        <v>3.61344537815126</v>
      </c>
      <c r="AE948" s="26" t="n">
        <f aca="false">IFERROR(AC948/B948,"")</f>
        <v>3.69747899159664</v>
      </c>
      <c r="AF948" s="0" t="s">
        <v>236</v>
      </c>
      <c r="AG948" s="0" t="s">
        <v>236</v>
      </c>
      <c r="AH948" s="0" t="s">
        <v>230</v>
      </c>
      <c r="AI948" s="0" t="s">
        <v>406</v>
      </c>
      <c r="AJ948" s="0" t="s">
        <v>4110</v>
      </c>
      <c r="AK948" s="0" t="s">
        <v>4111</v>
      </c>
      <c r="AL948" s="0" t="s">
        <v>4112</v>
      </c>
      <c r="AM948" s="0" t="s">
        <v>94</v>
      </c>
      <c r="AN948" s="26" t="n">
        <f aca="false">IFERROR(E948*(1+IF(AM948="Apartment",Data_Summary!$C$3,0)),"")</f>
        <v>3.61344537815126</v>
      </c>
      <c r="AO948" s="4" t="n">
        <v>46195</v>
      </c>
    </row>
    <row r="949" customFormat="false" ht="15" hidden="false" customHeight="false" outlineLevel="0" collapsed="false">
      <c r="A949" s="0" t="n">
        <f aca="false">IF(AND(ISNUMBER(B949),B949&gt;0,ISNUMBER(AB949),AB949&gt;0,J949&gt;=Data_Summary!$C$1),1,0)</f>
        <v>1</v>
      </c>
      <c r="B949" s="30" t="n">
        <v>914</v>
      </c>
      <c r="C949" s="5" t="n">
        <f aca="false">IF(ISNUMBER(AB949),AB949,"")</f>
        <v>3900</v>
      </c>
      <c r="D949" s="0" t="n">
        <f aca="false">IF(ISNUMBER(C949),C949-U949*Data_Summary!$C$2,"")</f>
        <v>3750</v>
      </c>
      <c r="E949" s="31" t="n">
        <f aca="false">IFERROR(C949/B949,"")</f>
        <v>4.26695842450766</v>
      </c>
      <c r="F949" s="26" t="n">
        <f aca="false">IFERROR(D949/B949,"")</f>
        <v>4.10284463894967</v>
      </c>
      <c r="G949" s="0" t="str">
        <f aca="false">Q949</f>
        <v>2+1</v>
      </c>
      <c r="H949" s="0" t="str">
        <f aca="false">IFERROR(LEFT(G949,1),"")</f>
        <v>2</v>
      </c>
      <c r="I949" s="0" t="n">
        <f aca="false">IF(LEN(G949)&gt;1,1,0)</f>
        <v>1</v>
      </c>
      <c r="J949" s="4" t="n">
        <v>46139</v>
      </c>
      <c r="K949" s="0" t="s">
        <v>17</v>
      </c>
      <c r="L949" s="0" t="s">
        <v>107</v>
      </c>
      <c r="M949" s="0" t="s">
        <v>226</v>
      </c>
      <c r="N949" s="0" t="s">
        <v>93</v>
      </c>
      <c r="O949" s="0" t="s">
        <v>1912</v>
      </c>
      <c r="Q949" s="0" t="s">
        <v>451</v>
      </c>
      <c r="R949" s="0" t="n">
        <v>2</v>
      </c>
      <c r="S949" s="5" t="n">
        <v>914</v>
      </c>
      <c r="T949" s="0" t="s">
        <v>259</v>
      </c>
      <c r="U949" s="0" t="n">
        <v>1</v>
      </c>
      <c r="V949" s="0" t="s">
        <v>230</v>
      </c>
      <c r="X949" s="0" t="s">
        <v>232</v>
      </c>
      <c r="Y949" s="0" t="s">
        <v>260</v>
      </c>
      <c r="Z949" s="0" t="s">
        <v>4080</v>
      </c>
      <c r="AA949" s="0" t="s">
        <v>235</v>
      </c>
      <c r="AB949" s="32" t="n">
        <v>3900</v>
      </c>
      <c r="AC949" s="32" t="n">
        <v>3800</v>
      </c>
      <c r="AD949" s="26" t="n">
        <f aca="false">IFERROR(AB949/B949,"")</f>
        <v>4.26695842450766</v>
      </c>
      <c r="AE949" s="26" t="n">
        <f aca="false">IFERROR(AC949/B949,"")</f>
        <v>4.15754923413567</v>
      </c>
      <c r="AF949" s="0" t="s">
        <v>236</v>
      </c>
      <c r="AG949" s="0" t="s">
        <v>236</v>
      </c>
      <c r="AH949" s="0" t="s">
        <v>230</v>
      </c>
      <c r="AI949" s="0" t="s">
        <v>427</v>
      </c>
      <c r="AJ949" s="0" t="s">
        <v>4113</v>
      </c>
      <c r="AK949" s="0" t="s">
        <v>4114</v>
      </c>
      <c r="AL949" s="0" t="s">
        <v>4115</v>
      </c>
      <c r="AM949" s="0" t="s">
        <v>94</v>
      </c>
      <c r="AN949" s="26" t="n">
        <f aca="false">IFERROR(E949*(1+IF(AM949="Apartment",Data_Summary!$C$3,0)),"")</f>
        <v>4.26695842450766</v>
      </c>
      <c r="AO949" s="4" t="n">
        <v>46195</v>
      </c>
    </row>
    <row r="950" customFormat="false" ht="15" hidden="false" customHeight="false" outlineLevel="0" collapsed="false">
      <c r="A950" s="0" t="n">
        <f aca="false">IF(AND(ISNUMBER(B950),B950&gt;0,ISNUMBER(AB950),AB950&gt;0,J950&gt;=Data_Summary!$C$1),1,0)</f>
        <v>1</v>
      </c>
      <c r="B950" s="33" t="n">
        <v>595</v>
      </c>
      <c r="C950" s="5" t="n">
        <f aca="false">IF(ISNUMBER(AB950),AB950,"")</f>
        <v>2250</v>
      </c>
      <c r="D950" s="0" t="n">
        <f aca="false">IF(ISNUMBER(C950),C950-U950*Data_Summary!$C$2,"")</f>
        <v>2250</v>
      </c>
      <c r="E950" s="34" t="n">
        <f aca="false">IFERROR(C950/B950,"")</f>
        <v>3.78151260504202</v>
      </c>
      <c r="F950" s="26" t="n">
        <f aca="false">IFERROR(D950/B950,"")</f>
        <v>3.78151260504202</v>
      </c>
      <c r="G950" s="0" t="str">
        <f aca="false">Q950</f>
        <v>1+1</v>
      </c>
      <c r="H950" s="0" t="str">
        <f aca="false">IFERROR(LEFT(G950,1),"")</f>
        <v>1</v>
      </c>
      <c r="I950" s="0" t="n">
        <f aca="false">IF(LEN(G950)&gt;1,1,0)</f>
        <v>1</v>
      </c>
      <c r="J950" s="4" t="n">
        <v>46130</v>
      </c>
      <c r="K950" s="0" t="s">
        <v>17</v>
      </c>
      <c r="L950" s="0" t="s">
        <v>107</v>
      </c>
      <c r="M950" s="0" t="s">
        <v>226</v>
      </c>
      <c r="N950" s="0" t="s">
        <v>93</v>
      </c>
      <c r="O950" s="0" t="s">
        <v>4116</v>
      </c>
      <c r="Q950" s="0" t="s">
        <v>270</v>
      </c>
      <c r="R950" s="0" t="n">
        <v>1</v>
      </c>
      <c r="S950" s="5" t="n">
        <v>595</v>
      </c>
      <c r="T950" s="0" t="s">
        <v>271</v>
      </c>
      <c r="U950" s="0" t="n">
        <v>0</v>
      </c>
      <c r="V950" s="0" t="s">
        <v>230</v>
      </c>
      <c r="W950" s="0" t="s">
        <v>231</v>
      </c>
      <c r="X950" s="0" t="s">
        <v>232</v>
      </c>
      <c r="Y950" s="0" t="s">
        <v>245</v>
      </c>
      <c r="Z950" s="0" t="s">
        <v>4080</v>
      </c>
      <c r="AA950" s="0" t="s">
        <v>235</v>
      </c>
      <c r="AB950" s="32" t="n">
        <v>2250</v>
      </c>
      <c r="AC950" s="32" t="n">
        <v>2300</v>
      </c>
      <c r="AD950" s="26" t="n">
        <f aca="false">IFERROR(AB950/B950,"")</f>
        <v>3.78151260504202</v>
      </c>
      <c r="AE950" s="26" t="n">
        <f aca="false">IFERROR(AC950/B950,"")</f>
        <v>3.8655462184874</v>
      </c>
      <c r="AF950" s="0" t="s">
        <v>236</v>
      </c>
      <c r="AG950" s="0" t="s">
        <v>236</v>
      </c>
      <c r="AH950" s="0" t="s">
        <v>230</v>
      </c>
      <c r="AI950" s="0" t="s">
        <v>452</v>
      </c>
      <c r="AJ950" s="0" t="s">
        <v>4117</v>
      </c>
      <c r="AK950" s="0" t="s">
        <v>4118</v>
      </c>
      <c r="AL950" s="0" t="s">
        <v>4119</v>
      </c>
      <c r="AM950" s="0" t="s">
        <v>94</v>
      </c>
      <c r="AN950" s="26" t="n">
        <f aca="false">IFERROR(E950*(1+IF(AM950="Apartment",Data_Summary!$C$3,0)),"")</f>
        <v>3.78151260504202</v>
      </c>
      <c r="AO950" s="4" t="n">
        <v>46195</v>
      </c>
    </row>
    <row r="951" customFormat="false" ht="15" hidden="false" customHeight="false" outlineLevel="0" collapsed="false">
      <c r="A951" s="0" t="n">
        <f aca="false">IF(AND(ISNUMBER(B951),B951&gt;0,ISNUMBER(AB951),AB951&gt;0,J951&gt;=Data_Summary!$C$1),1,0)</f>
        <v>1</v>
      </c>
      <c r="B951" s="30" t="n">
        <v>479</v>
      </c>
      <c r="C951" s="5" t="n">
        <f aca="false">IF(ISNUMBER(AB951),AB951,"")</f>
        <v>2000</v>
      </c>
      <c r="D951" s="0" t="n">
        <f aca="false">IF(ISNUMBER(C951),C951-U951*Data_Summary!$C$2,"")</f>
        <v>2000</v>
      </c>
      <c r="E951" s="31" t="n">
        <f aca="false">IFERROR(C951/B951,"")</f>
        <v>4.17536534446764</v>
      </c>
      <c r="F951" s="26" t="n">
        <f aca="false">IFERROR(D951/B951,"")</f>
        <v>4.17536534446764</v>
      </c>
      <c r="G951" s="0" t="str">
        <f aca="false">Q951</f>
        <v>1</v>
      </c>
      <c r="H951" s="0" t="str">
        <f aca="false">IFERROR(LEFT(G951,1),"")</f>
        <v>1</v>
      </c>
      <c r="I951" s="0" t="n">
        <f aca="false">IF(LEN(G951)&gt;1,1,0)</f>
        <v>0</v>
      </c>
      <c r="J951" s="4" t="n">
        <v>46130</v>
      </c>
      <c r="K951" s="0" t="s">
        <v>17</v>
      </c>
      <c r="L951" s="0" t="s">
        <v>107</v>
      </c>
      <c r="M951" s="0" t="s">
        <v>226</v>
      </c>
      <c r="N951" s="0" t="s">
        <v>93</v>
      </c>
      <c r="O951" s="0" t="s">
        <v>4120</v>
      </c>
      <c r="Q951" s="0" t="s">
        <v>242</v>
      </c>
      <c r="R951" s="0" t="n">
        <v>1</v>
      </c>
      <c r="S951" s="5" t="n">
        <v>479</v>
      </c>
      <c r="T951" s="0" t="s">
        <v>303</v>
      </c>
      <c r="U951" s="0" t="n">
        <v>0</v>
      </c>
      <c r="V951" s="0" t="s">
        <v>230</v>
      </c>
      <c r="W951" s="0" t="s">
        <v>244</v>
      </c>
      <c r="Y951" s="0" t="s">
        <v>245</v>
      </c>
      <c r="Z951" s="0" t="s">
        <v>4080</v>
      </c>
      <c r="AA951" s="0" t="s">
        <v>235</v>
      </c>
      <c r="AB951" s="32" t="n">
        <v>2000</v>
      </c>
      <c r="AC951" s="32" t="n">
        <v>2000</v>
      </c>
      <c r="AD951" s="26" t="n">
        <f aca="false">IFERROR(AB951/B951,"")</f>
        <v>4.17536534446764</v>
      </c>
      <c r="AE951" s="26" t="n">
        <f aca="false">IFERROR(AC951/B951,"")</f>
        <v>4.17536534446764</v>
      </c>
      <c r="AF951" s="0" t="s">
        <v>236</v>
      </c>
      <c r="AG951" s="0" t="s">
        <v>236</v>
      </c>
      <c r="AH951" s="0" t="s">
        <v>230</v>
      </c>
      <c r="AI951" s="0" t="s">
        <v>452</v>
      </c>
      <c r="AJ951" s="0" t="s">
        <v>4121</v>
      </c>
      <c r="AK951" s="0" t="s">
        <v>4122</v>
      </c>
      <c r="AL951" s="0" t="s">
        <v>4123</v>
      </c>
      <c r="AM951" s="0" t="s">
        <v>94</v>
      </c>
      <c r="AN951" s="26" t="n">
        <f aca="false">IFERROR(E951*(1+IF(AM951="Apartment",Data_Summary!$C$3,0)),"")</f>
        <v>4.17536534446764</v>
      </c>
      <c r="AO951" s="4" t="n">
        <v>46195</v>
      </c>
    </row>
    <row r="952" customFormat="false" ht="15" hidden="false" customHeight="false" outlineLevel="0" collapsed="false">
      <c r="A952" s="0" t="n">
        <f aca="false">IF(AND(ISNUMBER(B952),B952&gt;0,ISNUMBER(AB952),AB952&gt;0,J952&gt;=Data_Summary!$C$1),1,0)</f>
        <v>1</v>
      </c>
      <c r="B952" s="30" t="n">
        <v>633</v>
      </c>
      <c r="C952" s="5" t="n">
        <f aca="false">IF(ISNUMBER(AB952),AB952,"")</f>
        <v>2600</v>
      </c>
      <c r="D952" s="0" t="n">
        <f aca="false">IF(ISNUMBER(C952),C952-U952*Data_Summary!$C$2,"")</f>
        <v>2450</v>
      </c>
      <c r="E952" s="31" t="n">
        <f aca="false">IFERROR(C952/B952,"")</f>
        <v>4.10742496050553</v>
      </c>
      <c r="F952" s="26" t="n">
        <f aca="false">IFERROR(D952/B952,"")</f>
        <v>3.87045813586098</v>
      </c>
      <c r="G952" s="0" t="str">
        <f aca="false">Q952</f>
        <v>1+1</v>
      </c>
      <c r="H952" s="0" t="str">
        <f aca="false">IFERROR(LEFT(G952,1),"")</f>
        <v>1</v>
      </c>
      <c r="I952" s="0" t="n">
        <f aca="false">IF(LEN(G952)&gt;1,1,0)</f>
        <v>1</v>
      </c>
      <c r="J952" s="4" t="n">
        <v>46126</v>
      </c>
      <c r="K952" s="0" t="s">
        <v>17</v>
      </c>
      <c r="L952" s="0" t="s">
        <v>107</v>
      </c>
      <c r="M952" s="0" t="s">
        <v>226</v>
      </c>
      <c r="N952" s="0" t="s">
        <v>93</v>
      </c>
      <c r="O952" s="0" t="s">
        <v>1560</v>
      </c>
      <c r="Q952" s="0" t="s">
        <v>270</v>
      </c>
      <c r="R952" s="0" t="n">
        <v>1</v>
      </c>
      <c r="S952" s="5" t="n">
        <v>633</v>
      </c>
      <c r="T952" s="0" t="s">
        <v>271</v>
      </c>
      <c r="U952" s="0" t="n">
        <v>1</v>
      </c>
      <c r="V952" s="0" t="s">
        <v>230</v>
      </c>
      <c r="W952" s="0" t="s">
        <v>231</v>
      </c>
      <c r="X952" s="0" t="s">
        <v>232</v>
      </c>
      <c r="Y952" s="0" t="s">
        <v>272</v>
      </c>
      <c r="Z952" s="0" t="s">
        <v>4080</v>
      </c>
      <c r="AA952" s="0" t="s">
        <v>235</v>
      </c>
      <c r="AB952" s="32" t="n">
        <v>2600</v>
      </c>
      <c r="AC952" s="32" t="n">
        <v>2600</v>
      </c>
      <c r="AD952" s="26" t="n">
        <f aca="false">IFERROR(AB952/B952,"")</f>
        <v>4.10742496050553</v>
      </c>
      <c r="AE952" s="26" t="n">
        <f aca="false">IFERROR(AC952/B952,"")</f>
        <v>4.10742496050553</v>
      </c>
      <c r="AF952" s="0" t="s">
        <v>236</v>
      </c>
      <c r="AG952" s="0" t="s">
        <v>236</v>
      </c>
      <c r="AH952" s="0" t="s">
        <v>230</v>
      </c>
      <c r="AI952" s="0" t="s">
        <v>1692</v>
      </c>
      <c r="AJ952" s="0" t="s">
        <v>4124</v>
      </c>
      <c r="AK952" s="0" t="s">
        <v>4125</v>
      </c>
      <c r="AL952" s="0" t="s">
        <v>4126</v>
      </c>
      <c r="AM952" s="0" t="s">
        <v>94</v>
      </c>
      <c r="AN952" s="26" t="n">
        <f aca="false">IFERROR(E952*(1+IF(AM952="Apartment",Data_Summary!$C$3,0)),"")</f>
        <v>4.10742496050553</v>
      </c>
      <c r="AO952" s="4" t="n">
        <v>46195</v>
      </c>
    </row>
    <row r="953" customFormat="false" ht="15" hidden="false" customHeight="false" outlineLevel="0" collapsed="false">
      <c r="A953" s="0" t="n">
        <f aca="false">IF(AND(ISNUMBER(B953),B953&gt;0,ISNUMBER(AB953),AB953&gt;0,J953&gt;=Data_Summary!$C$1),1,0)</f>
        <v>1</v>
      </c>
      <c r="B953" s="30" t="n">
        <v>648</v>
      </c>
      <c r="C953" s="5" t="n">
        <f aca="false">IF(ISNUMBER(AB953),AB953,"")</f>
        <v>2400</v>
      </c>
      <c r="D953" s="0" t="n">
        <f aca="false">IF(ISNUMBER(C953),C953-U953*Data_Summary!$C$2,"")</f>
        <v>2250</v>
      </c>
      <c r="E953" s="31" t="n">
        <f aca="false">IFERROR(C953/B953,"")</f>
        <v>3.7037037037037</v>
      </c>
      <c r="F953" s="26" t="n">
        <f aca="false">IFERROR(D953/B953,"")</f>
        <v>3.47222222222222</v>
      </c>
      <c r="G953" s="0" t="str">
        <f aca="false">Q953</f>
        <v>1+1</v>
      </c>
      <c r="H953" s="0" t="str">
        <f aca="false">IFERROR(LEFT(G953,1),"")</f>
        <v>1</v>
      </c>
      <c r="I953" s="0" t="n">
        <f aca="false">IF(LEN(G953)&gt;1,1,0)</f>
        <v>1</v>
      </c>
      <c r="J953" s="4" t="n">
        <v>46126</v>
      </c>
      <c r="K953" s="0" t="s">
        <v>17</v>
      </c>
      <c r="L953" s="0" t="s">
        <v>107</v>
      </c>
      <c r="M953" s="0" t="s">
        <v>226</v>
      </c>
      <c r="N953" s="0" t="s">
        <v>93</v>
      </c>
      <c r="O953" s="0" t="s">
        <v>657</v>
      </c>
      <c r="Q953" s="0" t="s">
        <v>270</v>
      </c>
      <c r="R953" s="0" t="n">
        <v>1</v>
      </c>
      <c r="S953" s="5" t="n">
        <v>648</v>
      </c>
      <c r="T953" s="0" t="s">
        <v>271</v>
      </c>
      <c r="U953" s="0" t="n">
        <v>1</v>
      </c>
      <c r="V953" s="0" t="s">
        <v>230</v>
      </c>
      <c r="W953" s="0" t="s">
        <v>231</v>
      </c>
      <c r="X953" s="0" t="s">
        <v>232</v>
      </c>
      <c r="Y953" s="0" t="s">
        <v>245</v>
      </c>
      <c r="Z953" s="0" t="s">
        <v>4080</v>
      </c>
      <c r="AA953" s="0" t="s">
        <v>235</v>
      </c>
      <c r="AB953" s="32" t="n">
        <v>2400</v>
      </c>
      <c r="AC953" s="32" t="n">
        <v>2400</v>
      </c>
      <c r="AD953" s="26" t="n">
        <f aca="false">IFERROR(AB953/B953,"")</f>
        <v>3.7037037037037</v>
      </c>
      <c r="AE953" s="26" t="n">
        <f aca="false">IFERROR(AC953/B953,"")</f>
        <v>3.7037037037037</v>
      </c>
      <c r="AF953" s="0" t="s">
        <v>236</v>
      </c>
      <c r="AG953" s="0" t="s">
        <v>236</v>
      </c>
      <c r="AH953" s="0" t="s">
        <v>230</v>
      </c>
      <c r="AI953" s="0" t="s">
        <v>1692</v>
      </c>
      <c r="AJ953" s="0" t="s">
        <v>4127</v>
      </c>
      <c r="AK953" s="0" t="s">
        <v>4128</v>
      </c>
      <c r="AL953" s="0" t="s">
        <v>4129</v>
      </c>
      <c r="AM953" s="0" t="s">
        <v>94</v>
      </c>
      <c r="AN953" s="26" t="n">
        <f aca="false">IFERROR(E953*(1+IF(AM953="Apartment",Data_Summary!$C$3,0)),"")</f>
        <v>3.7037037037037</v>
      </c>
      <c r="AO953" s="4" t="n">
        <v>46195</v>
      </c>
    </row>
    <row r="954" customFormat="false" ht="15" hidden="false" customHeight="false" outlineLevel="0" collapsed="false">
      <c r="A954" s="0" t="n">
        <f aca="false">IF(AND(ISNUMBER(B954),B954&gt;0,ISNUMBER(AB954),AB954&gt;0,J954&gt;=Data_Summary!$C$1),1,0)</f>
        <v>1</v>
      </c>
      <c r="B954" s="30" t="n">
        <v>479</v>
      </c>
      <c r="C954" s="5" t="n">
        <f aca="false">IF(ISNUMBER(AB954),AB954,"")</f>
        <v>2100</v>
      </c>
      <c r="D954" s="0" t="n">
        <f aca="false">IF(ISNUMBER(C954),C954-U954*Data_Summary!$C$2,"")</f>
        <v>2100</v>
      </c>
      <c r="E954" s="31" t="n">
        <f aca="false">IFERROR(C954/B954,"")</f>
        <v>4.38413361169102</v>
      </c>
      <c r="F954" s="26" t="n">
        <f aca="false">IFERROR(D954/B954,"")</f>
        <v>4.38413361169102</v>
      </c>
      <c r="G954" s="0" t="str">
        <f aca="false">Q954</f>
        <v>1</v>
      </c>
      <c r="H954" s="0" t="str">
        <f aca="false">IFERROR(LEFT(G954,1),"")</f>
        <v>1</v>
      </c>
      <c r="I954" s="0" t="n">
        <f aca="false">IF(LEN(G954)&gt;1,1,0)</f>
        <v>0</v>
      </c>
      <c r="J954" s="4" t="n">
        <v>46123</v>
      </c>
      <c r="K954" s="0" t="s">
        <v>17</v>
      </c>
      <c r="L954" s="0" t="s">
        <v>107</v>
      </c>
      <c r="M954" s="0" t="s">
        <v>226</v>
      </c>
      <c r="N954" s="0" t="s">
        <v>93</v>
      </c>
      <c r="O954" s="0" t="s">
        <v>1931</v>
      </c>
      <c r="Q954" s="0" t="s">
        <v>242</v>
      </c>
      <c r="R954" s="0" t="n">
        <v>1</v>
      </c>
      <c r="S954" s="5" t="n">
        <v>479</v>
      </c>
      <c r="T954" s="0" t="s">
        <v>303</v>
      </c>
      <c r="U954" s="0" t="n">
        <v>0</v>
      </c>
      <c r="V954" s="0" t="s">
        <v>230</v>
      </c>
      <c r="W954" s="0" t="s">
        <v>231</v>
      </c>
      <c r="Y954" s="0" t="s">
        <v>272</v>
      </c>
      <c r="Z954" s="0" t="s">
        <v>4080</v>
      </c>
      <c r="AA954" s="0" t="s">
        <v>235</v>
      </c>
      <c r="AB954" s="32" t="n">
        <v>2100</v>
      </c>
      <c r="AC954" s="32" t="n">
        <v>2100</v>
      </c>
      <c r="AD954" s="26" t="n">
        <f aca="false">IFERROR(AB954/B954,"")</f>
        <v>4.38413361169102</v>
      </c>
      <c r="AE954" s="26" t="n">
        <f aca="false">IFERROR(AC954/B954,"")</f>
        <v>4.38413361169102</v>
      </c>
      <c r="AF954" s="0" t="s">
        <v>236</v>
      </c>
      <c r="AG954" s="0" t="s">
        <v>236</v>
      </c>
      <c r="AH954" s="0" t="s">
        <v>230</v>
      </c>
      <c r="AI954" s="0" t="s">
        <v>4130</v>
      </c>
      <c r="AJ954" s="0" t="s">
        <v>4131</v>
      </c>
      <c r="AK954" s="0" t="s">
        <v>4132</v>
      </c>
      <c r="AL954" s="0" t="s">
        <v>4133</v>
      </c>
      <c r="AM954" s="0" t="s">
        <v>94</v>
      </c>
      <c r="AN954" s="26" t="n">
        <f aca="false">IFERROR(E954*(1+IF(AM954="Apartment",Data_Summary!$C$3,0)),"")</f>
        <v>4.38413361169102</v>
      </c>
      <c r="AO954" s="4" t="n">
        <v>46195</v>
      </c>
    </row>
    <row r="955" customFormat="false" ht="15" hidden="false" customHeight="false" outlineLevel="0" collapsed="false">
      <c r="A955" s="0" t="n">
        <f aca="false">IF(AND(ISNUMBER(B955),B955&gt;0,ISNUMBER(AB955),AB955&gt;0,J955&gt;=Data_Summary!$C$1),1,0)</f>
        <v>1</v>
      </c>
      <c r="B955" s="30" t="n">
        <v>914</v>
      </c>
      <c r="C955" s="5" t="n">
        <f aca="false">IF(ISNUMBER(AB955),AB955,"")</f>
        <v>3700</v>
      </c>
      <c r="D955" s="0" t="n">
        <f aca="false">IF(ISNUMBER(C955),C955-U955*Data_Summary!$C$2,"")</f>
        <v>3550</v>
      </c>
      <c r="E955" s="31" t="n">
        <f aca="false">IFERROR(C955/B955,"")</f>
        <v>4.04814004376368</v>
      </c>
      <c r="F955" s="26" t="n">
        <f aca="false">IFERROR(D955/B955,"")</f>
        <v>3.88402625820569</v>
      </c>
      <c r="G955" s="0" t="str">
        <f aca="false">Q955</f>
        <v>2+1</v>
      </c>
      <c r="H955" s="0" t="str">
        <f aca="false">IFERROR(LEFT(G955,1),"")</f>
        <v>2</v>
      </c>
      <c r="I955" s="0" t="n">
        <f aca="false">IF(LEN(G955)&gt;1,1,0)</f>
        <v>1</v>
      </c>
      <c r="J955" s="4" t="n">
        <v>46120</v>
      </c>
      <c r="K955" s="0" t="s">
        <v>17</v>
      </c>
      <c r="L955" s="0" t="s">
        <v>107</v>
      </c>
      <c r="M955" s="0" t="s">
        <v>226</v>
      </c>
      <c r="N955" s="0" t="s">
        <v>93</v>
      </c>
      <c r="O955" s="0" t="s">
        <v>3812</v>
      </c>
      <c r="Q955" s="0" t="s">
        <v>451</v>
      </c>
      <c r="R955" s="0" t="n">
        <v>2</v>
      </c>
      <c r="S955" s="5" t="n">
        <v>914</v>
      </c>
      <c r="T955" s="0" t="s">
        <v>259</v>
      </c>
      <c r="U955" s="0" t="n">
        <v>1</v>
      </c>
      <c r="V955" s="0" t="s">
        <v>230</v>
      </c>
      <c r="X955" s="0" t="s">
        <v>232</v>
      </c>
      <c r="Y955" s="0" t="s">
        <v>260</v>
      </c>
      <c r="Z955" s="0" t="s">
        <v>4080</v>
      </c>
      <c r="AA955" s="0" t="s">
        <v>235</v>
      </c>
      <c r="AB955" s="32" t="n">
        <v>3700</v>
      </c>
      <c r="AC955" s="32" t="n">
        <v>3650</v>
      </c>
      <c r="AD955" s="26" t="n">
        <f aca="false">IFERROR(AB955/B955,"")</f>
        <v>4.04814004376368</v>
      </c>
      <c r="AE955" s="26" t="n">
        <f aca="false">IFERROR(AC955/B955,"")</f>
        <v>3.99343544857768</v>
      </c>
      <c r="AF955" s="0" t="s">
        <v>236</v>
      </c>
      <c r="AG955" s="0" t="s">
        <v>236</v>
      </c>
      <c r="AH955" s="0" t="s">
        <v>230</v>
      </c>
      <c r="AI955" s="0" t="s">
        <v>468</v>
      </c>
      <c r="AJ955" s="0" t="s">
        <v>4134</v>
      </c>
      <c r="AK955" s="0" t="s">
        <v>4135</v>
      </c>
      <c r="AL955" s="0" t="s">
        <v>4136</v>
      </c>
      <c r="AM955" s="0" t="s">
        <v>94</v>
      </c>
      <c r="AN955" s="26" t="n">
        <f aca="false">IFERROR(E955*(1+IF(AM955="Apartment",Data_Summary!$C$3,0)),"")</f>
        <v>4.04814004376368</v>
      </c>
      <c r="AO955" s="4" t="n">
        <v>46195</v>
      </c>
    </row>
    <row r="956" customFormat="false" ht="15" hidden="false" customHeight="false" outlineLevel="0" collapsed="false">
      <c r="A956" s="0" t="n">
        <f aca="false">IF(AND(ISNUMBER(B956),B956&gt;0,ISNUMBER(AB956),AB956&gt;0,J956&gt;=Data_Summary!$C$1),1,0)</f>
        <v>1</v>
      </c>
      <c r="B956" s="33" t="n">
        <v>587</v>
      </c>
      <c r="C956" s="5" t="n">
        <f aca="false">IF(ISNUMBER(AB956),AB956,"")</f>
        <v>2450</v>
      </c>
      <c r="D956" s="0" t="n">
        <f aca="false">IF(ISNUMBER(C956),C956-U956*Data_Summary!$C$2,"")</f>
        <v>2300</v>
      </c>
      <c r="E956" s="34" t="n">
        <f aca="false">IFERROR(C956/B956,"")</f>
        <v>4.17376490630324</v>
      </c>
      <c r="F956" s="26" t="n">
        <f aca="false">IFERROR(D956/B956,"")</f>
        <v>3.91822827938671</v>
      </c>
      <c r="G956" s="0" t="str">
        <f aca="false">Q956</f>
        <v>1+1</v>
      </c>
      <c r="H956" s="0" t="str">
        <f aca="false">IFERROR(LEFT(G956,1),"")</f>
        <v>1</v>
      </c>
      <c r="I956" s="0" t="n">
        <f aca="false">IF(LEN(G956)&gt;1,1,0)</f>
        <v>1</v>
      </c>
      <c r="J956" s="4" t="n">
        <v>46112</v>
      </c>
      <c r="K956" s="0" t="s">
        <v>17</v>
      </c>
      <c r="L956" s="0" t="s">
        <v>107</v>
      </c>
      <c r="M956" s="0" t="s">
        <v>226</v>
      </c>
      <c r="N956" s="0" t="s">
        <v>93</v>
      </c>
      <c r="O956" s="0" t="s">
        <v>497</v>
      </c>
      <c r="Q956" s="0" t="s">
        <v>270</v>
      </c>
      <c r="R956" s="0" t="n">
        <v>1</v>
      </c>
      <c r="S956" s="5" t="n">
        <v>587</v>
      </c>
      <c r="T956" s="0" t="s">
        <v>271</v>
      </c>
      <c r="U956" s="0" t="n">
        <v>1</v>
      </c>
      <c r="V956" s="0" t="s">
        <v>230</v>
      </c>
      <c r="W956" s="0" t="s">
        <v>231</v>
      </c>
      <c r="X956" s="0" t="s">
        <v>232</v>
      </c>
      <c r="Y956" s="0" t="s">
        <v>245</v>
      </c>
      <c r="Z956" s="0" t="s">
        <v>4080</v>
      </c>
      <c r="AA956" s="0" t="s">
        <v>235</v>
      </c>
      <c r="AB956" s="32" t="n">
        <v>2450</v>
      </c>
      <c r="AC956" s="32" t="n">
        <v>2400</v>
      </c>
      <c r="AD956" s="26" t="n">
        <f aca="false">IFERROR(AB956/B956,"")</f>
        <v>4.17376490630324</v>
      </c>
      <c r="AE956" s="26" t="n">
        <f aca="false">IFERROR(AC956/B956,"")</f>
        <v>4.0885860306644</v>
      </c>
      <c r="AF956" s="0" t="s">
        <v>236</v>
      </c>
      <c r="AG956" s="0" t="s">
        <v>236</v>
      </c>
      <c r="AH956" s="0" t="s">
        <v>230</v>
      </c>
      <c r="AI956" s="0" t="s">
        <v>473</v>
      </c>
      <c r="AJ956" s="0" t="s">
        <v>4137</v>
      </c>
      <c r="AK956" s="0" t="s">
        <v>4138</v>
      </c>
      <c r="AL956" s="0" t="s">
        <v>4139</v>
      </c>
      <c r="AM956" s="0" t="s">
        <v>94</v>
      </c>
      <c r="AN956" s="26" t="n">
        <f aca="false">IFERROR(E956*(1+IF(AM956="Apartment",Data_Summary!$C$3,0)),"")</f>
        <v>4.17376490630324</v>
      </c>
      <c r="AO956" s="4" t="n">
        <v>46195</v>
      </c>
    </row>
    <row r="957" customFormat="false" ht="15" hidden="false" customHeight="false" outlineLevel="0" collapsed="false">
      <c r="A957" s="0" t="n">
        <f aca="false">IF(AND(ISNUMBER(B957),B957&gt;0,ISNUMBER(AB957),AB957&gt;0,J957&gt;=Data_Summary!$C$1),1,0)</f>
        <v>1</v>
      </c>
      <c r="B957" s="30" t="n">
        <v>914</v>
      </c>
      <c r="C957" s="5" t="n">
        <f aca="false">IF(ISNUMBER(AB957),AB957,"")</f>
        <v>3400</v>
      </c>
      <c r="D957" s="0" t="n">
        <f aca="false">IF(ISNUMBER(C957),C957-U957*Data_Summary!$C$2,"")</f>
        <v>3250</v>
      </c>
      <c r="E957" s="31" t="n">
        <f aca="false">IFERROR(C957/B957,"")</f>
        <v>3.7199124726477</v>
      </c>
      <c r="F957" s="26" t="n">
        <f aca="false">IFERROR(D957/B957,"")</f>
        <v>3.55579868708972</v>
      </c>
      <c r="G957" s="0" t="str">
        <f aca="false">Q957</f>
        <v>2</v>
      </c>
      <c r="H957" s="0" t="str">
        <f aca="false">IFERROR(LEFT(G957,1),"")</f>
        <v>2</v>
      </c>
      <c r="I957" s="0" t="n">
        <f aca="false">IF(LEN(G957)&gt;1,1,0)</f>
        <v>0</v>
      </c>
      <c r="J957" s="4" t="n">
        <v>46094</v>
      </c>
      <c r="K957" s="0" t="s">
        <v>17</v>
      </c>
      <c r="L957" s="0" t="s">
        <v>107</v>
      </c>
      <c r="M957" s="0" t="s">
        <v>226</v>
      </c>
      <c r="N957" s="0" t="s">
        <v>93</v>
      </c>
      <c r="O957" s="0" t="s">
        <v>2013</v>
      </c>
      <c r="Q957" s="0" t="s">
        <v>251</v>
      </c>
      <c r="R957" s="0" t="n">
        <v>2</v>
      </c>
      <c r="S957" s="5" t="n">
        <v>914</v>
      </c>
      <c r="T957" s="0" t="s">
        <v>259</v>
      </c>
      <c r="U957" s="0" t="n">
        <v>1</v>
      </c>
      <c r="V957" s="0" t="s">
        <v>230</v>
      </c>
      <c r="W957" s="0" t="s">
        <v>244</v>
      </c>
      <c r="X957" s="0" t="s">
        <v>232</v>
      </c>
      <c r="Y957" s="0" t="s">
        <v>278</v>
      </c>
      <c r="Z957" s="0" t="s">
        <v>4080</v>
      </c>
      <c r="AA957" s="0" t="s">
        <v>235</v>
      </c>
      <c r="AB957" s="32" t="n">
        <v>3400</v>
      </c>
      <c r="AC957" s="32" t="n">
        <v>3400</v>
      </c>
      <c r="AD957" s="26" t="n">
        <f aca="false">IFERROR(AB957/B957,"")</f>
        <v>3.7199124726477</v>
      </c>
      <c r="AE957" s="26" t="n">
        <f aca="false">IFERROR(AC957/B957,"")</f>
        <v>3.7199124726477</v>
      </c>
      <c r="AF957" s="0" t="s">
        <v>236</v>
      </c>
      <c r="AG957" s="0" t="s">
        <v>236</v>
      </c>
      <c r="AH957" s="0" t="s">
        <v>230</v>
      </c>
      <c r="AI957" s="0" t="s">
        <v>2791</v>
      </c>
      <c r="AJ957" s="0" t="s">
        <v>4140</v>
      </c>
      <c r="AK957" s="0" t="s">
        <v>4141</v>
      </c>
      <c r="AL957" s="0" t="s">
        <v>4142</v>
      </c>
      <c r="AM957" s="0" t="s">
        <v>94</v>
      </c>
      <c r="AN957" s="26" t="n">
        <f aca="false">IFERROR(E957*(1+IF(AM957="Apartment",Data_Summary!$C$3,0)),"")</f>
        <v>3.7199124726477</v>
      </c>
      <c r="AO957" s="4" t="n">
        <v>46195</v>
      </c>
    </row>
    <row r="958" customFormat="false" ht="15" hidden="false" customHeight="false" outlineLevel="0" collapsed="false">
      <c r="A958" s="0" t="n">
        <f aca="false">IF(AND(ISNUMBER(B958),B958&gt;0,ISNUMBER(AB958),AB958&gt;0,J958&gt;=Data_Summary!$C$1),1,0)</f>
        <v>1</v>
      </c>
      <c r="B958" s="30" t="n">
        <v>535</v>
      </c>
      <c r="C958" s="5" t="n">
        <f aca="false">IF(ISNUMBER(AB958),AB958,"")</f>
        <v>2200</v>
      </c>
      <c r="D958" s="0" t="n">
        <f aca="false">IF(ISNUMBER(C958),C958-U958*Data_Summary!$C$2,"")</f>
        <v>2200</v>
      </c>
      <c r="E958" s="31" t="n">
        <f aca="false">IFERROR(C958/B958,"")</f>
        <v>4.11214953271028</v>
      </c>
      <c r="F958" s="26" t="n">
        <f aca="false">IFERROR(D958/B958,"")</f>
        <v>4.11214953271028</v>
      </c>
      <c r="G958" s="0" t="str">
        <f aca="false">Q958</f>
        <v>1</v>
      </c>
      <c r="H958" s="0" t="str">
        <f aca="false">IFERROR(LEFT(G958,1),"")</f>
        <v>1</v>
      </c>
      <c r="I958" s="0" t="n">
        <f aca="false">IF(LEN(G958)&gt;1,1,0)</f>
        <v>0</v>
      </c>
      <c r="J958" s="4" t="n">
        <v>46091</v>
      </c>
      <c r="K958" s="0" t="s">
        <v>17</v>
      </c>
      <c r="L958" s="0" t="s">
        <v>107</v>
      </c>
      <c r="M958" s="0" t="s">
        <v>226</v>
      </c>
      <c r="N958" s="0" t="s">
        <v>93</v>
      </c>
      <c r="O958" s="0" t="s">
        <v>525</v>
      </c>
      <c r="Q958" s="0" t="s">
        <v>242</v>
      </c>
      <c r="R958" s="0" t="n">
        <v>1</v>
      </c>
      <c r="S958" s="5" t="n">
        <v>535</v>
      </c>
      <c r="T958" s="0" t="s">
        <v>243</v>
      </c>
      <c r="U958" s="0" t="n">
        <v>0</v>
      </c>
      <c r="V958" s="0" t="s">
        <v>230</v>
      </c>
      <c r="W958" s="0" t="s">
        <v>244</v>
      </c>
      <c r="X958" s="0" t="s">
        <v>232</v>
      </c>
      <c r="Y958" s="0" t="s">
        <v>253</v>
      </c>
      <c r="Z958" s="0" t="s">
        <v>4080</v>
      </c>
      <c r="AA958" s="0" t="s">
        <v>235</v>
      </c>
      <c r="AB958" s="32" t="n">
        <v>2200</v>
      </c>
      <c r="AC958" s="32" t="n">
        <v>2200</v>
      </c>
      <c r="AD958" s="26" t="n">
        <f aca="false">IFERROR(AB958/B958,"")</f>
        <v>4.11214953271028</v>
      </c>
      <c r="AE958" s="26" t="n">
        <f aca="false">IFERROR(AC958/B958,"")</f>
        <v>4.11214953271028</v>
      </c>
      <c r="AF958" s="0" t="s">
        <v>236</v>
      </c>
      <c r="AG958" s="0" t="s">
        <v>236</v>
      </c>
      <c r="AH958" s="0" t="s">
        <v>230</v>
      </c>
      <c r="AI958" s="0" t="s">
        <v>545</v>
      </c>
      <c r="AJ958" s="0" t="s">
        <v>4143</v>
      </c>
      <c r="AK958" s="0" t="s">
        <v>4144</v>
      </c>
      <c r="AL958" s="0" t="s">
        <v>4145</v>
      </c>
      <c r="AM958" s="0" t="s">
        <v>94</v>
      </c>
      <c r="AN958" s="26" t="n">
        <f aca="false">IFERROR(E958*(1+IF(AM958="Apartment",Data_Summary!$C$3,0)),"")</f>
        <v>4.11214953271028</v>
      </c>
      <c r="AO958" s="4" t="n">
        <v>46195</v>
      </c>
    </row>
    <row r="959" customFormat="false" ht="15" hidden="false" customHeight="false" outlineLevel="0" collapsed="false">
      <c r="A959" s="0" t="n">
        <f aca="false">IF(AND(ISNUMBER(B959),B959&gt;0,ISNUMBER(AB959),AB959&gt;0,J959&gt;=Data_Summary!$C$1),1,0)</f>
        <v>1</v>
      </c>
      <c r="B959" s="30" t="n">
        <v>780</v>
      </c>
      <c r="C959" s="5" t="n">
        <f aca="false">IF(ISNUMBER(AB959),AB959,"")</f>
        <v>3250</v>
      </c>
      <c r="D959" s="0" t="n">
        <f aca="false">IF(ISNUMBER(C959),C959-U959*Data_Summary!$C$2,"")</f>
        <v>3100</v>
      </c>
      <c r="E959" s="31" t="n">
        <f aca="false">IFERROR(C959/B959,"")</f>
        <v>4.16666666666667</v>
      </c>
      <c r="F959" s="26" t="n">
        <f aca="false">IFERROR(D959/B959,"")</f>
        <v>3.97435897435897</v>
      </c>
      <c r="G959" s="0" t="str">
        <f aca="false">Q959</f>
        <v>2</v>
      </c>
      <c r="H959" s="0" t="str">
        <f aca="false">IFERROR(LEFT(G959,1),"")</f>
        <v>2</v>
      </c>
      <c r="I959" s="0" t="n">
        <f aca="false">IF(LEN(G959)&gt;1,1,0)</f>
        <v>0</v>
      </c>
      <c r="J959" s="4" t="n">
        <v>46089</v>
      </c>
      <c r="K959" s="0" t="s">
        <v>17</v>
      </c>
      <c r="L959" s="0" t="s">
        <v>107</v>
      </c>
      <c r="M959" s="0" t="s">
        <v>226</v>
      </c>
      <c r="N959" s="0" t="s">
        <v>93</v>
      </c>
      <c r="O959" s="0" t="s">
        <v>2049</v>
      </c>
      <c r="Q959" s="0" t="s">
        <v>251</v>
      </c>
      <c r="R959" s="0" t="n">
        <v>2</v>
      </c>
      <c r="S959" s="5" t="n">
        <v>780</v>
      </c>
      <c r="T959" s="0" t="s">
        <v>252</v>
      </c>
      <c r="U959" s="0" t="n">
        <v>1</v>
      </c>
      <c r="V959" s="0" t="s">
        <v>230</v>
      </c>
      <c r="W959" s="0" t="s">
        <v>244</v>
      </c>
      <c r="X959" s="0" t="s">
        <v>232</v>
      </c>
      <c r="Y959" s="0" t="s">
        <v>308</v>
      </c>
      <c r="Z959" s="0" t="s">
        <v>4080</v>
      </c>
      <c r="AA959" s="0" t="s">
        <v>235</v>
      </c>
      <c r="AB959" s="32" t="n">
        <v>3250</v>
      </c>
      <c r="AC959" s="32" t="n">
        <v>3300</v>
      </c>
      <c r="AD959" s="26" t="n">
        <f aca="false">IFERROR(AB959/B959,"")</f>
        <v>4.16666666666667</v>
      </c>
      <c r="AE959" s="26" t="n">
        <f aca="false">IFERROR(AC959/B959,"")</f>
        <v>4.23076923076923</v>
      </c>
      <c r="AF959" s="0" t="s">
        <v>236</v>
      </c>
      <c r="AG959" s="0" t="s">
        <v>236</v>
      </c>
      <c r="AH959" s="0" t="s">
        <v>230</v>
      </c>
      <c r="AI959" s="0" t="s">
        <v>560</v>
      </c>
      <c r="AJ959" s="0" t="s">
        <v>4146</v>
      </c>
      <c r="AK959" s="0" t="s">
        <v>4147</v>
      </c>
      <c r="AL959" s="0" t="s">
        <v>4148</v>
      </c>
      <c r="AM959" s="0" t="s">
        <v>94</v>
      </c>
      <c r="AN959" s="26" t="n">
        <f aca="false">IFERROR(E959*(1+IF(AM959="Apartment",Data_Summary!$C$3,0)),"")</f>
        <v>4.16666666666667</v>
      </c>
      <c r="AO959" s="4" t="n">
        <v>46195</v>
      </c>
    </row>
    <row r="960" customFormat="false" ht="15" hidden="false" customHeight="false" outlineLevel="0" collapsed="false">
      <c r="A960" s="0" t="n">
        <f aca="false">IF(AND(ISNUMBER(B960),B960&gt;0,ISNUMBER(AB960),AB960&gt;0,J960&gt;=Data_Summary!$C$1),1,0)</f>
        <v>1</v>
      </c>
      <c r="B960" s="30" t="n">
        <v>924</v>
      </c>
      <c r="C960" s="5" t="n">
        <f aca="false">IF(ISNUMBER(AB960),AB960,"")</f>
        <v>3300</v>
      </c>
      <c r="D960" s="0" t="n">
        <f aca="false">IF(ISNUMBER(C960),C960-U960*Data_Summary!$C$2,"")</f>
        <v>3150</v>
      </c>
      <c r="E960" s="31" t="n">
        <f aca="false">IFERROR(C960/B960,"")</f>
        <v>3.57142857142857</v>
      </c>
      <c r="F960" s="26" t="n">
        <f aca="false">IFERROR(D960/B960,"")</f>
        <v>3.40909090909091</v>
      </c>
      <c r="G960" s="0" t="str">
        <f aca="false">Q960</f>
        <v>2+1</v>
      </c>
      <c r="H960" s="0" t="str">
        <f aca="false">IFERROR(LEFT(G960,1),"")</f>
        <v>2</v>
      </c>
      <c r="I960" s="0" t="n">
        <f aca="false">IF(LEN(G960)&gt;1,1,0)</f>
        <v>1</v>
      </c>
      <c r="J960" s="4" t="n">
        <v>46089</v>
      </c>
      <c r="K960" s="0" t="s">
        <v>17</v>
      </c>
      <c r="L960" s="0" t="s">
        <v>107</v>
      </c>
      <c r="M960" s="0" t="s">
        <v>226</v>
      </c>
      <c r="N960" s="0" t="s">
        <v>93</v>
      </c>
      <c r="O960" s="0" t="s">
        <v>4149</v>
      </c>
      <c r="Q960" s="0" t="s">
        <v>451</v>
      </c>
      <c r="R960" s="0" t="n">
        <v>2</v>
      </c>
      <c r="S960" s="5" t="n">
        <v>924</v>
      </c>
      <c r="T960" s="0" t="s">
        <v>259</v>
      </c>
      <c r="U960" s="0" t="n">
        <v>1</v>
      </c>
      <c r="V960" s="0" t="s">
        <v>230</v>
      </c>
      <c r="W960" s="0" t="s">
        <v>244</v>
      </c>
      <c r="X960" s="0" t="s">
        <v>232</v>
      </c>
      <c r="Y960" s="0" t="s">
        <v>253</v>
      </c>
      <c r="Z960" s="0" t="s">
        <v>4080</v>
      </c>
      <c r="AA960" s="0" t="s">
        <v>235</v>
      </c>
      <c r="AB960" s="32" t="n">
        <v>3300</v>
      </c>
      <c r="AC960" s="32" t="n">
        <v>3300</v>
      </c>
      <c r="AD960" s="26" t="n">
        <f aca="false">IFERROR(AB960/B960,"")</f>
        <v>3.57142857142857</v>
      </c>
      <c r="AE960" s="26" t="n">
        <f aca="false">IFERROR(AC960/B960,"")</f>
        <v>3.57142857142857</v>
      </c>
      <c r="AF960" s="0" t="s">
        <v>236</v>
      </c>
      <c r="AG960" s="0" t="s">
        <v>236</v>
      </c>
      <c r="AH960" s="0" t="s">
        <v>236</v>
      </c>
      <c r="AI960" s="0" t="s">
        <v>560</v>
      </c>
      <c r="AJ960" s="0" t="s">
        <v>4150</v>
      </c>
      <c r="AK960" s="0" t="s">
        <v>4151</v>
      </c>
      <c r="AL960" s="0" t="s">
        <v>4152</v>
      </c>
      <c r="AM960" s="0" t="s">
        <v>94</v>
      </c>
      <c r="AN960" s="26" t="n">
        <f aca="false">IFERROR(E960*(1+IF(AM960="Apartment",Data_Summary!$C$3,0)),"")</f>
        <v>3.57142857142857</v>
      </c>
      <c r="AO960" s="4" t="n">
        <v>46195</v>
      </c>
    </row>
    <row r="961" customFormat="false" ht="15" hidden="false" customHeight="false" outlineLevel="0" collapsed="false">
      <c r="A961" s="0" t="n">
        <f aca="false">IF(AND(ISNUMBER(B961),B961&gt;0,ISNUMBER(AB961),AB961&gt;0,J961&gt;=Data_Summary!$C$1),1,0)</f>
        <v>1</v>
      </c>
      <c r="B961" s="30" t="n">
        <v>1031</v>
      </c>
      <c r="C961" s="5" t="n">
        <f aca="false">IF(ISNUMBER(AB961),AB961,"")</f>
        <v>3700</v>
      </c>
      <c r="D961" s="0" t="n">
        <f aca="false">IF(ISNUMBER(C961),C961-U961*Data_Summary!$C$2,"")</f>
        <v>3550</v>
      </c>
      <c r="E961" s="31" t="n">
        <f aca="false">IFERROR(C961/B961,"")</f>
        <v>3.58874878758487</v>
      </c>
      <c r="F961" s="26" t="n">
        <f aca="false">IFERROR(D961/B961,"")</f>
        <v>3.44325897187197</v>
      </c>
      <c r="G961" s="0" t="str">
        <f aca="false">Q961</f>
        <v>2+1</v>
      </c>
      <c r="H961" s="0" t="str">
        <f aca="false">IFERROR(LEFT(G961,1),"")</f>
        <v>2</v>
      </c>
      <c r="I961" s="0" t="n">
        <f aca="false">IF(LEN(G961)&gt;1,1,0)</f>
        <v>1</v>
      </c>
      <c r="J961" s="4" t="n">
        <v>46080</v>
      </c>
      <c r="K961" s="0" t="s">
        <v>17</v>
      </c>
      <c r="L961" s="0" t="s">
        <v>107</v>
      </c>
      <c r="M961" s="0" t="s">
        <v>226</v>
      </c>
      <c r="N961" s="0" t="s">
        <v>93</v>
      </c>
      <c r="O961" s="0" t="s">
        <v>1245</v>
      </c>
      <c r="Q961" s="0" t="s">
        <v>451</v>
      </c>
      <c r="R961" s="0" t="n">
        <v>2</v>
      </c>
      <c r="S961" s="5" t="n">
        <v>1031</v>
      </c>
      <c r="T961" s="0" t="s">
        <v>265</v>
      </c>
      <c r="U961" s="0" t="n">
        <v>1</v>
      </c>
      <c r="V961" s="0" t="s">
        <v>230</v>
      </c>
      <c r="W961" s="0" t="s">
        <v>231</v>
      </c>
      <c r="X961" s="0" t="s">
        <v>232</v>
      </c>
      <c r="Y961" s="0" t="s">
        <v>297</v>
      </c>
      <c r="Z961" s="0" t="s">
        <v>4080</v>
      </c>
      <c r="AA961" s="0" t="s">
        <v>235</v>
      </c>
      <c r="AB961" s="32" t="n">
        <v>3700</v>
      </c>
      <c r="AC961" s="32" t="n">
        <v>3800</v>
      </c>
      <c r="AD961" s="26" t="n">
        <f aca="false">IFERROR(AB961/B961,"")</f>
        <v>3.58874878758487</v>
      </c>
      <c r="AE961" s="26" t="n">
        <f aca="false">IFERROR(AC961/B961,"")</f>
        <v>3.68574199806014</v>
      </c>
      <c r="AF961" s="0" t="s">
        <v>236</v>
      </c>
      <c r="AG961" s="0" t="s">
        <v>236</v>
      </c>
      <c r="AH961" s="0" t="s">
        <v>236</v>
      </c>
      <c r="AI961" s="0" t="s">
        <v>590</v>
      </c>
      <c r="AJ961" s="0" t="s">
        <v>4153</v>
      </c>
      <c r="AK961" s="0" t="s">
        <v>4154</v>
      </c>
      <c r="AL961" s="0" t="s">
        <v>4155</v>
      </c>
      <c r="AM961" s="0" t="s">
        <v>94</v>
      </c>
      <c r="AN961" s="26" t="n">
        <f aca="false">IFERROR(E961*(1+IF(AM961="Apartment",Data_Summary!$C$3,0)),"")</f>
        <v>3.58874878758487</v>
      </c>
      <c r="AO961" s="4" t="n">
        <v>46195</v>
      </c>
    </row>
    <row r="962" customFormat="false" ht="15" hidden="false" customHeight="false" outlineLevel="0" collapsed="false">
      <c r="A962" s="0" t="n">
        <f aca="false">IF(AND(ISNUMBER(B962),B962&gt;0,ISNUMBER(AB962),AB962&gt;0,J962&gt;=Data_Summary!$C$1),1,0)</f>
        <v>1</v>
      </c>
      <c r="B962" s="33" t="n">
        <v>595</v>
      </c>
      <c r="C962" s="5" t="n">
        <f aca="false">IF(ISNUMBER(AB962),AB962,"")</f>
        <v>2350</v>
      </c>
      <c r="D962" s="0" t="n">
        <f aca="false">IF(ISNUMBER(C962),C962-U962*Data_Summary!$C$2,"")</f>
        <v>2200</v>
      </c>
      <c r="E962" s="34" t="n">
        <f aca="false">IFERROR(C962/B962,"")</f>
        <v>3.94957983193277</v>
      </c>
      <c r="F962" s="26" t="n">
        <f aca="false">IFERROR(D962/B962,"")</f>
        <v>3.69747899159664</v>
      </c>
      <c r="G962" s="0" t="str">
        <f aca="false">Q962</f>
        <v>1+1</v>
      </c>
      <c r="H962" s="0" t="str">
        <f aca="false">IFERROR(LEFT(G962,1),"")</f>
        <v>1</v>
      </c>
      <c r="I962" s="0" t="n">
        <f aca="false">IF(LEN(G962)&gt;1,1,0)</f>
        <v>1</v>
      </c>
      <c r="J962" s="4" t="n">
        <v>46069</v>
      </c>
      <c r="K962" s="0" t="s">
        <v>17</v>
      </c>
      <c r="L962" s="0" t="s">
        <v>107</v>
      </c>
      <c r="M962" s="0" t="s">
        <v>226</v>
      </c>
      <c r="N962" s="0" t="s">
        <v>93</v>
      </c>
      <c r="O962" s="0" t="s">
        <v>1355</v>
      </c>
      <c r="Q962" s="0" t="s">
        <v>270</v>
      </c>
      <c r="R962" s="0" t="n">
        <v>1</v>
      </c>
      <c r="S962" s="5" t="n">
        <v>595</v>
      </c>
      <c r="T962" s="0" t="s">
        <v>271</v>
      </c>
      <c r="U962" s="0" t="n">
        <v>1</v>
      </c>
      <c r="V962" s="0" t="s">
        <v>230</v>
      </c>
      <c r="W962" s="0" t="s">
        <v>244</v>
      </c>
      <c r="X962" s="0" t="s">
        <v>232</v>
      </c>
      <c r="Y962" s="0" t="s">
        <v>260</v>
      </c>
      <c r="Z962" s="0" t="s">
        <v>4080</v>
      </c>
      <c r="AA962" s="0" t="s">
        <v>235</v>
      </c>
      <c r="AB962" s="32" t="n">
        <v>2350</v>
      </c>
      <c r="AC962" s="32" t="n">
        <v>2350</v>
      </c>
      <c r="AD962" s="26" t="n">
        <f aca="false">IFERROR(AB962/B962,"")</f>
        <v>3.94957983193277</v>
      </c>
      <c r="AE962" s="26" t="n">
        <f aca="false">IFERROR(AC962/B962,"")</f>
        <v>3.94957983193277</v>
      </c>
      <c r="AF962" s="0" t="s">
        <v>236</v>
      </c>
      <c r="AG962" s="0" t="s">
        <v>236</v>
      </c>
      <c r="AH962" s="0" t="s">
        <v>230</v>
      </c>
      <c r="AI962" s="0" t="s">
        <v>4156</v>
      </c>
      <c r="AJ962" s="0" t="s">
        <v>4157</v>
      </c>
      <c r="AK962" s="0" t="s">
        <v>4158</v>
      </c>
      <c r="AL962" s="0" t="s">
        <v>4159</v>
      </c>
      <c r="AM962" s="0" t="s">
        <v>94</v>
      </c>
      <c r="AN962" s="26" t="n">
        <f aca="false">IFERROR(E962*(1+IF(AM962="Apartment",Data_Summary!$C$3,0)),"")</f>
        <v>3.94957983193277</v>
      </c>
      <c r="AO962" s="4" t="n">
        <v>46195</v>
      </c>
    </row>
    <row r="963" customFormat="false" ht="15" hidden="false" customHeight="false" outlineLevel="0" collapsed="false">
      <c r="A963" s="0" t="n">
        <f aca="false">IF(AND(ISNUMBER(B963),B963&gt;0,ISNUMBER(AB963),AB963&gt;0,J963&gt;=Data_Summary!$C$1),1,0)</f>
        <v>1</v>
      </c>
      <c r="B963" s="30" t="n">
        <v>780</v>
      </c>
      <c r="C963" s="5" t="n">
        <f aca="false">IF(ISNUMBER(AB963),AB963,"")</f>
        <v>3200</v>
      </c>
      <c r="D963" s="0" t="n">
        <f aca="false">IF(ISNUMBER(C963),C963-U963*Data_Summary!$C$2,"")</f>
        <v>3050</v>
      </c>
      <c r="E963" s="31" t="n">
        <f aca="false">IFERROR(C963/B963,"")</f>
        <v>4.1025641025641</v>
      </c>
      <c r="F963" s="26" t="n">
        <f aca="false">IFERROR(D963/B963,"")</f>
        <v>3.91025641025641</v>
      </c>
      <c r="G963" s="0" t="str">
        <f aca="false">Q963</f>
        <v>2</v>
      </c>
      <c r="H963" s="0" t="str">
        <f aca="false">IFERROR(LEFT(G963,1),"")</f>
        <v>2</v>
      </c>
      <c r="I963" s="0" t="n">
        <f aca="false">IF(LEN(G963)&gt;1,1,0)</f>
        <v>0</v>
      </c>
      <c r="J963" s="4" t="n">
        <v>46066</v>
      </c>
      <c r="K963" s="0" t="s">
        <v>17</v>
      </c>
      <c r="L963" s="0" t="s">
        <v>107</v>
      </c>
      <c r="M963" s="0" t="s">
        <v>226</v>
      </c>
      <c r="N963" s="0" t="s">
        <v>93</v>
      </c>
      <c r="O963" s="0" t="s">
        <v>642</v>
      </c>
      <c r="Q963" s="0" t="s">
        <v>251</v>
      </c>
      <c r="R963" s="0" t="n">
        <v>2</v>
      </c>
      <c r="S963" s="5" t="n">
        <v>780</v>
      </c>
      <c r="T963" s="0" t="s">
        <v>252</v>
      </c>
      <c r="U963" s="0" t="n">
        <v>1</v>
      </c>
      <c r="V963" s="0" t="s">
        <v>230</v>
      </c>
      <c r="W963" s="0" t="s">
        <v>231</v>
      </c>
      <c r="X963" s="0" t="s">
        <v>232</v>
      </c>
      <c r="Y963" s="0" t="s">
        <v>308</v>
      </c>
      <c r="Z963" s="0" t="s">
        <v>4080</v>
      </c>
      <c r="AA963" s="0" t="s">
        <v>235</v>
      </c>
      <c r="AB963" s="32" t="n">
        <v>3200</v>
      </c>
      <c r="AC963" s="32" t="n">
        <v>3250</v>
      </c>
      <c r="AD963" s="26" t="n">
        <f aca="false">IFERROR(AB963/B963,"")</f>
        <v>4.1025641025641</v>
      </c>
      <c r="AE963" s="26" t="n">
        <f aca="false">IFERROR(AC963/B963,"")</f>
        <v>4.16666666666667</v>
      </c>
      <c r="AF963" s="0" t="s">
        <v>236</v>
      </c>
      <c r="AG963" s="0" t="s">
        <v>236</v>
      </c>
      <c r="AH963" s="0" t="s">
        <v>230</v>
      </c>
      <c r="AI963" s="0" t="s">
        <v>2829</v>
      </c>
      <c r="AJ963" s="0" t="s">
        <v>4160</v>
      </c>
      <c r="AK963" s="0" t="s">
        <v>4161</v>
      </c>
      <c r="AL963" s="0" t="s">
        <v>4162</v>
      </c>
      <c r="AM963" s="0" t="s">
        <v>94</v>
      </c>
      <c r="AN963" s="26" t="n">
        <f aca="false">IFERROR(E963*(1+IF(AM963="Apartment",Data_Summary!$C$3,0)),"")</f>
        <v>4.1025641025641</v>
      </c>
      <c r="AO963" s="4" t="n">
        <v>46195</v>
      </c>
    </row>
    <row r="964" customFormat="false" ht="15" hidden="false" customHeight="false" outlineLevel="0" collapsed="false">
      <c r="A964" s="0" t="n">
        <f aca="false">IF(AND(ISNUMBER(B964),B964&gt;0,ISNUMBER(AB964),AB964&gt;0,J964&gt;=Data_Summary!$C$1),1,0)</f>
        <v>1</v>
      </c>
      <c r="B964" s="30" t="n">
        <v>1031</v>
      </c>
      <c r="C964" s="5" t="n">
        <f aca="false">IF(ISNUMBER(AB964),AB964,"")</f>
        <v>3800</v>
      </c>
      <c r="D964" s="0" t="n">
        <f aca="false">IF(ISNUMBER(C964),C964-U964*Data_Summary!$C$2,"")</f>
        <v>3650</v>
      </c>
      <c r="E964" s="31" t="n">
        <f aca="false">IFERROR(C964/B964,"")</f>
        <v>3.68574199806014</v>
      </c>
      <c r="F964" s="26" t="n">
        <f aca="false">IFERROR(D964/B964,"")</f>
        <v>3.54025218234724</v>
      </c>
      <c r="G964" s="0" t="str">
        <f aca="false">Q964</f>
        <v>2+1</v>
      </c>
      <c r="H964" s="0" t="str">
        <f aca="false">IFERROR(LEFT(G964,1),"")</f>
        <v>2</v>
      </c>
      <c r="I964" s="0" t="n">
        <f aca="false">IF(LEN(G964)&gt;1,1,0)</f>
        <v>1</v>
      </c>
      <c r="J964" s="4" t="n">
        <v>46052</v>
      </c>
      <c r="K964" s="0" t="s">
        <v>17</v>
      </c>
      <c r="L964" s="0" t="s">
        <v>107</v>
      </c>
      <c r="M964" s="0" t="s">
        <v>226</v>
      </c>
      <c r="N964" s="0" t="s">
        <v>93</v>
      </c>
      <c r="O964" s="0" t="s">
        <v>1365</v>
      </c>
      <c r="Q964" s="0" t="s">
        <v>451</v>
      </c>
      <c r="R964" s="0" t="n">
        <v>2</v>
      </c>
      <c r="S964" s="5" t="n">
        <v>1031</v>
      </c>
      <c r="T964" s="0" t="s">
        <v>265</v>
      </c>
      <c r="U964" s="0" t="n">
        <v>1</v>
      </c>
      <c r="V964" s="0" t="s">
        <v>230</v>
      </c>
      <c r="W964" s="0" t="s">
        <v>244</v>
      </c>
      <c r="X964" s="0" t="s">
        <v>232</v>
      </c>
      <c r="Y964" s="0" t="s">
        <v>260</v>
      </c>
      <c r="Z964" s="0" t="s">
        <v>4080</v>
      </c>
      <c r="AA964" s="0" t="s">
        <v>235</v>
      </c>
      <c r="AB964" s="32" t="n">
        <v>3800</v>
      </c>
      <c r="AC964" s="32" t="n">
        <v>3895</v>
      </c>
      <c r="AD964" s="26" t="n">
        <f aca="false">IFERROR(AB964/B964,"")</f>
        <v>3.68574199806014</v>
      </c>
      <c r="AE964" s="26" t="n">
        <f aca="false">IFERROR(AC964/B964,"")</f>
        <v>3.77788554801164</v>
      </c>
      <c r="AF964" s="0" t="s">
        <v>236</v>
      </c>
      <c r="AG964" s="0" t="s">
        <v>236</v>
      </c>
      <c r="AH964" s="0" t="s">
        <v>230</v>
      </c>
      <c r="AI964" s="0" t="s">
        <v>1850</v>
      </c>
      <c r="AJ964" s="0" t="s">
        <v>4163</v>
      </c>
      <c r="AK964" s="0" t="s">
        <v>4164</v>
      </c>
      <c r="AL964" s="0" t="s">
        <v>4165</v>
      </c>
      <c r="AM964" s="0" t="s">
        <v>94</v>
      </c>
      <c r="AN964" s="26" t="n">
        <f aca="false">IFERROR(E964*(1+IF(AM964="Apartment",Data_Summary!$C$3,0)),"")</f>
        <v>3.68574199806014</v>
      </c>
      <c r="AO964" s="4" t="n">
        <v>46195</v>
      </c>
    </row>
    <row r="965" customFormat="false" ht="15" hidden="false" customHeight="false" outlineLevel="0" collapsed="false">
      <c r="A965" s="0" t="n">
        <f aca="false">IF(AND(ISNUMBER(B965),B965&gt;0,ISNUMBER(AB965),AB965&gt;0,J965&gt;=Data_Summary!$C$1),1,0)</f>
        <v>1</v>
      </c>
      <c r="B965" s="30" t="n">
        <v>587</v>
      </c>
      <c r="C965" s="5" t="n">
        <f aca="false">IF(ISNUMBER(AB965),AB965,"")</f>
        <v>2400</v>
      </c>
      <c r="D965" s="0" t="n">
        <f aca="false">IF(ISNUMBER(C965),C965-U965*Data_Summary!$C$2,"")</f>
        <v>2250</v>
      </c>
      <c r="E965" s="31" t="n">
        <f aca="false">IFERROR(C965/B965,"")</f>
        <v>4.0885860306644</v>
      </c>
      <c r="F965" s="26" t="n">
        <f aca="false">IFERROR(D965/B965,"")</f>
        <v>3.83304940374787</v>
      </c>
      <c r="G965" s="0" t="str">
        <f aca="false">Q965</f>
        <v>1+1</v>
      </c>
      <c r="H965" s="0" t="str">
        <f aca="false">IFERROR(LEFT(G965,1),"")</f>
        <v>1</v>
      </c>
      <c r="I965" s="0" t="n">
        <f aca="false">IF(LEN(G965)&gt;1,1,0)</f>
        <v>1</v>
      </c>
      <c r="J965" s="4" t="n">
        <v>46038</v>
      </c>
      <c r="K965" s="0" t="s">
        <v>17</v>
      </c>
      <c r="L965" s="0" t="s">
        <v>107</v>
      </c>
      <c r="M965" s="0" t="s">
        <v>226</v>
      </c>
      <c r="N965" s="0" t="s">
        <v>93</v>
      </c>
      <c r="O965" s="0" t="s">
        <v>3381</v>
      </c>
      <c r="Q965" s="0" t="s">
        <v>270</v>
      </c>
      <c r="R965" s="0" t="n">
        <v>1</v>
      </c>
      <c r="S965" s="5" t="n">
        <v>587</v>
      </c>
      <c r="T965" s="0" t="s">
        <v>243</v>
      </c>
      <c r="U965" s="0" t="n">
        <v>1</v>
      </c>
      <c r="V965" s="0" t="s">
        <v>230</v>
      </c>
      <c r="W965" s="0" t="s">
        <v>244</v>
      </c>
      <c r="X965" s="0" t="s">
        <v>232</v>
      </c>
      <c r="Y965" s="0" t="s">
        <v>272</v>
      </c>
      <c r="Z965" s="0" t="s">
        <v>4080</v>
      </c>
      <c r="AA965" s="0" t="s">
        <v>235</v>
      </c>
      <c r="AB965" s="32" t="n">
        <v>2400</v>
      </c>
      <c r="AC965" s="32" t="n">
        <v>2500</v>
      </c>
      <c r="AD965" s="26" t="n">
        <f aca="false">IFERROR(AB965/B965,"")</f>
        <v>4.0885860306644</v>
      </c>
      <c r="AE965" s="26" t="n">
        <f aca="false">IFERROR(AC965/B965,"")</f>
        <v>4.25894378194208</v>
      </c>
      <c r="AF965" s="0" t="s">
        <v>236</v>
      </c>
      <c r="AG965" s="0" t="s">
        <v>236</v>
      </c>
      <c r="AH965" s="0" t="s">
        <v>230</v>
      </c>
      <c r="AI965" s="0" t="s">
        <v>663</v>
      </c>
      <c r="AJ965" s="0" t="s">
        <v>4166</v>
      </c>
      <c r="AK965" s="0" t="s">
        <v>4167</v>
      </c>
      <c r="AL965" s="0" t="s">
        <v>4168</v>
      </c>
      <c r="AM965" s="0" t="s">
        <v>94</v>
      </c>
      <c r="AN965" s="26" t="n">
        <f aca="false">IFERROR(E965*(1+IF(AM965="Apartment",Data_Summary!$C$3,0)),"")</f>
        <v>4.0885860306644</v>
      </c>
      <c r="AO965" s="4" t="n">
        <v>46195</v>
      </c>
    </row>
    <row r="966" customFormat="false" ht="15" hidden="false" customHeight="false" outlineLevel="0" collapsed="false">
      <c r="A966" s="0" t="n">
        <f aca="false">IF(AND(ISNUMBER(B966),B966&gt;0,ISNUMBER(AB966),AB966&gt;0,J966&gt;=Data_Summary!$C$1),1,0)</f>
        <v>1</v>
      </c>
      <c r="B966" s="30" t="n">
        <v>595</v>
      </c>
      <c r="C966" s="5" t="n">
        <f aca="false">IF(ISNUMBER(AB966),AB966,"")</f>
        <v>2300</v>
      </c>
      <c r="D966" s="0" t="n">
        <f aca="false">IF(ISNUMBER(C966),C966-U966*Data_Summary!$C$2,"")</f>
        <v>2150</v>
      </c>
      <c r="E966" s="31" t="n">
        <f aca="false">IFERROR(C966/B966,"")</f>
        <v>3.8655462184874</v>
      </c>
      <c r="F966" s="26" t="n">
        <f aca="false">IFERROR(D966/B966,"")</f>
        <v>3.61344537815126</v>
      </c>
      <c r="G966" s="0" t="str">
        <f aca="false">Q966</f>
        <v>1+1</v>
      </c>
      <c r="H966" s="0" t="str">
        <f aca="false">IFERROR(LEFT(G966,1),"")</f>
        <v>1</v>
      </c>
      <c r="I966" s="0" t="n">
        <f aca="false">IF(LEN(G966)&gt;1,1,0)</f>
        <v>1</v>
      </c>
      <c r="J966" s="4" t="n">
        <v>46037</v>
      </c>
      <c r="K966" s="0" t="s">
        <v>17</v>
      </c>
      <c r="L966" s="0" t="s">
        <v>107</v>
      </c>
      <c r="M966" s="0" t="s">
        <v>226</v>
      </c>
      <c r="N966" s="0" t="s">
        <v>93</v>
      </c>
      <c r="O966" s="0" t="s">
        <v>4169</v>
      </c>
      <c r="Q966" s="0" t="s">
        <v>270</v>
      </c>
      <c r="R966" s="0" t="n">
        <v>1</v>
      </c>
      <c r="S966" s="5" t="n">
        <v>595</v>
      </c>
      <c r="T966" s="0" t="s">
        <v>243</v>
      </c>
      <c r="U966" s="0" t="n">
        <v>1</v>
      </c>
      <c r="V966" s="0" t="s">
        <v>230</v>
      </c>
      <c r="W966" s="0" t="s">
        <v>231</v>
      </c>
      <c r="X966" s="0" t="s">
        <v>232</v>
      </c>
      <c r="Y966" s="0" t="s">
        <v>272</v>
      </c>
      <c r="Z966" s="0" t="s">
        <v>4080</v>
      </c>
      <c r="AA966" s="0" t="s">
        <v>235</v>
      </c>
      <c r="AB966" s="32" t="n">
        <v>2300</v>
      </c>
      <c r="AC966" s="32" t="n">
        <v>2400</v>
      </c>
      <c r="AD966" s="26" t="n">
        <f aca="false">IFERROR(AB966/B966,"")</f>
        <v>3.8655462184874</v>
      </c>
      <c r="AE966" s="26" t="n">
        <f aca="false">IFERROR(AC966/B966,"")</f>
        <v>4.03361344537815</v>
      </c>
      <c r="AF966" s="0" t="s">
        <v>236</v>
      </c>
      <c r="AG966" s="0" t="s">
        <v>236</v>
      </c>
      <c r="AH966" s="0" t="s">
        <v>230</v>
      </c>
      <c r="AI966" s="0" t="s">
        <v>1883</v>
      </c>
      <c r="AJ966" s="0" t="s">
        <v>4170</v>
      </c>
      <c r="AK966" s="0" t="s">
        <v>4171</v>
      </c>
      <c r="AL966" s="0" t="s">
        <v>4172</v>
      </c>
      <c r="AM966" s="0" t="s">
        <v>94</v>
      </c>
      <c r="AN966" s="26" t="n">
        <f aca="false">IFERROR(E966*(1+IF(AM966="Apartment",Data_Summary!$C$3,0)),"")</f>
        <v>3.8655462184874</v>
      </c>
      <c r="AO966" s="4" t="n">
        <v>46195</v>
      </c>
    </row>
    <row r="967" customFormat="false" ht="15" hidden="false" customHeight="false" outlineLevel="0" collapsed="false">
      <c r="A967" s="0" t="n">
        <f aca="false">IF(AND(ISNUMBER(B967),B967&gt;0,ISNUMBER(AB967),AB967&gt;0,J967&gt;=Data_Summary!$C$1),1,0)</f>
        <v>1</v>
      </c>
      <c r="B967" s="33" t="n">
        <v>587</v>
      </c>
      <c r="C967" s="5" t="n">
        <f aca="false">IF(ISNUMBER(AB967),AB967,"")</f>
        <v>2300</v>
      </c>
      <c r="D967" s="0" t="n">
        <f aca="false">IF(ISNUMBER(C967),C967-U967*Data_Summary!$C$2,"")</f>
        <v>2150</v>
      </c>
      <c r="E967" s="34" t="n">
        <f aca="false">IFERROR(C967/B967,"")</f>
        <v>3.91822827938671</v>
      </c>
      <c r="F967" s="26" t="n">
        <f aca="false">IFERROR(D967/B967,"")</f>
        <v>3.66269165247019</v>
      </c>
      <c r="G967" s="0" t="str">
        <f aca="false">Q967</f>
        <v>1+1</v>
      </c>
      <c r="H967" s="0" t="str">
        <f aca="false">IFERROR(LEFT(G967,1),"")</f>
        <v>1</v>
      </c>
      <c r="I967" s="0" t="n">
        <f aca="false">IF(LEN(G967)&gt;1,1,0)</f>
        <v>1</v>
      </c>
      <c r="J967" s="4" t="n">
        <v>46034</v>
      </c>
      <c r="K967" s="0" t="s">
        <v>17</v>
      </c>
      <c r="L967" s="0" t="s">
        <v>107</v>
      </c>
      <c r="M967" s="0" t="s">
        <v>226</v>
      </c>
      <c r="N967" s="0" t="s">
        <v>93</v>
      </c>
      <c r="O967" s="0" t="s">
        <v>2023</v>
      </c>
      <c r="Q967" s="0" t="s">
        <v>270</v>
      </c>
      <c r="R967" s="0" t="n">
        <v>1</v>
      </c>
      <c r="S967" s="5" t="n">
        <v>587</v>
      </c>
      <c r="T967" s="0" t="s">
        <v>271</v>
      </c>
      <c r="U967" s="0" t="n">
        <v>1</v>
      </c>
      <c r="V967" s="0" t="s">
        <v>230</v>
      </c>
      <c r="W967" s="0" t="s">
        <v>244</v>
      </c>
      <c r="X967" s="0" t="s">
        <v>232</v>
      </c>
      <c r="Y967" s="0" t="s">
        <v>297</v>
      </c>
      <c r="Z967" s="0" t="s">
        <v>4080</v>
      </c>
      <c r="AA967" s="0" t="s">
        <v>235</v>
      </c>
      <c r="AB967" s="32" t="n">
        <v>2300</v>
      </c>
      <c r="AC967" s="32" t="n">
        <v>2500</v>
      </c>
      <c r="AD967" s="26" t="n">
        <f aca="false">IFERROR(AB967/B967,"")</f>
        <v>3.91822827938671</v>
      </c>
      <c r="AE967" s="26" t="n">
        <f aca="false">IFERROR(AC967/B967,"")</f>
        <v>4.25894378194208</v>
      </c>
      <c r="AF967" s="0" t="s">
        <v>236</v>
      </c>
      <c r="AG967" s="0" t="s">
        <v>236</v>
      </c>
      <c r="AH967" s="0" t="s">
        <v>230</v>
      </c>
      <c r="AI967" s="0" t="s">
        <v>678</v>
      </c>
      <c r="AJ967" s="0" t="s">
        <v>4173</v>
      </c>
      <c r="AK967" s="0" t="s">
        <v>4174</v>
      </c>
      <c r="AL967" s="0" t="s">
        <v>4175</v>
      </c>
      <c r="AM967" s="0" t="s">
        <v>94</v>
      </c>
      <c r="AN967" s="26" t="n">
        <f aca="false">IFERROR(E967*(1+IF(AM967="Apartment",Data_Summary!$C$3,0)),"")</f>
        <v>3.91822827938671</v>
      </c>
      <c r="AO967" s="4" t="n">
        <v>46195</v>
      </c>
    </row>
    <row r="968" customFormat="false" ht="15" hidden="false" customHeight="false" outlineLevel="0" collapsed="false">
      <c r="A968" s="0" t="n">
        <f aca="false">IF(AND(ISNUMBER(B968),B968&gt;0,ISNUMBER(AB968),AB968&gt;0,J968&gt;=Data_Summary!$C$1),1,0)</f>
        <v>1</v>
      </c>
      <c r="B968" s="30" t="n">
        <v>780</v>
      </c>
      <c r="C968" s="5" t="n">
        <f aca="false">IF(ISNUMBER(AB968),AB968,"")</f>
        <v>3200</v>
      </c>
      <c r="D968" s="0" t="n">
        <f aca="false">IF(ISNUMBER(C968),C968-U968*Data_Summary!$C$2,"")</f>
        <v>3050</v>
      </c>
      <c r="E968" s="31" t="n">
        <f aca="false">IFERROR(C968/B968,"")</f>
        <v>4.1025641025641</v>
      </c>
      <c r="F968" s="26" t="n">
        <f aca="false">IFERROR(D968/B968,"")</f>
        <v>3.91025641025641</v>
      </c>
      <c r="G968" s="0" t="str">
        <f aca="false">Q968</f>
        <v>2</v>
      </c>
      <c r="H968" s="0" t="str">
        <f aca="false">IFERROR(LEFT(G968,1),"")</f>
        <v>2</v>
      </c>
      <c r="I968" s="0" t="n">
        <f aca="false">IF(LEN(G968)&gt;1,1,0)</f>
        <v>0</v>
      </c>
      <c r="J968" s="4" t="n">
        <v>46029</v>
      </c>
      <c r="K968" s="0" t="s">
        <v>17</v>
      </c>
      <c r="L968" s="0" t="s">
        <v>107</v>
      </c>
      <c r="M968" s="0" t="s">
        <v>226</v>
      </c>
      <c r="N968" s="0" t="s">
        <v>93</v>
      </c>
      <c r="O968" s="0" t="s">
        <v>2870</v>
      </c>
      <c r="Q968" s="0" t="s">
        <v>251</v>
      </c>
      <c r="R968" s="0" t="n">
        <v>2</v>
      </c>
      <c r="S968" s="5" t="n">
        <v>780</v>
      </c>
      <c r="T968" s="0" t="s">
        <v>252</v>
      </c>
      <c r="U968" s="0" t="n">
        <v>1</v>
      </c>
      <c r="V968" s="0" t="s">
        <v>230</v>
      </c>
      <c r="W968" s="0" t="s">
        <v>244</v>
      </c>
      <c r="X968" s="0" t="s">
        <v>232</v>
      </c>
      <c r="Y968" s="0" t="s">
        <v>233</v>
      </c>
      <c r="Z968" s="0" t="s">
        <v>4080</v>
      </c>
      <c r="AA968" s="0" t="s">
        <v>235</v>
      </c>
      <c r="AB968" s="32" t="n">
        <v>3200</v>
      </c>
      <c r="AC968" s="32" t="n">
        <v>3250</v>
      </c>
      <c r="AD968" s="26" t="n">
        <f aca="false">IFERROR(AB968/B968,"")</f>
        <v>4.1025641025641</v>
      </c>
      <c r="AE968" s="26" t="n">
        <f aca="false">IFERROR(AC968/B968,"")</f>
        <v>4.16666666666667</v>
      </c>
      <c r="AF968" s="0" t="s">
        <v>236</v>
      </c>
      <c r="AG968" s="0" t="s">
        <v>236</v>
      </c>
      <c r="AH968" s="0" t="s">
        <v>230</v>
      </c>
      <c r="AI968" s="0" t="s">
        <v>688</v>
      </c>
      <c r="AJ968" s="0" t="s">
        <v>4176</v>
      </c>
      <c r="AK968" s="0" t="s">
        <v>4177</v>
      </c>
      <c r="AL968" s="0" t="s">
        <v>4178</v>
      </c>
      <c r="AM968" s="0" t="s">
        <v>94</v>
      </c>
      <c r="AN968" s="26" t="n">
        <f aca="false">IFERROR(E968*(1+IF(AM968="Apartment",Data_Summary!$C$3,0)),"")</f>
        <v>4.1025641025641</v>
      </c>
      <c r="AO968" s="4" t="n">
        <v>46195</v>
      </c>
    </row>
    <row r="969" customFormat="false" ht="15" hidden="false" customHeight="false" outlineLevel="0" collapsed="false">
      <c r="A969" s="0" t="n">
        <f aca="false">IF(AND(ISNUMBER(B969),B969&gt;0,ISNUMBER(AB969),AB969&gt;0,J969&gt;=Data_Summary!$C$1),1,0)</f>
        <v>1</v>
      </c>
      <c r="B969" s="30" t="n">
        <v>595</v>
      </c>
      <c r="C969" s="5" t="n">
        <f aca="false">IF(ISNUMBER(AB969),AB969,"")</f>
        <v>2300</v>
      </c>
      <c r="D969" s="0" t="n">
        <f aca="false">IF(ISNUMBER(C969),C969-U969*Data_Summary!$C$2,"")</f>
        <v>2150</v>
      </c>
      <c r="E969" s="31" t="n">
        <f aca="false">IFERROR(C969/B969,"")</f>
        <v>3.8655462184874</v>
      </c>
      <c r="F969" s="26" t="n">
        <f aca="false">IFERROR(D969/B969,"")</f>
        <v>3.61344537815126</v>
      </c>
      <c r="G969" s="0" t="str">
        <f aca="false">Q969</f>
        <v>1+1</v>
      </c>
      <c r="H969" s="0" t="str">
        <f aca="false">IFERROR(LEFT(G969,1),"")</f>
        <v>1</v>
      </c>
      <c r="I969" s="0" t="n">
        <f aca="false">IF(LEN(G969)&gt;1,1,0)</f>
        <v>1</v>
      </c>
      <c r="J969" s="4" t="n">
        <v>46024</v>
      </c>
      <c r="K969" s="0" t="s">
        <v>17</v>
      </c>
      <c r="L969" s="0" t="s">
        <v>107</v>
      </c>
      <c r="M969" s="0" t="s">
        <v>226</v>
      </c>
      <c r="N969" s="0" t="s">
        <v>93</v>
      </c>
      <c r="O969" s="0" t="s">
        <v>4179</v>
      </c>
      <c r="Q969" s="0" t="s">
        <v>270</v>
      </c>
      <c r="R969" s="0" t="n">
        <v>1</v>
      </c>
      <c r="S969" s="5" t="n">
        <v>595</v>
      </c>
      <c r="T969" s="0" t="s">
        <v>243</v>
      </c>
      <c r="U969" s="0" t="n">
        <v>1</v>
      </c>
      <c r="V969" s="0" t="s">
        <v>230</v>
      </c>
      <c r="W969" s="0" t="s">
        <v>244</v>
      </c>
      <c r="X969" s="0" t="s">
        <v>232</v>
      </c>
      <c r="Y969" s="0" t="s">
        <v>272</v>
      </c>
      <c r="Z969" s="0" t="s">
        <v>4080</v>
      </c>
      <c r="AA969" s="0" t="s">
        <v>235</v>
      </c>
      <c r="AB969" s="32" t="n">
        <v>2300</v>
      </c>
      <c r="AC969" s="32" t="n">
        <v>2300</v>
      </c>
      <c r="AD969" s="26" t="n">
        <f aca="false">IFERROR(AB969/B969,"")</f>
        <v>3.8655462184874</v>
      </c>
      <c r="AE969" s="26" t="n">
        <f aca="false">IFERROR(AC969/B969,"")</f>
        <v>3.8655462184874</v>
      </c>
      <c r="AF969" s="0" t="s">
        <v>236</v>
      </c>
      <c r="AG969" s="0" t="s">
        <v>236</v>
      </c>
      <c r="AH969" s="0" t="s">
        <v>230</v>
      </c>
      <c r="AI969" s="0" t="s">
        <v>698</v>
      </c>
      <c r="AJ969" s="0" t="s">
        <v>4180</v>
      </c>
      <c r="AK969" s="0" t="s">
        <v>4181</v>
      </c>
      <c r="AL969" s="0" t="s">
        <v>4182</v>
      </c>
      <c r="AM969" s="0" t="s">
        <v>94</v>
      </c>
      <c r="AN969" s="26" t="n">
        <f aca="false">IFERROR(E969*(1+IF(AM969="Apartment",Data_Summary!$C$3,0)),"")</f>
        <v>3.8655462184874</v>
      </c>
      <c r="AO969" s="4" t="n">
        <v>46195</v>
      </c>
    </row>
    <row r="970" customFormat="false" ht="15" hidden="false" customHeight="false" outlineLevel="0" collapsed="false">
      <c r="A970" s="0" t="n">
        <f aca="false">IF(AND(ISNUMBER(B970),B970&gt;0,ISNUMBER(AB970),AB970&gt;0,J970&gt;=Data_Summary!$C$1),1,0)</f>
        <v>1</v>
      </c>
      <c r="B970" s="30" t="n">
        <v>914</v>
      </c>
      <c r="C970" s="5" t="n">
        <f aca="false">IF(ISNUMBER(AB970),AB970,"")</f>
        <v>3450</v>
      </c>
      <c r="D970" s="0" t="n">
        <f aca="false">IF(ISNUMBER(C970),C970-U970*Data_Summary!$C$2,"")</f>
        <v>3300</v>
      </c>
      <c r="E970" s="31" t="n">
        <f aca="false">IFERROR(C970/B970,"")</f>
        <v>3.7746170678337</v>
      </c>
      <c r="F970" s="26" t="n">
        <f aca="false">IFERROR(D970/B970,"")</f>
        <v>3.61050328227571</v>
      </c>
      <c r="G970" s="0" t="str">
        <f aca="false">Q970</f>
        <v>2+1</v>
      </c>
      <c r="H970" s="0" t="str">
        <f aca="false">IFERROR(LEFT(G970,1),"")</f>
        <v>2</v>
      </c>
      <c r="I970" s="0" t="n">
        <f aca="false">IF(LEN(G970)&gt;1,1,0)</f>
        <v>1</v>
      </c>
      <c r="J970" s="4" t="n">
        <v>46016</v>
      </c>
      <c r="K970" s="0" t="s">
        <v>17</v>
      </c>
      <c r="L970" s="0" t="s">
        <v>107</v>
      </c>
      <c r="M970" s="0" t="s">
        <v>226</v>
      </c>
      <c r="N970" s="0" t="s">
        <v>93</v>
      </c>
      <c r="O970" s="0" t="s">
        <v>1004</v>
      </c>
      <c r="Q970" s="0" t="s">
        <v>451</v>
      </c>
      <c r="R970" s="0" t="n">
        <v>2</v>
      </c>
      <c r="S970" s="5" t="n">
        <v>914</v>
      </c>
      <c r="T970" s="0" t="s">
        <v>259</v>
      </c>
      <c r="U970" s="0" t="n">
        <v>1</v>
      </c>
      <c r="V970" s="0" t="s">
        <v>230</v>
      </c>
      <c r="W970" s="0" t="s">
        <v>231</v>
      </c>
      <c r="X970" s="0" t="s">
        <v>232</v>
      </c>
      <c r="Y970" s="0" t="s">
        <v>245</v>
      </c>
      <c r="Z970" s="0" t="s">
        <v>4080</v>
      </c>
      <c r="AA970" s="0" t="s">
        <v>235</v>
      </c>
      <c r="AB970" s="32" t="n">
        <v>3450</v>
      </c>
      <c r="AC970" s="32" t="n">
        <v>3450</v>
      </c>
      <c r="AD970" s="26" t="n">
        <f aca="false">IFERROR(AB970/B970,"")</f>
        <v>3.7746170678337</v>
      </c>
      <c r="AE970" s="26" t="n">
        <f aca="false">IFERROR(AC970/B970,"")</f>
        <v>3.7746170678337</v>
      </c>
      <c r="AF970" s="0" t="s">
        <v>236</v>
      </c>
      <c r="AG970" s="0" t="s">
        <v>236</v>
      </c>
      <c r="AH970" s="0" t="s">
        <v>230</v>
      </c>
      <c r="AI970" s="0" t="s">
        <v>3493</v>
      </c>
      <c r="AJ970" s="0" t="s">
        <v>4183</v>
      </c>
      <c r="AK970" s="0" t="s">
        <v>4184</v>
      </c>
      <c r="AL970" s="0" t="s">
        <v>4185</v>
      </c>
      <c r="AM970" s="0" t="s">
        <v>94</v>
      </c>
      <c r="AN970" s="26" t="n">
        <f aca="false">IFERROR(E970*(1+IF(AM970="Apartment",Data_Summary!$C$3,0)),"")</f>
        <v>3.7746170678337</v>
      </c>
      <c r="AO970" s="4" t="n">
        <v>46195</v>
      </c>
    </row>
    <row r="971" customFormat="false" ht="15" hidden="false" customHeight="false" outlineLevel="0" collapsed="false">
      <c r="A971" s="0" t="n">
        <f aca="false">IF(AND(ISNUMBER(B971),B971&gt;0,ISNUMBER(AB971),AB971&gt;0,J971&gt;=Data_Summary!$C$1),1,0)</f>
        <v>1</v>
      </c>
      <c r="B971" s="30" t="n">
        <v>1708</v>
      </c>
      <c r="C971" s="5" t="n">
        <f aca="false">IF(ISNUMBER(AB971),AB971,"")</f>
        <v>5600</v>
      </c>
      <c r="D971" s="0" t="n">
        <f aca="false">IF(ISNUMBER(C971),C971-U971*Data_Summary!$C$2,"")</f>
        <v>5450</v>
      </c>
      <c r="E971" s="31" t="n">
        <f aca="false">IFERROR(C971/B971,"")</f>
        <v>3.27868852459016</v>
      </c>
      <c r="F971" s="26" t="n">
        <f aca="false">IFERROR(D971/B971,"")</f>
        <v>3.19086651053864</v>
      </c>
      <c r="G971" s="0" t="str">
        <f aca="false">Q971</f>
        <v>2+1</v>
      </c>
      <c r="H971" s="0" t="str">
        <f aca="false">IFERROR(LEFT(G971,1),"")</f>
        <v>2</v>
      </c>
      <c r="I971" s="0" t="n">
        <f aca="false">IF(LEN(G971)&gt;1,1,0)</f>
        <v>1</v>
      </c>
      <c r="J971" s="4" t="n">
        <v>46008</v>
      </c>
      <c r="K971" s="0" t="s">
        <v>17</v>
      </c>
      <c r="L971" s="0" t="s">
        <v>107</v>
      </c>
      <c r="M971" s="0" t="s">
        <v>226</v>
      </c>
      <c r="N971" s="0" t="s">
        <v>93</v>
      </c>
      <c r="O971" s="0" t="s">
        <v>4186</v>
      </c>
      <c r="Q971" s="0" t="s">
        <v>451</v>
      </c>
      <c r="R971" s="0" t="n">
        <v>3</v>
      </c>
      <c r="S971" s="5" t="n">
        <v>1708</v>
      </c>
      <c r="T971" s="0" t="s">
        <v>2640</v>
      </c>
      <c r="U971" s="0" t="n">
        <v>1</v>
      </c>
      <c r="V971" s="0" t="s">
        <v>230</v>
      </c>
      <c r="W971" s="0" t="s">
        <v>231</v>
      </c>
      <c r="X971" s="0" t="s">
        <v>232</v>
      </c>
      <c r="Y971" s="0" t="s">
        <v>245</v>
      </c>
      <c r="Z971" s="0" t="s">
        <v>4080</v>
      </c>
      <c r="AA971" s="0" t="s">
        <v>235</v>
      </c>
      <c r="AB971" s="32" t="n">
        <v>5600</v>
      </c>
      <c r="AC971" s="32" t="n">
        <v>5750</v>
      </c>
      <c r="AD971" s="26" t="n">
        <f aca="false">IFERROR(AB971/B971,"")</f>
        <v>3.27868852459016</v>
      </c>
      <c r="AE971" s="26" t="n">
        <f aca="false">IFERROR(AC971/B971,"")</f>
        <v>3.36651053864169</v>
      </c>
      <c r="AF971" s="0" t="s">
        <v>236</v>
      </c>
      <c r="AG971" s="0" t="s">
        <v>236</v>
      </c>
      <c r="AH971" s="0" t="s">
        <v>230</v>
      </c>
      <c r="AI971" s="0" t="s">
        <v>736</v>
      </c>
      <c r="AJ971" s="0" t="s">
        <v>4187</v>
      </c>
      <c r="AK971" s="0" t="s">
        <v>4188</v>
      </c>
      <c r="AL971" s="0" t="s">
        <v>4189</v>
      </c>
      <c r="AM971" s="0" t="s">
        <v>94</v>
      </c>
      <c r="AN971" s="26" t="n">
        <f aca="false">IFERROR(E971*(1+IF(AM971="Apartment",Data_Summary!$C$3,0)),"")</f>
        <v>3.27868852459016</v>
      </c>
      <c r="AO971" s="4" t="n">
        <v>46195</v>
      </c>
    </row>
    <row r="972" customFormat="false" ht="15" hidden="false" customHeight="false" outlineLevel="0" collapsed="false">
      <c r="A972" s="0" t="n">
        <f aca="false">IF(AND(ISNUMBER(B972),B972&gt;0,ISNUMBER(AB972),AB972&gt;0,J972&gt;=Data_Summary!$C$1),1,0)</f>
        <v>1</v>
      </c>
      <c r="B972" s="30" t="n">
        <v>914</v>
      </c>
      <c r="C972" s="5" t="n">
        <f aca="false">IF(ISNUMBER(AB972),AB972,"")</f>
        <v>3650</v>
      </c>
      <c r="D972" s="0" t="n">
        <f aca="false">IF(ISNUMBER(C972),C972-U972*Data_Summary!$C$2,"")</f>
        <v>3500</v>
      </c>
      <c r="E972" s="31" t="n">
        <f aca="false">IFERROR(C972/B972,"")</f>
        <v>3.99343544857768</v>
      </c>
      <c r="F972" s="26" t="n">
        <f aca="false">IFERROR(D972/B972,"")</f>
        <v>3.82932166301969</v>
      </c>
      <c r="G972" s="0" t="str">
        <f aca="false">Q972</f>
        <v>2+1</v>
      </c>
      <c r="H972" s="0" t="str">
        <f aca="false">IFERROR(LEFT(G972,1),"")</f>
        <v>2</v>
      </c>
      <c r="I972" s="0" t="n">
        <f aca="false">IF(LEN(G972)&gt;1,1,0)</f>
        <v>1</v>
      </c>
      <c r="J972" s="4" t="n">
        <v>45992</v>
      </c>
      <c r="K972" s="0" t="s">
        <v>17</v>
      </c>
      <c r="L972" s="0" t="s">
        <v>107</v>
      </c>
      <c r="M972" s="0" t="s">
        <v>226</v>
      </c>
      <c r="N972" s="0" t="s">
        <v>93</v>
      </c>
      <c r="O972" s="0" t="s">
        <v>847</v>
      </c>
      <c r="Q972" s="0" t="s">
        <v>451</v>
      </c>
      <c r="R972" s="0" t="n">
        <v>2</v>
      </c>
      <c r="S972" s="5" t="n">
        <v>914</v>
      </c>
      <c r="T972" s="0" t="s">
        <v>259</v>
      </c>
      <c r="U972" s="0" t="n">
        <v>1</v>
      </c>
      <c r="V972" s="0" t="s">
        <v>230</v>
      </c>
      <c r="W972" s="0" t="s">
        <v>244</v>
      </c>
      <c r="X972" s="0" t="s">
        <v>232</v>
      </c>
      <c r="Y972" s="0" t="s">
        <v>297</v>
      </c>
      <c r="Z972" s="0" t="s">
        <v>4080</v>
      </c>
      <c r="AA972" s="0" t="s">
        <v>235</v>
      </c>
      <c r="AB972" s="32" t="n">
        <v>3650</v>
      </c>
      <c r="AC972" s="32" t="n">
        <v>3800</v>
      </c>
      <c r="AD972" s="26" t="n">
        <f aca="false">IFERROR(AB972/B972,"")</f>
        <v>3.99343544857768</v>
      </c>
      <c r="AE972" s="26" t="n">
        <f aca="false">IFERROR(AC972/B972,"")</f>
        <v>4.15754923413567</v>
      </c>
      <c r="AF972" s="0" t="s">
        <v>236</v>
      </c>
      <c r="AG972" s="0" t="s">
        <v>236</v>
      </c>
      <c r="AH972" s="0" t="s">
        <v>230</v>
      </c>
      <c r="AI972" s="0" t="s">
        <v>769</v>
      </c>
      <c r="AJ972" s="0" t="s">
        <v>4190</v>
      </c>
      <c r="AK972" s="0" t="s">
        <v>4191</v>
      </c>
      <c r="AL972" s="0" t="s">
        <v>4192</v>
      </c>
      <c r="AM972" s="0" t="s">
        <v>94</v>
      </c>
      <c r="AN972" s="26" t="n">
        <f aca="false">IFERROR(E972*(1+IF(AM972="Apartment",Data_Summary!$C$3,0)),"")</f>
        <v>3.99343544857768</v>
      </c>
      <c r="AO972" s="4" t="n">
        <v>46195</v>
      </c>
    </row>
    <row r="973" customFormat="false" ht="15" hidden="false" customHeight="false" outlineLevel="0" collapsed="false">
      <c r="A973" s="0" t="n">
        <f aca="false">IF(AND(ISNUMBER(B973),B973&gt;0,ISNUMBER(AB973),AB973&gt;0,J973&gt;=Data_Summary!$C$1),1,0)</f>
        <v>1</v>
      </c>
      <c r="B973" s="30" t="n">
        <v>656</v>
      </c>
      <c r="C973" s="5" t="n">
        <f aca="false">IF(ISNUMBER(AB973),AB973,"")</f>
        <v>2550</v>
      </c>
      <c r="D973" s="0" t="n">
        <f aca="false">IF(ISNUMBER(C973),C973-U973*Data_Summary!$C$2,"")</f>
        <v>2400</v>
      </c>
      <c r="E973" s="31" t="n">
        <f aca="false">IFERROR(C973/B973,"")</f>
        <v>3.88719512195122</v>
      </c>
      <c r="F973" s="26" t="n">
        <f aca="false">IFERROR(D973/B973,"")</f>
        <v>3.65853658536585</v>
      </c>
      <c r="G973" s="0" t="str">
        <f aca="false">Q973</f>
        <v>1</v>
      </c>
      <c r="H973" s="0" t="str">
        <f aca="false">IFERROR(LEFT(G973,1),"")</f>
        <v>1</v>
      </c>
      <c r="I973" s="0" t="n">
        <f aca="false">IF(LEN(G973)&gt;1,1,0)</f>
        <v>0</v>
      </c>
      <c r="J973" s="4" t="n">
        <v>45985</v>
      </c>
      <c r="K973" s="0" t="s">
        <v>17</v>
      </c>
      <c r="L973" s="0" t="s">
        <v>107</v>
      </c>
      <c r="M973" s="0" t="s">
        <v>226</v>
      </c>
      <c r="N973" s="0" t="s">
        <v>93</v>
      </c>
      <c r="O973" s="0" t="s">
        <v>4193</v>
      </c>
      <c r="Q973" s="0" t="s">
        <v>242</v>
      </c>
      <c r="R973" s="0" t="n">
        <v>1</v>
      </c>
      <c r="S973" s="5" t="n">
        <v>656</v>
      </c>
      <c r="T973" s="0" t="s">
        <v>271</v>
      </c>
      <c r="U973" s="0" t="n">
        <v>1</v>
      </c>
      <c r="V973" s="0" t="s">
        <v>230</v>
      </c>
      <c r="W973" s="0" t="s">
        <v>244</v>
      </c>
      <c r="X973" s="0" t="s">
        <v>232</v>
      </c>
      <c r="Y973" s="0" t="s">
        <v>245</v>
      </c>
      <c r="Z973" s="0" t="s">
        <v>4080</v>
      </c>
      <c r="AA973" s="0" t="s">
        <v>235</v>
      </c>
      <c r="AB973" s="32" t="n">
        <v>2550</v>
      </c>
      <c r="AC973" s="32" t="n">
        <v>2550</v>
      </c>
      <c r="AD973" s="26" t="n">
        <f aca="false">IFERROR(AB973/B973,"")</f>
        <v>3.88719512195122</v>
      </c>
      <c r="AE973" s="26" t="n">
        <f aca="false">IFERROR(AC973/B973,"")</f>
        <v>3.88719512195122</v>
      </c>
      <c r="AF973" s="0" t="s">
        <v>236</v>
      </c>
      <c r="AG973" s="0" t="s">
        <v>236</v>
      </c>
      <c r="AH973" s="0" t="s">
        <v>230</v>
      </c>
      <c r="AI973" s="0" t="s">
        <v>1927</v>
      </c>
      <c r="AJ973" s="0" t="s">
        <v>4194</v>
      </c>
      <c r="AK973" s="0" t="s">
        <v>4195</v>
      </c>
      <c r="AL973" s="0" t="s">
        <v>4196</v>
      </c>
      <c r="AM973" s="0" t="s">
        <v>94</v>
      </c>
      <c r="AN973" s="26" t="n">
        <f aca="false">IFERROR(E973*(1+IF(AM973="Apartment",Data_Summary!$C$3,0)),"")</f>
        <v>3.88719512195122</v>
      </c>
      <c r="AO973" s="4" t="n">
        <v>46195</v>
      </c>
    </row>
    <row r="974" customFormat="false" ht="15" hidden="false" customHeight="false" outlineLevel="0" collapsed="false">
      <c r="A974" s="0" t="n">
        <f aca="false">IF(AND(ISNUMBER(B974),B974&gt;0,ISNUMBER(AB974),AB974&gt;0,J974&gt;=Data_Summary!$C$1),1,0)</f>
        <v>1</v>
      </c>
      <c r="B974" s="30" t="n">
        <v>625</v>
      </c>
      <c r="C974" s="5" t="n">
        <f aca="false">IF(ISNUMBER(AB974),AB974,"")</f>
        <v>2349</v>
      </c>
      <c r="D974" s="0" t="n">
        <f aca="false">IF(ISNUMBER(C974),C974-U974*Data_Summary!$C$2,"")</f>
        <v>2199</v>
      </c>
      <c r="E974" s="31" t="n">
        <f aca="false">IFERROR(C974/B974,"")</f>
        <v>3.7584</v>
      </c>
      <c r="F974" s="26" t="n">
        <f aca="false">IFERROR(D974/B974,"")</f>
        <v>3.5184</v>
      </c>
      <c r="G974" s="0" t="str">
        <f aca="false">Q974</f>
        <v>1+1</v>
      </c>
      <c r="H974" s="0" t="str">
        <f aca="false">IFERROR(LEFT(G974,1),"")</f>
        <v>1</v>
      </c>
      <c r="I974" s="0" t="n">
        <f aca="false">IF(LEN(G974)&gt;1,1,0)</f>
        <v>1</v>
      </c>
      <c r="J974" s="4" t="n">
        <v>45981</v>
      </c>
      <c r="K974" s="0" t="s">
        <v>17</v>
      </c>
      <c r="L974" s="0" t="s">
        <v>107</v>
      </c>
      <c r="M974" s="0" t="s">
        <v>226</v>
      </c>
      <c r="N974" s="0" t="s">
        <v>93</v>
      </c>
      <c r="O974" s="0" t="s">
        <v>3405</v>
      </c>
      <c r="Q974" s="0" t="s">
        <v>270</v>
      </c>
      <c r="R974" s="0" t="n">
        <v>1</v>
      </c>
      <c r="S974" s="5" t="n">
        <v>625</v>
      </c>
      <c r="T974" s="0" t="s">
        <v>271</v>
      </c>
      <c r="U974" s="0" t="n">
        <v>1</v>
      </c>
      <c r="V974" s="0" t="s">
        <v>230</v>
      </c>
      <c r="W974" s="0" t="s">
        <v>231</v>
      </c>
      <c r="Y974" s="0" t="s">
        <v>260</v>
      </c>
      <c r="Z974" s="0" t="s">
        <v>4080</v>
      </c>
      <c r="AA974" s="0" t="s">
        <v>235</v>
      </c>
      <c r="AB974" s="32" t="n">
        <v>2349</v>
      </c>
      <c r="AC974" s="32" t="n">
        <v>2449</v>
      </c>
      <c r="AD974" s="26" t="n">
        <f aca="false">IFERROR(AB974/B974,"")</f>
        <v>3.7584</v>
      </c>
      <c r="AE974" s="26" t="n">
        <f aca="false">IFERROR(AC974/B974,"")</f>
        <v>3.9184</v>
      </c>
      <c r="AF974" s="0" t="s">
        <v>236</v>
      </c>
      <c r="AG974" s="0" t="s">
        <v>236</v>
      </c>
      <c r="AH974" s="0" t="s">
        <v>230</v>
      </c>
      <c r="AI974" s="0" t="s">
        <v>1940</v>
      </c>
      <c r="AJ974" s="0" t="s">
        <v>4197</v>
      </c>
      <c r="AK974" s="0" t="s">
        <v>4198</v>
      </c>
      <c r="AL974" s="0" t="s">
        <v>4199</v>
      </c>
      <c r="AM974" s="0" t="s">
        <v>94</v>
      </c>
      <c r="AN974" s="26" t="n">
        <f aca="false">IFERROR(E974*(1+IF(AM974="Apartment",Data_Summary!$C$3,0)),"")</f>
        <v>3.7584</v>
      </c>
      <c r="AO974" s="4" t="n">
        <v>46195</v>
      </c>
    </row>
    <row r="975" customFormat="false" ht="15" hidden="false" customHeight="false" outlineLevel="0" collapsed="false">
      <c r="A975" s="0" t="n">
        <f aca="false">IF(AND(ISNUMBER(B975),B975&gt;0,ISNUMBER(AB975),AB975&gt;0,J975&gt;=Data_Summary!$C$1),1,0)</f>
        <v>1</v>
      </c>
      <c r="B975" s="33" t="n">
        <v>595</v>
      </c>
      <c r="C975" s="5" t="n">
        <f aca="false">IF(ISNUMBER(AB975),AB975,"")</f>
        <v>2150</v>
      </c>
      <c r="D975" s="0" t="n">
        <f aca="false">IF(ISNUMBER(C975),C975-U975*Data_Summary!$C$2,"")</f>
        <v>2150</v>
      </c>
      <c r="E975" s="34" t="n">
        <f aca="false">IFERROR(C975/B975,"")</f>
        <v>3.61344537815126</v>
      </c>
      <c r="F975" s="26" t="n">
        <f aca="false">IFERROR(D975/B975,"")</f>
        <v>3.61344537815126</v>
      </c>
      <c r="G975" s="0" t="str">
        <f aca="false">Q975</f>
        <v>1+1</v>
      </c>
      <c r="H975" s="0" t="str">
        <f aca="false">IFERROR(LEFT(G975,1),"")</f>
        <v>1</v>
      </c>
      <c r="I975" s="0" t="n">
        <f aca="false">IF(LEN(G975)&gt;1,1,0)</f>
        <v>1</v>
      </c>
      <c r="J975" s="4" t="n">
        <v>45972</v>
      </c>
      <c r="K975" s="0" t="s">
        <v>17</v>
      </c>
      <c r="L975" s="0" t="s">
        <v>107</v>
      </c>
      <c r="M975" s="0" t="s">
        <v>226</v>
      </c>
      <c r="N975" s="0" t="s">
        <v>93</v>
      </c>
      <c r="O975" s="0" t="s">
        <v>2294</v>
      </c>
      <c r="Q975" s="0" t="s">
        <v>270</v>
      </c>
      <c r="R975" s="0" t="n">
        <v>1</v>
      </c>
      <c r="S975" s="5" t="n">
        <v>595</v>
      </c>
      <c r="T975" s="0" t="s">
        <v>271</v>
      </c>
      <c r="U975" s="0" t="n">
        <v>0</v>
      </c>
      <c r="V975" s="0" t="s">
        <v>230</v>
      </c>
      <c r="W975" s="0" t="s">
        <v>244</v>
      </c>
      <c r="X975" s="0" t="s">
        <v>232</v>
      </c>
      <c r="Y975" s="0" t="s">
        <v>260</v>
      </c>
      <c r="Z975" s="0" t="s">
        <v>4080</v>
      </c>
      <c r="AA975" s="0" t="s">
        <v>235</v>
      </c>
      <c r="AB975" s="32" t="n">
        <v>2150</v>
      </c>
      <c r="AC975" s="32" t="n">
        <v>2150</v>
      </c>
      <c r="AD975" s="26" t="n">
        <f aca="false">IFERROR(AB975/B975,"")</f>
        <v>3.61344537815126</v>
      </c>
      <c r="AE975" s="26" t="n">
        <f aca="false">IFERROR(AC975/B975,"")</f>
        <v>3.61344537815126</v>
      </c>
      <c r="AF975" s="0" t="s">
        <v>236</v>
      </c>
      <c r="AG975" s="0" t="s">
        <v>236</v>
      </c>
      <c r="AH975" s="0" t="s">
        <v>236</v>
      </c>
      <c r="AI975" s="0" t="s">
        <v>1954</v>
      </c>
      <c r="AJ975" s="0" t="s">
        <v>4200</v>
      </c>
      <c r="AK975" s="0" t="s">
        <v>4201</v>
      </c>
      <c r="AL975" s="0" t="s">
        <v>4202</v>
      </c>
      <c r="AM975" s="0" t="s">
        <v>94</v>
      </c>
      <c r="AN975" s="26" t="n">
        <f aca="false">IFERROR(E975*(1+IF(AM975="Apartment",Data_Summary!$C$3,0)),"")</f>
        <v>3.61344537815126</v>
      </c>
      <c r="AO975" s="4" t="n">
        <v>46195</v>
      </c>
    </row>
    <row r="976" customFormat="false" ht="15" hidden="false" customHeight="false" outlineLevel="0" collapsed="false">
      <c r="A976" s="0" t="n">
        <f aca="false">IF(AND(ISNUMBER(B976),B976&gt;0,ISNUMBER(AB976),AB976&gt;0,J976&gt;=Data_Summary!$C$1),1,0)</f>
        <v>1</v>
      </c>
      <c r="B976" s="33" t="n">
        <v>587</v>
      </c>
      <c r="C976" s="5" t="n">
        <f aca="false">IF(ISNUMBER(AB976),AB976,"")</f>
        <v>2500</v>
      </c>
      <c r="D976" s="0" t="n">
        <f aca="false">IF(ISNUMBER(C976),C976-U976*Data_Summary!$C$2,"")</f>
        <v>2350</v>
      </c>
      <c r="E976" s="34" t="n">
        <f aca="false">IFERROR(C976/B976,"")</f>
        <v>4.25894378194208</v>
      </c>
      <c r="F976" s="26" t="n">
        <f aca="false">IFERROR(D976/B976,"")</f>
        <v>4.00340715502555</v>
      </c>
      <c r="G976" s="0" t="str">
        <f aca="false">Q976</f>
        <v>1+1</v>
      </c>
      <c r="H976" s="0" t="str">
        <f aca="false">IFERROR(LEFT(G976,1),"")</f>
        <v>1</v>
      </c>
      <c r="I976" s="0" t="n">
        <f aca="false">IF(LEN(G976)&gt;1,1,0)</f>
        <v>1</v>
      </c>
      <c r="J976" s="4" t="n">
        <v>45971</v>
      </c>
      <c r="K976" s="0" t="s">
        <v>17</v>
      </c>
      <c r="L976" s="0" t="s">
        <v>107</v>
      </c>
      <c r="M976" s="0" t="s">
        <v>226</v>
      </c>
      <c r="N976" s="0" t="s">
        <v>93</v>
      </c>
      <c r="O976" s="0" t="s">
        <v>4203</v>
      </c>
      <c r="Q976" s="0" t="s">
        <v>270</v>
      </c>
      <c r="R976" s="0" t="n">
        <v>1</v>
      </c>
      <c r="S976" s="5" t="n">
        <v>587</v>
      </c>
      <c r="T976" s="0" t="s">
        <v>271</v>
      </c>
      <c r="U976" s="0" t="n">
        <v>1</v>
      </c>
      <c r="V976" s="0" t="s">
        <v>230</v>
      </c>
      <c r="W976" s="0" t="s">
        <v>231</v>
      </c>
      <c r="X976" s="0" t="s">
        <v>232</v>
      </c>
      <c r="Y976" s="0" t="s">
        <v>245</v>
      </c>
      <c r="Z976" s="0" t="s">
        <v>4080</v>
      </c>
      <c r="AA976" s="0" t="s">
        <v>235</v>
      </c>
      <c r="AB976" s="32" t="n">
        <v>2500</v>
      </c>
      <c r="AC976" s="32" t="n">
        <v>2500</v>
      </c>
      <c r="AD976" s="26" t="n">
        <f aca="false">IFERROR(AB976/B976,"")</f>
        <v>4.25894378194208</v>
      </c>
      <c r="AE976" s="26" t="n">
        <f aca="false">IFERROR(AC976/B976,"")</f>
        <v>4.25894378194208</v>
      </c>
      <c r="AF976" s="0" t="s">
        <v>236</v>
      </c>
      <c r="AG976" s="0" t="s">
        <v>236</v>
      </c>
      <c r="AH976" s="0" t="s">
        <v>230</v>
      </c>
      <c r="AI976" s="0" t="s">
        <v>4204</v>
      </c>
      <c r="AJ976" s="0" t="s">
        <v>4205</v>
      </c>
      <c r="AK976" s="0" t="s">
        <v>4206</v>
      </c>
      <c r="AL976" s="0" t="s">
        <v>4207</v>
      </c>
      <c r="AM976" s="0" t="s">
        <v>94</v>
      </c>
      <c r="AN976" s="26" t="n">
        <f aca="false">IFERROR(E976*(1+IF(AM976="Apartment",Data_Summary!$C$3,0)),"")</f>
        <v>4.25894378194208</v>
      </c>
      <c r="AO976" s="4" t="n">
        <v>46195</v>
      </c>
    </row>
    <row r="977" customFormat="false" ht="15" hidden="false" customHeight="false" outlineLevel="0" collapsed="false">
      <c r="A977" s="0" t="n">
        <f aca="false">IF(AND(ISNUMBER(B977),B977&gt;0,ISNUMBER(AB977),AB977&gt;0,J977&gt;=Data_Summary!$C$1),1,0)</f>
        <v>1</v>
      </c>
      <c r="B977" s="30" t="n">
        <v>479</v>
      </c>
      <c r="C977" s="5" t="n">
        <f aca="false">IF(ISNUMBER(AB977),AB977,"")</f>
        <v>2150</v>
      </c>
      <c r="D977" s="0" t="n">
        <f aca="false">IF(ISNUMBER(C977),C977-U977*Data_Summary!$C$2,"")</f>
        <v>2150</v>
      </c>
      <c r="E977" s="31" t="n">
        <f aca="false">IFERROR(C977/B977,"")</f>
        <v>4.48851774530271</v>
      </c>
      <c r="F977" s="26" t="n">
        <f aca="false">IFERROR(D977/B977,"")</f>
        <v>4.48851774530271</v>
      </c>
      <c r="G977" s="0" t="str">
        <f aca="false">Q977</f>
        <v>1</v>
      </c>
      <c r="H977" s="0" t="str">
        <f aca="false">IFERROR(LEFT(G977,1),"")</f>
        <v>1</v>
      </c>
      <c r="I977" s="0" t="n">
        <f aca="false">IF(LEN(G977)&gt;1,1,0)</f>
        <v>0</v>
      </c>
      <c r="J977" s="4" t="n">
        <v>45970</v>
      </c>
      <c r="K977" s="0" t="s">
        <v>17</v>
      </c>
      <c r="L977" s="0" t="s">
        <v>107</v>
      </c>
      <c r="M977" s="0" t="s">
        <v>226</v>
      </c>
      <c r="N977" s="0" t="s">
        <v>93</v>
      </c>
      <c r="O977" s="0" t="s">
        <v>968</v>
      </c>
      <c r="Q977" s="0" t="s">
        <v>242</v>
      </c>
      <c r="R977" s="0" t="n">
        <v>1</v>
      </c>
      <c r="S977" s="5" t="n">
        <v>479</v>
      </c>
      <c r="T977" s="0" t="s">
        <v>303</v>
      </c>
      <c r="U977" s="0" t="n">
        <v>0</v>
      </c>
      <c r="V977" s="0" t="s">
        <v>230</v>
      </c>
      <c r="W977" s="0" t="s">
        <v>244</v>
      </c>
      <c r="Y977" s="0" t="s">
        <v>272</v>
      </c>
      <c r="Z977" s="0" t="s">
        <v>4080</v>
      </c>
      <c r="AA977" s="0" t="s">
        <v>235</v>
      </c>
      <c r="AB977" s="32" t="n">
        <v>2150</v>
      </c>
      <c r="AC977" s="32" t="n">
        <v>2150</v>
      </c>
      <c r="AD977" s="26" t="n">
        <f aca="false">IFERROR(AB977/B977,"")</f>
        <v>4.48851774530271</v>
      </c>
      <c r="AE977" s="26" t="n">
        <f aca="false">IFERROR(AC977/B977,"")</f>
        <v>4.48851774530271</v>
      </c>
      <c r="AF977" s="0" t="s">
        <v>236</v>
      </c>
      <c r="AG977" s="0" t="s">
        <v>236</v>
      </c>
      <c r="AH977" s="0" t="s">
        <v>230</v>
      </c>
      <c r="AI977" s="0" t="s">
        <v>1958</v>
      </c>
      <c r="AJ977" s="0" t="s">
        <v>4208</v>
      </c>
      <c r="AK977" s="0" t="s">
        <v>4209</v>
      </c>
      <c r="AL977" s="0" t="s">
        <v>4210</v>
      </c>
      <c r="AM977" s="0" t="s">
        <v>94</v>
      </c>
      <c r="AN977" s="26" t="n">
        <f aca="false">IFERROR(E977*(1+IF(AM977="Apartment",Data_Summary!$C$3,0)),"")</f>
        <v>4.48851774530271</v>
      </c>
      <c r="AO977" s="4" t="n">
        <v>46195</v>
      </c>
    </row>
    <row r="978" customFormat="false" ht="15" hidden="false" customHeight="false" outlineLevel="0" collapsed="false">
      <c r="A978" s="0" t="n">
        <f aca="false">IF(AND(ISNUMBER(B978),B978&gt;0,ISNUMBER(AB978),AB978&gt;0,J978&gt;=Data_Summary!$C$1),1,0)</f>
        <v>1</v>
      </c>
      <c r="B978" s="33" t="n">
        <v>595</v>
      </c>
      <c r="C978" s="5" t="n">
        <f aca="false">IF(ISNUMBER(AB978),AB978,"")</f>
        <v>2150</v>
      </c>
      <c r="D978" s="0" t="n">
        <f aca="false">IF(ISNUMBER(C978),C978-U978*Data_Summary!$C$2,"")</f>
        <v>2150</v>
      </c>
      <c r="E978" s="34" t="n">
        <f aca="false">IFERROR(C978/B978,"")</f>
        <v>3.61344537815126</v>
      </c>
      <c r="F978" s="26" t="n">
        <f aca="false">IFERROR(D978/B978,"")</f>
        <v>3.61344537815126</v>
      </c>
      <c r="G978" s="0" t="str">
        <f aca="false">Q978</f>
        <v>1+1</v>
      </c>
      <c r="H978" s="0" t="str">
        <f aca="false">IFERROR(LEFT(G978,1),"")</f>
        <v>1</v>
      </c>
      <c r="I978" s="0" t="n">
        <f aca="false">IF(LEN(G978)&gt;1,1,0)</f>
        <v>1</v>
      </c>
      <c r="J978" s="4" t="n">
        <v>45964</v>
      </c>
      <c r="K978" s="0" t="s">
        <v>17</v>
      </c>
      <c r="L978" s="0" t="s">
        <v>107</v>
      </c>
      <c r="M978" s="0" t="s">
        <v>226</v>
      </c>
      <c r="N978" s="0" t="s">
        <v>93</v>
      </c>
      <c r="O978" s="0" t="s">
        <v>2386</v>
      </c>
      <c r="Q978" s="0" t="s">
        <v>270</v>
      </c>
      <c r="R978" s="0" t="n">
        <v>1</v>
      </c>
      <c r="S978" s="5" t="n">
        <v>595</v>
      </c>
      <c r="T978" s="0" t="s">
        <v>271</v>
      </c>
      <c r="U978" s="0" t="n">
        <v>0</v>
      </c>
      <c r="V978" s="0" t="s">
        <v>230</v>
      </c>
      <c r="W978" s="0" t="s">
        <v>231</v>
      </c>
      <c r="X978" s="0" t="s">
        <v>232</v>
      </c>
      <c r="Y978" s="0" t="s">
        <v>253</v>
      </c>
      <c r="Z978" s="0" t="s">
        <v>4080</v>
      </c>
      <c r="AA978" s="0" t="s">
        <v>235</v>
      </c>
      <c r="AB978" s="32" t="n">
        <v>2150</v>
      </c>
      <c r="AC978" s="32" t="n">
        <v>2350</v>
      </c>
      <c r="AD978" s="26" t="n">
        <f aca="false">IFERROR(AB978/B978,"")</f>
        <v>3.61344537815126</v>
      </c>
      <c r="AE978" s="26" t="n">
        <f aca="false">IFERROR(AC978/B978,"")</f>
        <v>3.94957983193277</v>
      </c>
      <c r="AF978" s="0" t="s">
        <v>236</v>
      </c>
      <c r="AG978" s="0" t="s">
        <v>236</v>
      </c>
      <c r="AH978" s="0" t="s">
        <v>230</v>
      </c>
      <c r="AI978" s="0" t="s">
        <v>808</v>
      </c>
      <c r="AJ978" s="0" t="s">
        <v>4211</v>
      </c>
      <c r="AK978" s="0" t="s">
        <v>4212</v>
      </c>
      <c r="AL978" s="0" t="s">
        <v>4213</v>
      </c>
      <c r="AM978" s="0" t="s">
        <v>94</v>
      </c>
      <c r="AN978" s="26" t="n">
        <f aca="false">IFERROR(E978*(1+IF(AM978="Apartment",Data_Summary!$C$3,0)),"")</f>
        <v>3.61344537815126</v>
      </c>
      <c r="AO978" s="4" t="n">
        <v>46195</v>
      </c>
    </row>
    <row r="979" customFormat="false" ht="15" hidden="false" customHeight="false" outlineLevel="0" collapsed="false">
      <c r="A979" s="0" t="n">
        <f aca="false">IF(AND(ISNUMBER(B979),B979&gt;0,ISNUMBER(AB979),AB979&gt;0,J979&gt;=Data_Summary!$C$1),1,0)</f>
        <v>1</v>
      </c>
      <c r="B979" s="33" t="n">
        <v>683</v>
      </c>
      <c r="C979" s="5" t="n">
        <f aca="false">IF(ISNUMBER(AB979),AB979,"")</f>
        <v>2900</v>
      </c>
      <c r="D979" s="0" t="n">
        <f aca="false">IF(ISNUMBER(C979),C979-U979*Data_Summary!$C$2,"")</f>
        <v>2750</v>
      </c>
      <c r="E979" s="34" t="n">
        <f aca="false">IFERROR(C979/B979,"")</f>
        <v>4.24597364568082</v>
      </c>
      <c r="F979" s="26" t="n">
        <f aca="false">IFERROR(D979/B979,"")</f>
        <v>4.02635431918009</v>
      </c>
      <c r="G979" s="0" t="str">
        <f aca="false">Q979</f>
        <v>1+1</v>
      </c>
      <c r="H979" s="0" t="str">
        <f aca="false">IFERROR(LEFT(G979,1),"")</f>
        <v>1</v>
      </c>
      <c r="I979" s="0" t="n">
        <f aca="false">IF(LEN(G979)&gt;1,1,0)</f>
        <v>1</v>
      </c>
      <c r="J979" s="4" t="n">
        <v>45954</v>
      </c>
      <c r="K979" s="0" t="s">
        <v>17</v>
      </c>
      <c r="L979" s="0" t="s">
        <v>107</v>
      </c>
      <c r="M979" s="0" t="s">
        <v>226</v>
      </c>
      <c r="N979" s="0" t="s">
        <v>93</v>
      </c>
      <c r="O979" s="0" t="s">
        <v>687</v>
      </c>
      <c r="Q979" s="0" t="s">
        <v>270</v>
      </c>
      <c r="R979" s="0" t="n">
        <v>1</v>
      </c>
      <c r="S979" s="5" t="n">
        <v>683</v>
      </c>
      <c r="T979" s="0" t="s">
        <v>271</v>
      </c>
      <c r="U979" s="0" t="n">
        <v>1</v>
      </c>
      <c r="V979" s="0" t="s">
        <v>230</v>
      </c>
      <c r="W979" s="0" t="s">
        <v>244</v>
      </c>
      <c r="X979" s="0" t="s">
        <v>232</v>
      </c>
      <c r="Y979" s="0" t="s">
        <v>245</v>
      </c>
      <c r="Z979" s="0" t="s">
        <v>4080</v>
      </c>
      <c r="AA979" s="0" t="s">
        <v>235</v>
      </c>
      <c r="AB979" s="32" t="n">
        <v>2900</v>
      </c>
      <c r="AC979" s="32" t="n">
        <v>2600</v>
      </c>
      <c r="AD979" s="26" t="n">
        <f aca="false">IFERROR(AB979/B979,"")</f>
        <v>4.24597364568082</v>
      </c>
      <c r="AE979" s="26" t="n">
        <f aca="false">IFERROR(AC979/B979,"")</f>
        <v>3.80673499267936</v>
      </c>
      <c r="AF979" s="0" t="s">
        <v>421</v>
      </c>
      <c r="AG979" s="0" t="s">
        <v>236</v>
      </c>
      <c r="AH979" s="0" t="s">
        <v>230</v>
      </c>
      <c r="AI979" s="0" t="s">
        <v>2912</v>
      </c>
      <c r="AJ979" s="0" t="s">
        <v>4214</v>
      </c>
      <c r="AK979" s="0" t="s">
        <v>4215</v>
      </c>
      <c r="AL979" s="0" t="s">
        <v>4216</v>
      </c>
      <c r="AM979" s="0" t="s">
        <v>94</v>
      </c>
      <c r="AN979" s="26" t="n">
        <f aca="false">IFERROR(E979*(1+IF(AM979="Apartment",Data_Summary!$C$3,0)),"")</f>
        <v>4.24597364568082</v>
      </c>
      <c r="AO979" s="4" t="n">
        <v>46195</v>
      </c>
    </row>
    <row r="980" customFormat="false" ht="15" hidden="false" customHeight="false" outlineLevel="0" collapsed="false">
      <c r="A980" s="0" t="n">
        <f aca="false">IF(AND(ISNUMBER(B980),B980&gt;0,ISNUMBER(AB980),AB980&gt;0,J980&gt;=Data_Summary!$C$1),1,0)</f>
        <v>1</v>
      </c>
      <c r="B980" s="33" t="n">
        <v>924</v>
      </c>
      <c r="C980" s="5" t="n">
        <f aca="false">IF(ISNUMBER(AB980),AB980,"")</f>
        <v>3280</v>
      </c>
      <c r="D980" s="0" t="n">
        <f aca="false">IF(ISNUMBER(C980),C980-U980*Data_Summary!$C$2,"")</f>
        <v>3130</v>
      </c>
      <c r="E980" s="34" t="n">
        <f aca="false">IFERROR(C980/B980,"")</f>
        <v>3.54978354978355</v>
      </c>
      <c r="F980" s="26" t="n">
        <f aca="false">IFERROR(D980/B980,"")</f>
        <v>3.38744588744589</v>
      </c>
      <c r="G980" s="0" t="str">
        <f aca="false">Q980</f>
        <v>2</v>
      </c>
      <c r="H980" s="0" t="str">
        <f aca="false">IFERROR(LEFT(G980,1),"")</f>
        <v>2</v>
      </c>
      <c r="I980" s="0" t="n">
        <f aca="false">IF(LEN(G980)&gt;1,1,0)</f>
        <v>0</v>
      </c>
      <c r="J980" s="4" t="n">
        <v>45954</v>
      </c>
      <c r="K980" s="0" t="s">
        <v>17</v>
      </c>
      <c r="L980" s="0" t="s">
        <v>107</v>
      </c>
      <c r="M980" s="0" t="s">
        <v>226</v>
      </c>
      <c r="N980" s="0" t="s">
        <v>93</v>
      </c>
      <c r="O980" s="0" t="s">
        <v>4217</v>
      </c>
      <c r="Q980" s="0" t="s">
        <v>251</v>
      </c>
      <c r="R980" s="0" t="n">
        <v>2</v>
      </c>
      <c r="S980" s="5" t="n">
        <v>924</v>
      </c>
      <c r="T980" s="0" t="s">
        <v>259</v>
      </c>
      <c r="U980" s="0" t="n">
        <v>1</v>
      </c>
      <c r="V980" s="0" t="s">
        <v>230</v>
      </c>
      <c r="W980" s="0" t="s">
        <v>231</v>
      </c>
      <c r="X980" s="0" t="s">
        <v>232</v>
      </c>
      <c r="Y980" s="0" t="s">
        <v>253</v>
      </c>
      <c r="Z980" s="0" t="s">
        <v>4080</v>
      </c>
      <c r="AA980" s="0" t="s">
        <v>235</v>
      </c>
      <c r="AB980" s="32" t="n">
        <v>3280</v>
      </c>
      <c r="AC980" s="32" t="n">
        <v>3480</v>
      </c>
      <c r="AD980" s="26" t="n">
        <f aca="false">IFERROR(AB980/B980,"")</f>
        <v>3.54978354978355</v>
      </c>
      <c r="AE980" s="26" t="n">
        <f aca="false">IFERROR(AC980/B980,"")</f>
        <v>3.76623376623377</v>
      </c>
      <c r="AF980" s="0" t="s">
        <v>421</v>
      </c>
      <c r="AG980" s="0" t="s">
        <v>236</v>
      </c>
      <c r="AH980" s="0" t="s">
        <v>230</v>
      </c>
      <c r="AI980" s="0" t="s">
        <v>2912</v>
      </c>
      <c r="AJ980" s="0" t="s">
        <v>4218</v>
      </c>
      <c r="AK980" s="0" t="s">
        <v>4219</v>
      </c>
      <c r="AL980" s="0" t="s">
        <v>4220</v>
      </c>
      <c r="AM980" s="0" t="s">
        <v>94</v>
      </c>
      <c r="AN980" s="26" t="n">
        <f aca="false">IFERROR(E980*(1+IF(AM980="Apartment",Data_Summary!$C$3,0)),"")</f>
        <v>3.54978354978355</v>
      </c>
      <c r="AO980" s="4" t="n">
        <v>46195</v>
      </c>
    </row>
    <row r="981" customFormat="false" ht="15" hidden="false" customHeight="false" outlineLevel="0" collapsed="false">
      <c r="A981" s="0" t="n">
        <f aca="false">IF(AND(ISNUMBER(B981),B981&gt;0,ISNUMBER(AB981),AB981&gt;0,J981&gt;=Data_Summary!$C$1),1,0)</f>
        <v>1</v>
      </c>
      <c r="B981" s="30" t="n">
        <v>656</v>
      </c>
      <c r="C981" s="5" t="n">
        <f aca="false">IF(ISNUMBER(AB981),AB981,"")</f>
        <v>2450</v>
      </c>
      <c r="D981" s="0" t="n">
        <f aca="false">IF(ISNUMBER(C981),C981-U981*Data_Summary!$C$2,"")</f>
        <v>2450</v>
      </c>
      <c r="E981" s="31" t="n">
        <f aca="false">IFERROR(C981/B981,"")</f>
        <v>3.73475609756098</v>
      </c>
      <c r="F981" s="26" t="n">
        <f aca="false">IFERROR(D981/B981,"")</f>
        <v>3.73475609756098</v>
      </c>
      <c r="G981" s="0" t="str">
        <f aca="false">Q981</f>
        <v>1</v>
      </c>
      <c r="H981" s="0" t="str">
        <f aca="false">IFERROR(LEFT(G981,1),"")</f>
        <v>1</v>
      </c>
      <c r="I981" s="0" t="n">
        <f aca="false">IF(LEN(G981)&gt;1,1,0)</f>
        <v>0</v>
      </c>
      <c r="J981" s="4" t="n">
        <v>45948</v>
      </c>
      <c r="K981" s="0" t="s">
        <v>17</v>
      </c>
      <c r="L981" s="0" t="s">
        <v>107</v>
      </c>
      <c r="M981" s="0" t="s">
        <v>226</v>
      </c>
      <c r="N981" s="0" t="s">
        <v>93</v>
      </c>
      <c r="O981" s="0" t="s">
        <v>4221</v>
      </c>
      <c r="Q981" s="0" t="s">
        <v>242</v>
      </c>
      <c r="R981" s="0" t="n">
        <v>1</v>
      </c>
      <c r="S981" s="5" t="n">
        <v>656</v>
      </c>
      <c r="T981" s="0" t="s">
        <v>271</v>
      </c>
      <c r="U981" s="0" t="n">
        <v>0</v>
      </c>
      <c r="V981" s="0" t="s">
        <v>230</v>
      </c>
      <c r="X981" s="0" t="s">
        <v>232</v>
      </c>
      <c r="Y981" s="0" t="s">
        <v>297</v>
      </c>
      <c r="Z981" s="0" t="s">
        <v>4080</v>
      </c>
      <c r="AA981" s="0" t="s">
        <v>235</v>
      </c>
      <c r="AB981" s="32" t="n">
        <v>2450</v>
      </c>
      <c r="AC981" s="32" t="n">
        <v>2450</v>
      </c>
      <c r="AD981" s="26" t="n">
        <f aca="false">IFERROR(AB981/B981,"")</f>
        <v>3.73475609756098</v>
      </c>
      <c r="AE981" s="26" t="n">
        <f aca="false">IFERROR(AC981/B981,"")</f>
        <v>3.73475609756098</v>
      </c>
      <c r="AF981" s="0" t="s">
        <v>236</v>
      </c>
      <c r="AG981" s="0" t="s">
        <v>236</v>
      </c>
      <c r="AH981" s="0" t="s">
        <v>230</v>
      </c>
      <c r="AI981" s="0" t="s">
        <v>3555</v>
      </c>
      <c r="AJ981" s="0" t="s">
        <v>4222</v>
      </c>
      <c r="AK981" s="0" t="s">
        <v>4223</v>
      </c>
      <c r="AL981" s="0" t="s">
        <v>4224</v>
      </c>
      <c r="AM981" s="0" t="s">
        <v>94</v>
      </c>
      <c r="AN981" s="26" t="n">
        <f aca="false">IFERROR(E981*(1+IF(AM981="Apartment",Data_Summary!$C$3,0)),"")</f>
        <v>3.73475609756098</v>
      </c>
      <c r="AO981" s="4" t="n">
        <v>46195</v>
      </c>
    </row>
    <row r="982" customFormat="false" ht="15" hidden="false" customHeight="false" outlineLevel="0" collapsed="false">
      <c r="A982" s="0" t="n">
        <f aca="false">IF(AND(ISNUMBER(B982),B982&gt;0,ISNUMBER(AB982),AB982&gt;0,J982&gt;=Data_Summary!$C$1),1,0)</f>
        <v>1</v>
      </c>
      <c r="B982" s="30" t="n">
        <v>587</v>
      </c>
      <c r="C982" s="5" t="n">
        <f aca="false">IF(ISNUMBER(AB982),AB982,"")</f>
        <v>2400</v>
      </c>
      <c r="D982" s="0" t="n">
        <f aca="false">IF(ISNUMBER(C982),C982-U982*Data_Summary!$C$2,"")</f>
        <v>2400</v>
      </c>
      <c r="E982" s="31" t="n">
        <f aca="false">IFERROR(C982/B982,"")</f>
        <v>4.0885860306644</v>
      </c>
      <c r="F982" s="26" t="n">
        <f aca="false">IFERROR(D982/B982,"")</f>
        <v>4.0885860306644</v>
      </c>
      <c r="G982" s="0" t="str">
        <f aca="false">Q982</f>
        <v>1+1</v>
      </c>
      <c r="H982" s="0" t="str">
        <f aca="false">IFERROR(LEFT(G982,1),"")</f>
        <v>1</v>
      </c>
      <c r="I982" s="0" t="n">
        <f aca="false">IF(LEN(G982)&gt;1,1,0)</f>
        <v>1</v>
      </c>
      <c r="J982" s="4" t="n">
        <v>45938</v>
      </c>
      <c r="K982" s="0" t="s">
        <v>17</v>
      </c>
      <c r="L982" s="0" t="s">
        <v>107</v>
      </c>
      <c r="M982" s="0" t="s">
        <v>226</v>
      </c>
      <c r="N982" s="0" t="s">
        <v>93</v>
      </c>
      <c r="O982" s="0" t="s">
        <v>3251</v>
      </c>
      <c r="Q982" s="0" t="s">
        <v>270</v>
      </c>
      <c r="R982" s="0" t="n">
        <v>1</v>
      </c>
      <c r="S982" s="5" t="n">
        <v>587</v>
      </c>
      <c r="T982" s="0" t="s">
        <v>243</v>
      </c>
      <c r="U982" s="0" t="n">
        <v>0</v>
      </c>
      <c r="V982" s="0" t="s">
        <v>230</v>
      </c>
      <c r="W982" s="0" t="s">
        <v>244</v>
      </c>
      <c r="X982" s="0" t="s">
        <v>232</v>
      </c>
      <c r="Y982" s="0" t="s">
        <v>245</v>
      </c>
      <c r="Z982" s="0" t="s">
        <v>4080</v>
      </c>
      <c r="AA982" s="0" t="s">
        <v>235</v>
      </c>
      <c r="AB982" s="32" t="n">
        <v>2400</v>
      </c>
      <c r="AC982" s="32" t="n">
        <v>2400</v>
      </c>
      <c r="AD982" s="26" t="n">
        <f aca="false">IFERROR(AB982/B982,"")</f>
        <v>4.0885860306644</v>
      </c>
      <c r="AE982" s="26" t="n">
        <f aca="false">IFERROR(AC982/B982,"")</f>
        <v>4.0885860306644</v>
      </c>
      <c r="AF982" s="0" t="s">
        <v>236</v>
      </c>
      <c r="AG982" s="0" t="s">
        <v>236</v>
      </c>
      <c r="AH982" s="0" t="s">
        <v>230</v>
      </c>
      <c r="AI982" s="0" t="s">
        <v>843</v>
      </c>
      <c r="AJ982" s="0" t="s">
        <v>4225</v>
      </c>
      <c r="AK982" s="0" t="s">
        <v>4226</v>
      </c>
      <c r="AL982" s="0" t="s">
        <v>4227</v>
      </c>
      <c r="AM982" s="0" t="s">
        <v>94</v>
      </c>
      <c r="AN982" s="26" t="n">
        <f aca="false">IFERROR(E982*(1+IF(AM982="Apartment",Data_Summary!$C$3,0)),"")</f>
        <v>4.0885860306644</v>
      </c>
      <c r="AO982" s="4" t="n">
        <v>46195</v>
      </c>
    </row>
    <row r="983" customFormat="false" ht="15" hidden="false" customHeight="false" outlineLevel="0" collapsed="false">
      <c r="A983" s="0" t="n">
        <f aca="false">IF(AND(ISNUMBER(B983),B983&gt;0,ISNUMBER(AB983),AB983&gt;0,J983&gt;=Data_Summary!$C$1),1,0)</f>
        <v>1</v>
      </c>
      <c r="B983" s="30" t="n">
        <v>924</v>
      </c>
      <c r="C983" s="5" t="n">
        <f aca="false">IF(ISNUMBER(AB983),AB983,"")</f>
        <v>3250</v>
      </c>
      <c r="D983" s="0" t="n">
        <f aca="false">IF(ISNUMBER(C983),C983-U983*Data_Summary!$C$2,"")</f>
        <v>3100</v>
      </c>
      <c r="E983" s="31" t="n">
        <f aca="false">IFERROR(C983/B983,"")</f>
        <v>3.51731601731602</v>
      </c>
      <c r="F983" s="26" t="n">
        <f aca="false">IFERROR(D983/B983,"")</f>
        <v>3.35497835497836</v>
      </c>
      <c r="G983" s="0" t="str">
        <f aca="false">Q983</f>
        <v>2</v>
      </c>
      <c r="H983" s="0" t="str">
        <f aca="false">IFERROR(LEFT(G983,1),"")</f>
        <v>2</v>
      </c>
      <c r="I983" s="0" t="n">
        <f aca="false">IF(LEN(G983)&gt;1,1,0)</f>
        <v>0</v>
      </c>
      <c r="J983" s="4" t="n">
        <v>45938</v>
      </c>
      <c r="K983" s="0" t="s">
        <v>17</v>
      </c>
      <c r="L983" s="0" t="s">
        <v>107</v>
      </c>
      <c r="M983" s="0" t="s">
        <v>226</v>
      </c>
      <c r="N983" s="0" t="s">
        <v>93</v>
      </c>
      <c r="O983" s="0" t="s">
        <v>3426</v>
      </c>
      <c r="Q983" s="0" t="s">
        <v>251</v>
      </c>
      <c r="R983" s="0" t="n">
        <v>2</v>
      </c>
      <c r="S983" s="5" t="n">
        <v>924</v>
      </c>
      <c r="T983" s="0" t="s">
        <v>259</v>
      </c>
      <c r="U983" s="0" t="n">
        <v>1</v>
      </c>
      <c r="V983" s="0" t="s">
        <v>230</v>
      </c>
      <c r="W983" s="0" t="s">
        <v>244</v>
      </c>
      <c r="X983" s="0" t="s">
        <v>232</v>
      </c>
      <c r="Y983" s="0" t="s">
        <v>253</v>
      </c>
      <c r="Z983" s="0" t="s">
        <v>4080</v>
      </c>
      <c r="AA983" s="0" t="s">
        <v>235</v>
      </c>
      <c r="AB983" s="32" t="n">
        <v>3250</v>
      </c>
      <c r="AC983" s="32" t="n">
        <v>3250</v>
      </c>
      <c r="AD983" s="26" t="n">
        <f aca="false">IFERROR(AB983/B983,"")</f>
        <v>3.51731601731602</v>
      </c>
      <c r="AE983" s="26" t="n">
        <f aca="false">IFERROR(AC983/B983,"")</f>
        <v>3.51731601731602</v>
      </c>
      <c r="AF983" s="0" t="s">
        <v>236</v>
      </c>
      <c r="AG983" s="0" t="s">
        <v>236</v>
      </c>
      <c r="AH983" s="0" t="s">
        <v>230</v>
      </c>
      <c r="AI983" s="0" t="s">
        <v>843</v>
      </c>
      <c r="AJ983" s="0" t="s">
        <v>4228</v>
      </c>
      <c r="AK983" s="0" t="s">
        <v>4229</v>
      </c>
      <c r="AL983" s="0" t="s">
        <v>4230</v>
      </c>
      <c r="AM983" s="0" t="s">
        <v>94</v>
      </c>
      <c r="AN983" s="26" t="n">
        <f aca="false">IFERROR(E983*(1+IF(AM983="Apartment",Data_Summary!$C$3,0)),"")</f>
        <v>3.51731601731602</v>
      </c>
      <c r="AO983" s="4" t="n">
        <v>46195</v>
      </c>
    </row>
    <row r="984" customFormat="false" ht="15" hidden="false" customHeight="false" outlineLevel="0" collapsed="false">
      <c r="A984" s="0" t="n">
        <f aca="false">IF(AND(ISNUMBER(B984),B984&gt;0,ISNUMBER(AB984),AB984&gt;0,J984&gt;=Data_Summary!$C$1),1,0)</f>
        <v>1</v>
      </c>
      <c r="B984" s="30" t="n">
        <v>914</v>
      </c>
      <c r="C984" s="5" t="n">
        <f aca="false">IF(ISNUMBER(AB984),AB984,"")</f>
        <v>3500</v>
      </c>
      <c r="D984" s="0" t="n">
        <f aca="false">IF(ISNUMBER(C984),C984-U984*Data_Summary!$C$2,"")</f>
        <v>3350</v>
      </c>
      <c r="E984" s="31" t="n">
        <f aca="false">IFERROR(C984/B984,"")</f>
        <v>3.82932166301969</v>
      </c>
      <c r="F984" s="26" t="n">
        <f aca="false">IFERROR(D984/B984,"")</f>
        <v>3.66520787746171</v>
      </c>
      <c r="G984" s="0" t="str">
        <f aca="false">Q984</f>
        <v>2+1</v>
      </c>
      <c r="H984" s="0" t="str">
        <f aca="false">IFERROR(LEFT(G984,1),"")</f>
        <v>2</v>
      </c>
      <c r="I984" s="0" t="n">
        <f aca="false">IF(LEN(G984)&gt;1,1,0)</f>
        <v>1</v>
      </c>
      <c r="J984" s="4" t="n">
        <v>45937</v>
      </c>
      <c r="K984" s="0" t="s">
        <v>17</v>
      </c>
      <c r="L984" s="0" t="s">
        <v>107</v>
      </c>
      <c r="M984" s="0" t="s">
        <v>226</v>
      </c>
      <c r="N984" s="0" t="s">
        <v>93</v>
      </c>
      <c r="O984" s="0" t="s">
        <v>2837</v>
      </c>
      <c r="Q984" s="0" t="s">
        <v>451</v>
      </c>
      <c r="R984" s="0" t="n">
        <v>2</v>
      </c>
      <c r="S984" s="5" t="n">
        <v>914</v>
      </c>
      <c r="T984" s="0" t="s">
        <v>259</v>
      </c>
      <c r="U984" s="0" t="n">
        <v>1</v>
      </c>
      <c r="V984" s="0" t="s">
        <v>230</v>
      </c>
      <c r="W984" s="0" t="s">
        <v>244</v>
      </c>
      <c r="X984" s="0" t="s">
        <v>232</v>
      </c>
      <c r="Y984" s="0" t="s">
        <v>260</v>
      </c>
      <c r="Z984" s="0" t="s">
        <v>4080</v>
      </c>
      <c r="AA984" s="0" t="s">
        <v>235</v>
      </c>
      <c r="AB984" s="32" t="n">
        <v>3500</v>
      </c>
      <c r="AC984" s="32" t="n">
        <v>3500</v>
      </c>
      <c r="AD984" s="26" t="n">
        <f aca="false">IFERROR(AB984/B984,"")</f>
        <v>3.82932166301969</v>
      </c>
      <c r="AE984" s="26" t="n">
        <f aca="false">IFERROR(AC984/B984,"")</f>
        <v>3.82932166301969</v>
      </c>
      <c r="AF984" s="0" t="s">
        <v>236</v>
      </c>
      <c r="AG984" s="0" t="s">
        <v>236</v>
      </c>
      <c r="AH984" s="0" t="s">
        <v>230</v>
      </c>
      <c r="AI984" s="0" t="s">
        <v>848</v>
      </c>
      <c r="AJ984" s="0" t="s">
        <v>4231</v>
      </c>
      <c r="AK984" s="0" t="s">
        <v>4232</v>
      </c>
      <c r="AL984" s="0" t="s">
        <v>4233</v>
      </c>
      <c r="AM984" s="0" t="s">
        <v>94</v>
      </c>
      <c r="AN984" s="26" t="n">
        <f aca="false">IFERROR(E984*(1+IF(AM984="Apartment",Data_Summary!$C$3,0)),"")</f>
        <v>3.82932166301969</v>
      </c>
      <c r="AO984" s="4" t="n">
        <v>46195</v>
      </c>
    </row>
    <row r="985" customFormat="false" ht="15" hidden="false" customHeight="false" outlineLevel="0" collapsed="false">
      <c r="A985" s="0" t="n">
        <f aca="false">IF(AND(ISNUMBER(B985),B985&gt;0,ISNUMBER(AB985),AB985&gt;0,J985&gt;=Data_Summary!$C$1),1,0)</f>
        <v>1</v>
      </c>
      <c r="B985" s="33" t="n">
        <v>595</v>
      </c>
      <c r="C985" s="5" t="n">
        <f aca="false">IF(ISNUMBER(AB985),AB985,"")</f>
        <v>2600</v>
      </c>
      <c r="D985" s="0" t="n">
        <f aca="false">IF(ISNUMBER(C985),C985-U985*Data_Summary!$C$2,"")</f>
        <v>2450</v>
      </c>
      <c r="E985" s="34" t="n">
        <f aca="false">IFERROR(C985/B985,"")</f>
        <v>4.36974789915966</v>
      </c>
      <c r="F985" s="26" t="n">
        <f aca="false">IFERROR(D985/B985,"")</f>
        <v>4.11764705882353</v>
      </c>
      <c r="G985" s="0" t="str">
        <f aca="false">Q985</f>
        <v>1+1</v>
      </c>
      <c r="H985" s="0" t="str">
        <f aca="false">IFERROR(LEFT(G985,1),"")</f>
        <v>1</v>
      </c>
      <c r="I985" s="0" t="n">
        <f aca="false">IF(LEN(G985)&gt;1,1,0)</f>
        <v>1</v>
      </c>
      <c r="J985" s="4" t="n">
        <v>45933</v>
      </c>
      <c r="K985" s="0" t="s">
        <v>17</v>
      </c>
      <c r="L985" s="0" t="s">
        <v>107</v>
      </c>
      <c r="M985" s="0" t="s">
        <v>226</v>
      </c>
      <c r="N985" s="0" t="s">
        <v>93</v>
      </c>
      <c r="O985" s="0" t="s">
        <v>891</v>
      </c>
      <c r="Q985" s="0" t="s">
        <v>270</v>
      </c>
      <c r="R985" s="0" t="n">
        <v>1</v>
      </c>
      <c r="S985" s="5" t="n">
        <v>595</v>
      </c>
      <c r="T985" s="0" t="s">
        <v>271</v>
      </c>
      <c r="U985" s="0" t="n">
        <v>1</v>
      </c>
      <c r="V985" s="0" t="s">
        <v>230</v>
      </c>
      <c r="W985" s="0" t="s">
        <v>231</v>
      </c>
      <c r="X985" s="0" t="s">
        <v>232</v>
      </c>
      <c r="Y985" s="0" t="s">
        <v>272</v>
      </c>
      <c r="Z985" s="0" t="s">
        <v>4080</v>
      </c>
      <c r="AA985" s="0" t="s">
        <v>235</v>
      </c>
      <c r="AB985" s="32" t="n">
        <v>2600</v>
      </c>
      <c r="AC985" s="32" t="n">
        <v>2650</v>
      </c>
      <c r="AD985" s="26" t="n">
        <f aca="false">IFERROR(AB985/B985,"")</f>
        <v>4.36974789915966</v>
      </c>
      <c r="AE985" s="26" t="n">
        <f aca="false">IFERROR(AC985/B985,"")</f>
        <v>4.45378151260504</v>
      </c>
      <c r="AF985" s="0" t="s">
        <v>236</v>
      </c>
      <c r="AG985" s="0" t="s">
        <v>236</v>
      </c>
      <c r="AH985" s="0" t="s">
        <v>230</v>
      </c>
      <c r="AI985" s="0" t="s">
        <v>2925</v>
      </c>
      <c r="AJ985" s="0" t="s">
        <v>4234</v>
      </c>
      <c r="AK985" s="0" t="s">
        <v>4235</v>
      </c>
      <c r="AL985" s="0" t="s">
        <v>4236</v>
      </c>
      <c r="AM985" s="0" t="s">
        <v>94</v>
      </c>
      <c r="AN985" s="26" t="n">
        <f aca="false">IFERROR(E985*(1+IF(AM985="Apartment",Data_Summary!$C$3,0)),"")</f>
        <v>4.36974789915966</v>
      </c>
      <c r="AO985" s="4" t="n">
        <v>46195</v>
      </c>
    </row>
    <row r="986" customFormat="false" ht="15" hidden="false" customHeight="false" outlineLevel="0" collapsed="false">
      <c r="A986" s="0" t="n">
        <f aca="false">IF(AND(ISNUMBER(B986),B986&gt;0,ISNUMBER(AB986),AB986&gt;0,J986&gt;=Data_Summary!$C$1),1,0)</f>
        <v>1</v>
      </c>
      <c r="B986" s="33" t="n">
        <v>914</v>
      </c>
      <c r="C986" s="5" t="n">
        <f aca="false">IF(ISNUMBER(AB986),AB986,"")</f>
        <v>3500</v>
      </c>
      <c r="D986" s="0" t="n">
        <f aca="false">IF(ISNUMBER(C986),C986-U986*Data_Summary!$C$2,"")</f>
        <v>3500</v>
      </c>
      <c r="E986" s="34" t="n">
        <f aca="false">IFERROR(C986/B986,"")</f>
        <v>3.82932166301969</v>
      </c>
      <c r="F986" s="26" t="n">
        <f aca="false">IFERROR(D986/B986,"")</f>
        <v>3.82932166301969</v>
      </c>
      <c r="G986" s="0" t="str">
        <f aca="false">Q986</f>
        <v>2+1</v>
      </c>
      <c r="H986" s="0" t="str">
        <f aca="false">IFERROR(LEFT(G986,1),"")</f>
        <v>2</v>
      </c>
      <c r="I986" s="0" t="n">
        <f aca="false">IF(LEN(G986)&gt;1,1,0)</f>
        <v>1</v>
      </c>
      <c r="J986" s="4" t="n">
        <v>45926</v>
      </c>
      <c r="K986" s="0" t="s">
        <v>17</v>
      </c>
      <c r="L986" s="0" t="s">
        <v>107</v>
      </c>
      <c r="M986" s="0" t="s">
        <v>226</v>
      </c>
      <c r="N986" s="0" t="s">
        <v>93</v>
      </c>
      <c r="O986" s="0" t="s">
        <v>3134</v>
      </c>
      <c r="Q986" s="0" t="s">
        <v>451</v>
      </c>
      <c r="R986" s="0" t="n">
        <v>2</v>
      </c>
      <c r="S986" s="5" t="n">
        <v>914</v>
      </c>
      <c r="T986" s="0" t="s">
        <v>259</v>
      </c>
      <c r="U986" s="0" t="n">
        <v>0</v>
      </c>
      <c r="V986" s="0" t="s">
        <v>230</v>
      </c>
      <c r="W986" s="0" t="s">
        <v>244</v>
      </c>
      <c r="X986" s="0" t="s">
        <v>232</v>
      </c>
      <c r="Y986" s="0" t="s">
        <v>260</v>
      </c>
      <c r="Z986" s="0" t="s">
        <v>4080</v>
      </c>
      <c r="AA986" s="0" t="s">
        <v>235</v>
      </c>
      <c r="AB986" s="32" t="n">
        <v>3500</v>
      </c>
      <c r="AC986" s="32" t="n">
        <v>3700</v>
      </c>
      <c r="AD986" s="26" t="n">
        <f aca="false">IFERROR(AB986/B986,"")</f>
        <v>3.82932166301969</v>
      </c>
      <c r="AE986" s="26" t="n">
        <f aca="false">IFERROR(AC986/B986,"")</f>
        <v>4.04814004376368</v>
      </c>
      <c r="AF986" s="0" t="s">
        <v>230</v>
      </c>
      <c r="AG986" s="0" t="s">
        <v>236</v>
      </c>
      <c r="AH986" s="0" t="s">
        <v>230</v>
      </c>
      <c r="AI986" s="0" t="s">
        <v>858</v>
      </c>
      <c r="AJ986" s="0" t="s">
        <v>4237</v>
      </c>
      <c r="AK986" s="0" t="s">
        <v>4238</v>
      </c>
      <c r="AL986" s="0" t="s">
        <v>4239</v>
      </c>
      <c r="AM986" s="0" t="s">
        <v>94</v>
      </c>
      <c r="AN986" s="26" t="n">
        <f aca="false">IFERROR(E986*(1+IF(AM986="Apartment",Data_Summary!$C$3,0)),"")</f>
        <v>3.82932166301969</v>
      </c>
      <c r="AO986" s="4" t="n">
        <v>46195</v>
      </c>
    </row>
    <row r="987" customFormat="false" ht="15" hidden="false" customHeight="false" outlineLevel="0" collapsed="false">
      <c r="A987" s="0" t="n">
        <f aca="false">IF(AND(ISNUMBER(B987),B987&gt;0,ISNUMBER(AB987),AB987&gt;0,J987&gt;=Data_Summary!$C$1),1,0)</f>
        <v>1</v>
      </c>
      <c r="B987" s="30" t="n">
        <v>914</v>
      </c>
      <c r="C987" s="5" t="n">
        <f aca="false">IF(ISNUMBER(AB987),AB987,"")</f>
        <v>3500</v>
      </c>
      <c r="D987" s="0" t="n">
        <f aca="false">IF(ISNUMBER(C987),C987-U987*Data_Summary!$C$2,"")</f>
        <v>3350</v>
      </c>
      <c r="E987" s="31" t="n">
        <f aca="false">IFERROR(C987/B987,"")</f>
        <v>3.82932166301969</v>
      </c>
      <c r="F987" s="26" t="n">
        <f aca="false">IFERROR(D987/B987,"")</f>
        <v>3.66520787746171</v>
      </c>
      <c r="G987" s="0" t="str">
        <f aca="false">Q987</f>
        <v>2+1</v>
      </c>
      <c r="H987" s="0" t="str">
        <f aca="false">IFERROR(LEFT(G987,1),"")</f>
        <v>2</v>
      </c>
      <c r="I987" s="0" t="n">
        <f aca="false">IF(LEN(G987)&gt;1,1,0)</f>
        <v>1</v>
      </c>
      <c r="J987" s="4" t="n">
        <v>45925</v>
      </c>
      <c r="K987" s="0" t="s">
        <v>17</v>
      </c>
      <c r="L987" s="0" t="s">
        <v>107</v>
      </c>
      <c r="M987" s="0" t="s">
        <v>226</v>
      </c>
      <c r="N987" s="0" t="s">
        <v>93</v>
      </c>
      <c r="O987" s="0" t="s">
        <v>1887</v>
      </c>
      <c r="Q987" s="0" t="s">
        <v>451</v>
      </c>
      <c r="R987" s="0" t="n">
        <v>2</v>
      </c>
      <c r="S987" s="5" t="n">
        <v>914</v>
      </c>
      <c r="T987" s="0" t="s">
        <v>259</v>
      </c>
      <c r="U987" s="0" t="n">
        <v>1</v>
      </c>
      <c r="V987" s="0" t="s">
        <v>230</v>
      </c>
      <c r="W987" s="0" t="s">
        <v>231</v>
      </c>
      <c r="X987" s="0" t="s">
        <v>232</v>
      </c>
      <c r="Y987" s="0" t="s">
        <v>260</v>
      </c>
      <c r="Z987" s="0" t="s">
        <v>4080</v>
      </c>
      <c r="AA987" s="0" t="s">
        <v>235</v>
      </c>
      <c r="AB987" s="32" t="n">
        <v>3500</v>
      </c>
      <c r="AC987" s="32" t="n">
        <v>3700</v>
      </c>
      <c r="AD987" s="26" t="n">
        <f aca="false">IFERROR(AB987/B987,"")</f>
        <v>3.82932166301969</v>
      </c>
      <c r="AE987" s="26" t="n">
        <f aca="false">IFERROR(AC987/B987,"")</f>
        <v>4.04814004376368</v>
      </c>
      <c r="AF987" s="0" t="s">
        <v>236</v>
      </c>
      <c r="AG987" s="0" t="s">
        <v>236</v>
      </c>
      <c r="AH987" s="0" t="s">
        <v>230</v>
      </c>
      <c r="AI987" s="0" t="s">
        <v>4240</v>
      </c>
      <c r="AJ987" s="0" t="s">
        <v>4241</v>
      </c>
      <c r="AK987" s="0" t="s">
        <v>4242</v>
      </c>
      <c r="AL987" s="0" t="s">
        <v>4243</v>
      </c>
      <c r="AM987" s="0" t="s">
        <v>94</v>
      </c>
      <c r="AN987" s="26" t="n">
        <f aca="false">IFERROR(E987*(1+IF(AM987="Apartment",Data_Summary!$C$3,0)),"")</f>
        <v>3.82932166301969</v>
      </c>
      <c r="AO987" s="4" t="n">
        <v>46195</v>
      </c>
    </row>
    <row r="988" customFormat="false" ht="15" hidden="false" customHeight="false" outlineLevel="0" collapsed="false">
      <c r="A988" s="0" t="n">
        <f aca="false">IF(AND(ISNUMBER(B988),B988&gt;0,ISNUMBER(AB988),AB988&gt;0,J988&gt;=Data_Summary!$C$1),1,0)</f>
        <v>1</v>
      </c>
      <c r="B988" s="30" t="n">
        <v>1031</v>
      </c>
      <c r="C988" s="5" t="n">
        <f aca="false">IF(ISNUMBER(AB988),AB988,"")</f>
        <v>3850</v>
      </c>
      <c r="D988" s="0" t="n">
        <f aca="false">IF(ISNUMBER(C988),C988-U988*Data_Summary!$C$2,"")</f>
        <v>3700</v>
      </c>
      <c r="E988" s="31" t="n">
        <f aca="false">IFERROR(C988/B988,"")</f>
        <v>3.73423860329777</v>
      </c>
      <c r="F988" s="26" t="n">
        <f aca="false">IFERROR(D988/B988,"")</f>
        <v>3.58874878758487</v>
      </c>
      <c r="G988" s="0" t="str">
        <f aca="false">Q988</f>
        <v>2+1</v>
      </c>
      <c r="H988" s="0" t="str">
        <f aca="false">IFERROR(LEFT(G988,1),"")</f>
        <v>2</v>
      </c>
      <c r="I988" s="0" t="n">
        <f aca="false">IF(LEN(G988)&gt;1,1,0)</f>
        <v>1</v>
      </c>
      <c r="J988" s="4" t="n">
        <v>45922</v>
      </c>
      <c r="K988" s="0" t="s">
        <v>17</v>
      </c>
      <c r="L988" s="0" t="s">
        <v>107</v>
      </c>
      <c r="M988" s="0" t="s">
        <v>226</v>
      </c>
      <c r="N988" s="0" t="s">
        <v>93</v>
      </c>
      <c r="O988" s="0" t="s">
        <v>4244</v>
      </c>
      <c r="Q988" s="0" t="s">
        <v>451</v>
      </c>
      <c r="R988" s="0" t="n">
        <v>2</v>
      </c>
      <c r="S988" s="5" t="n">
        <v>1031</v>
      </c>
      <c r="T988" s="0" t="s">
        <v>265</v>
      </c>
      <c r="U988" s="0" t="n">
        <v>1</v>
      </c>
      <c r="V988" s="0" t="s">
        <v>230</v>
      </c>
      <c r="W988" s="0" t="s">
        <v>231</v>
      </c>
      <c r="X988" s="0" t="s">
        <v>232</v>
      </c>
      <c r="Y988" s="0" t="s">
        <v>272</v>
      </c>
      <c r="Z988" s="0" t="s">
        <v>4080</v>
      </c>
      <c r="AA988" s="0" t="s">
        <v>235</v>
      </c>
      <c r="AB988" s="32" t="n">
        <v>3850</v>
      </c>
      <c r="AC988" s="32" t="n">
        <v>3850</v>
      </c>
      <c r="AD988" s="26" t="n">
        <f aca="false">IFERROR(AB988/B988,"")</f>
        <v>3.73423860329777</v>
      </c>
      <c r="AE988" s="26" t="n">
        <f aca="false">IFERROR(AC988/B988,"")</f>
        <v>3.73423860329777</v>
      </c>
      <c r="AF988" s="0" t="s">
        <v>236</v>
      </c>
      <c r="AG988" s="0" t="s">
        <v>236</v>
      </c>
      <c r="AH988" s="0" t="s">
        <v>230</v>
      </c>
      <c r="AI988" s="0" t="s">
        <v>863</v>
      </c>
      <c r="AJ988" s="0" t="s">
        <v>4245</v>
      </c>
      <c r="AK988" s="0" t="s">
        <v>4246</v>
      </c>
      <c r="AL988" s="0" t="s">
        <v>4247</v>
      </c>
      <c r="AM988" s="0" t="s">
        <v>94</v>
      </c>
      <c r="AN988" s="26" t="n">
        <f aca="false">IFERROR(E988*(1+IF(AM988="Apartment",Data_Summary!$C$3,0)),"")</f>
        <v>3.73423860329777</v>
      </c>
      <c r="AO988" s="4" t="n">
        <v>46195</v>
      </c>
    </row>
    <row r="989" customFormat="false" ht="15" hidden="false" customHeight="false" outlineLevel="0" collapsed="false">
      <c r="A989" s="0" t="n">
        <f aca="false">IF(AND(ISNUMBER(B989),B989&gt;0,ISNUMBER(AB989),AB989&gt;0,J989&gt;=Data_Summary!$C$1),1,0)</f>
        <v>1</v>
      </c>
      <c r="B989" s="30" t="n">
        <v>780</v>
      </c>
      <c r="C989" s="5" t="n">
        <f aca="false">IF(ISNUMBER(AB989),AB989,"")</f>
        <v>3400</v>
      </c>
      <c r="D989" s="0" t="n">
        <f aca="false">IF(ISNUMBER(C989),C989-U989*Data_Summary!$C$2,"")</f>
        <v>3250</v>
      </c>
      <c r="E989" s="31" t="n">
        <f aca="false">IFERROR(C989/B989,"")</f>
        <v>4.35897435897436</v>
      </c>
      <c r="F989" s="26" t="n">
        <f aca="false">IFERROR(D989/B989,"")</f>
        <v>4.16666666666667</v>
      </c>
      <c r="G989" s="0" t="str">
        <f aca="false">Q989</f>
        <v>2</v>
      </c>
      <c r="H989" s="0" t="str">
        <f aca="false">IFERROR(LEFT(G989,1),"")</f>
        <v>2</v>
      </c>
      <c r="I989" s="0" t="n">
        <f aca="false">IF(LEN(G989)&gt;1,1,0)</f>
        <v>0</v>
      </c>
      <c r="J989" s="4" t="n">
        <v>45917</v>
      </c>
      <c r="K989" s="0" t="s">
        <v>17</v>
      </c>
      <c r="L989" s="0" t="s">
        <v>107</v>
      </c>
      <c r="M989" s="0" t="s">
        <v>226</v>
      </c>
      <c r="N989" s="0" t="s">
        <v>93</v>
      </c>
      <c r="O989" s="0" t="s">
        <v>707</v>
      </c>
      <c r="Q989" s="0" t="s">
        <v>251</v>
      </c>
      <c r="R989" s="0" t="n">
        <v>2</v>
      </c>
      <c r="S989" s="5" t="n">
        <v>780</v>
      </c>
      <c r="T989" s="0" t="s">
        <v>252</v>
      </c>
      <c r="U989" s="0" t="n">
        <v>1</v>
      </c>
      <c r="V989" s="0" t="s">
        <v>230</v>
      </c>
      <c r="W989" s="0" t="s">
        <v>231</v>
      </c>
      <c r="X989" s="0" t="s">
        <v>232</v>
      </c>
      <c r="Y989" s="0" t="s">
        <v>233</v>
      </c>
      <c r="Z989" s="0" t="s">
        <v>4080</v>
      </c>
      <c r="AA989" s="0" t="s">
        <v>235</v>
      </c>
      <c r="AB989" s="32" t="n">
        <v>3400</v>
      </c>
      <c r="AC989" s="32" t="n">
        <v>3400</v>
      </c>
      <c r="AD989" s="26" t="n">
        <f aca="false">IFERROR(AB989/B989,"")</f>
        <v>4.35897435897436</v>
      </c>
      <c r="AE989" s="26" t="n">
        <f aca="false">IFERROR(AC989/B989,"")</f>
        <v>4.35897435897436</v>
      </c>
      <c r="AF989" s="0" t="s">
        <v>236</v>
      </c>
      <c r="AG989" s="0" t="s">
        <v>236</v>
      </c>
      <c r="AH989" s="0" t="s">
        <v>236</v>
      </c>
      <c r="AI989" s="0" t="s">
        <v>4248</v>
      </c>
      <c r="AJ989" s="0" t="s">
        <v>4249</v>
      </c>
      <c r="AK989" s="0" t="s">
        <v>4250</v>
      </c>
      <c r="AL989" s="0" t="s">
        <v>4251</v>
      </c>
      <c r="AM989" s="0" t="s">
        <v>94</v>
      </c>
      <c r="AN989" s="26" t="n">
        <f aca="false">IFERROR(E989*(1+IF(AM989="Apartment",Data_Summary!$C$3,0)),"")</f>
        <v>4.35897435897436</v>
      </c>
      <c r="AO989" s="4" t="n">
        <v>46195</v>
      </c>
    </row>
    <row r="990" customFormat="false" ht="15" hidden="false" customHeight="false" outlineLevel="0" collapsed="false">
      <c r="A990" s="0" t="n">
        <f aca="false">IF(AND(ISNUMBER(B990),B990&gt;0,ISNUMBER(AB990),AB990&gt;0,J990&gt;=Data_Summary!$C$1),1,0)</f>
        <v>1</v>
      </c>
      <c r="B990" s="33" t="n">
        <v>587</v>
      </c>
      <c r="C990" s="5" t="n">
        <f aca="false">IF(ISNUMBER(AB990),AB990,"")</f>
        <v>2600</v>
      </c>
      <c r="D990" s="0" t="n">
        <f aca="false">IF(ISNUMBER(C990),C990-U990*Data_Summary!$C$2,"")</f>
        <v>2450</v>
      </c>
      <c r="E990" s="34" t="n">
        <f aca="false">IFERROR(C990/B990,"")</f>
        <v>4.42930153321976</v>
      </c>
      <c r="F990" s="26" t="n">
        <f aca="false">IFERROR(D990/B990,"")</f>
        <v>4.17376490630324</v>
      </c>
      <c r="G990" s="0" t="str">
        <f aca="false">Q990</f>
        <v>1+1</v>
      </c>
      <c r="H990" s="0" t="str">
        <f aca="false">IFERROR(LEFT(G990,1),"")</f>
        <v>1</v>
      </c>
      <c r="I990" s="0" t="n">
        <f aca="false">IF(LEN(G990)&gt;1,1,0)</f>
        <v>1</v>
      </c>
      <c r="J990" s="4" t="n">
        <v>45916</v>
      </c>
      <c r="K990" s="0" t="s">
        <v>17</v>
      </c>
      <c r="L990" s="0" t="s">
        <v>107</v>
      </c>
      <c r="M990" s="0" t="s">
        <v>226</v>
      </c>
      <c r="N990" s="0" t="s">
        <v>93</v>
      </c>
      <c r="O990" s="0" t="s">
        <v>1535</v>
      </c>
      <c r="Q990" s="0" t="s">
        <v>270</v>
      </c>
      <c r="R990" s="0" t="n">
        <v>1</v>
      </c>
      <c r="S990" s="5" t="n">
        <v>587</v>
      </c>
      <c r="T990" s="0" t="s">
        <v>271</v>
      </c>
      <c r="U990" s="0" t="n">
        <v>1</v>
      </c>
      <c r="V990" s="0" t="s">
        <v>230</v>
      </c>
      <c r="W990" s="0" t="s">
        <v>244</v>
      </c>
      <c r="X990" s="0" t="s">
        <v>232</v>
      </c>
      <c r="Y990" s="0" t="s">
        <v>297</v>
      </c>
      <c r="Z990" s="0" t="s">
        <v>4080</v>
      </c>
      <c r="AA990" s="0" t="s">
        <v>235</v>
      </c>
      <c r="AB990" s="32" t="n">
        <v>2600</v>
      </c>
      <c r="AC990" s="32" t="n">
        <v>2600</v>
      </c>
      <c r="AD990" s="26" t="n">
        <f aca="false">IFERROR(AB990/B990,"")</f>
        <v>4.42930153321976</v>
      </c>
      <c r="AE990" s="26" t="n">
        <f aca="false">IFERROR(AC990/B990,"")</f>
        <v>4.42930153321976</v>
      </c>
      <c r="AF990" s="0" t="s">
        <v>236</v>
      </c>
      <c r="AG990" s="0" t="s">
        <v>236</v>
      </c>
      <c r="AH990" s="0" t="s">
        <v>230</v>
      </c>
      <c r="AI990" s="0" t="s">
        <v>2578</v>
      </c>
      <c r="AJ990" s="0" t="s">
        <v>4252</v>
      </c>
      <c r="AK990" s="0" t="s">
        <v>4253</v>
      </c>
      <c r="AL990" s="0" t="s">
        <v>4254</v>
      </c>
      <c r="AM990" s="0" t="s">
        <v>94</v>
      </c>
      <c r="AN990" s="26" t="n">
        <f aca="false">IFERROR(E990*(1+IF(AM990="Apartment",Data_Summary!$C$3,0)),"")</f>
        <v>4.42930153321976</v>
      </c>
      <c r="AO990" s="4" t="n">
        <v>46195</v>
      </c>
    </row>
    <row r="991" customFormat="false" ht="15" hidden="false" customHeight="false" outlineLevel="0" collapsed="false">
      <c r="A991" s="0" t="n">
        <f aca="false">IF(AND(ISNUMBER(B991),B991&gt;0,ISNUMBER(AB991),AB991&gt;0,J991&gt;=Data_Summary!$C$1),1,0)</f>
        <v>1</v>
      </c>
      <c r="B991" s="30" t="n">
        <v>625</v>
      </c>
      <c r="C991" s="5" t="n">
        <f aca="false">IF(ISNUMBER(AB991),AB991,"")</f>
        <v>2400</v>
      </c>
      <c r="D991" s="0" t="n">
        <f aca="false">IF(ISNUMBER(C991),C991-U991*Data_Summary!$C$2,"")</f>
        <v>2250</v>
      </c>
      <c r="E991" s="31" t="n">
        <f aca="false">IFERROR(C991/B991,"")</f>
        <v>3.84</v>
      </c>
      <c r="F991" s="26" t="n">
        <f aca="false">IFERROR(D991/B991,"")</f>
        <v>3.6</v>
      </c>
      <c r="G991" s="0" t="str">
        <f aca="false">Q991</f>
        <v>1</v>
      </c>
      <c r="H991" s="0" t="str">
        <f aca="false">IFERROR(LEFT(G991,1),"")</f>
        <v>1</v>
      </c>
      <c r="I991" s="0" t="n">
        <f aca="false">IF(LEN(G991)&gt;1,1,0)</f>
        <v>0</v>
      </c>
      <c r="J991" s="4" t="n">
        <v>45913</v>
      </c>
      <c r="K991" s="0" t="s">
        <v>17</v>
      </c>
      <c r="L991" s="0" t="s">
        <v>107</v>
      </c>
      <c r="M991" s="0" t="s">
        <v>226</v>
      </c>
      <c r="N991" s="0" t="s">
        <v>93</v>
      </c>
      <c r="O991" s="0" t="s">
        <v>3625</v>
      </c>
      <c r="Q991" s="0" t="s">
        <v>242</v>
      </c>
      <c r="R991" s="0" t="n">
        <v>1</v>
      </c>
      <c r="S991" s="5" t="n">
        <v>625</v>
      </c>
      <c r="T991" s="0" t="s">
        <v>271</v>
      </c>
      <c r="U991" s="0" t="n">
        <v>1</v>
      </c>
      <c r="V991" s="0" t="s">
        <v>230</v>
      </c>
      <c r="W991" s="0" t="s">
        <v>244</v>
      </c>
      <c r="X991" s="0" t="s">
        <v>232</v>
      </c>
      <c r="Y991" s="0" t="s">
        <v>233</v>
      </c>
      <c r="Z991" s="0" t="s">
        <v>4080</v>
      </c>
      <c r="AA991" s="0" t="s">
        <v>235</v>
      </c>
      <c r="AB991" s="32" t="n">
        <v>2400</v>
      </c>
      <c r="AC991" s="32" t="n">
        <v>2350</v>
      </c>
      <c r="AD991" s="26" t="n">
        <f aca="false">IFERROR(AB991/B991,"")</f>
        <v>3.84</v>
      </c>
      <c r="AE991" s="26" t="n">
        <f aca="false">IFERROR(AC991/B991,"")</f>
        <v>3.76</v>
      </c>
      <c r="AF991" s="0" t="s">
        <v>236</v>
      </c>
      <c r="AG991" s="0" t="s">
        <v>236</v>
      </c>
      <c r="AH991" s="0" t="s">
        <v>236</v>
      </c>
      <c r="AI991" s="0" t="s">
        <v>2019</v>
      </c>
      <c r="AJ991" s="0" t="s">
        <v>4255</v>
      </c>
      <c r="AK991" s="0" t="s">
        <v>4256</v>
      </c>
      <c r="AL991" s="0" t="s">
        <v>4257</v>
      </c>
      <c r="AM991" s="0" t="s">
        <v>94</v>
      </c>
      <c r="AN991" s="26" t="n">
        <f aca="false">IFERROR(E991*(1+IF(AM991="Apartment",Data_Summary!$C$3,0)),"")</f>
        <v>3.84</v>
      </c>
      <c r="AO991" s="4" t="n">
        <v>46195</v>
      </c>
    </row>
    <row r="992" customFormat="false" ht="15" hidden="false" customHeight="false" outlineLevel="0" collapsed="false">
      <c r="A992" s="0" t="n">
        <f aca="false">IF(AND(ISNUMBER(B992),B992&gt;0,ISNUMBER(AB992),AB992&gt;0,J992&gt;=Data_Summary!$C$1),1,0)</f>
        <v>1</v>
      </c>
      <c r="B992" s="33" t="n">
        <v>587</v>
      </c>
      <c r="C992" s="5" t="n">
        <f aca="false">IF(ISNUMBER(AB992),AB992,"")</f>
        <v>2350</v>
      </c>
      <c r="D992" s="0" t="n">
        <f aca="false">IF(ISNUMBER(C992),C992-U992*Data_Summary!$C$2,"")</f>
        <v>2350</v>
      </c>
      <c r="E992" s="34" t="n">
        <f aca="false">IFERROR(C992/B992,"")</f>
        <v>4.00340715502555</v>
      </c>
      <c r="F992" s="26" t="n">
        <f aca="false">IFERROR(D992/B992,"")</f>
        <v>4.00340715502555</v>
      </c>
      <c r="G992" s="0" t="str">
        <f aca="false">Q992</f>
        <v>1+1</v>
      </c>
      <c r="H992" s="0" t="str">
        <f aca="false">IFERROR(LEFT(G992,1),"")</f>
        <v>1</v>
      </c>
      <c r="I992" s="0" t="n">
        <f aca="false">IF(LEN(G992)&gt;1,1,0)</f>
        <v>1</v>
      </c>
      <c r="J992" s="4" t="n">
        <v>45911</v>
      </c>
      <c r="K992" s="0" t="s">
        <v>17</v>
      </c>
      <c r="L992" s="0" t="s">
        <v>107</v>
      </c>
      <c r="M992" s="0" t="s">
        <v>226</v>
      </c>
      <c r="N992" s="0" t="s">
        <v>93</v>
      </c>
      <c r="O992" s="0" t="s">
        <v>3460</v>
      </c>
      <c r="Q992" s="0" t="s">
        <v>270</v>
      </c>
      <c r="R992" s="0" t="n">
        <v>1</v>
      </c>
      <c r="S992" s="5" t="n">
        <v>587</v>
      </c>
      <c r="T992" s="0" t="s">
        <v>303</v>
      </c>
      <c r="U992" s="0" t="n">
        <v>0</v>
      </c>
      <c r="V992" s="0" t="s">
        <v>230</v>
      </c>
      <c r="W992" s="0" t="s">
        <v>231</v>
      </c>
      <c r="X992" s="0" t="s">
        <v>232</v>
      </c>
      <c r="Y992" s="0" t="s">
        <v>260</v>
      </c>
      <c r="Z992" s="0" t="s">
        <v>4080</v>
      </c>
      <c r="AA992" s="0" t="s">
        <v>235</v>
      </c>
      <c r="AB992" s="32" t="n">
        <v>2350</v>
      </c>
      <c r="AC992" s="32" t="n">
        <v>2350</v>
      </c>
      <c r="AD992" s="26" t="n">
        <f aca="false">IFERROR(AB992/B992,"")</f>
        <v>4.00340715502555</v>
      </c>
      <c r="AE992" s="26" t="n">
        <f aca="false">IFERROR(AC992/B992,"")</f>
        <v>4.00340715502555</v>
      </c>
      <c r="AF992" s="0" t="s">
        <v>236</v>
      </c>
      <c r="AG992" s="0" t="s">
        <v>236</v>
      </c>
      <c r="AH992" s="0" t="s">
        <v>230</v>
      </c>
      <c r="AI992" s="0" t="s">
        <v>2956</v>
      </c>
      <c r="AJ992" s="0" t="s">
        <v>4258</v>
      </c>
      <c r="AK992" s="0" t="s">
        <v>4259</v>
      </c>
      <c r="AL992" s="0" t="s">
        <v>4260</v>
      </c>
      <c r="AM992" s="0" t="s">
        <v>94</v>
      </c>
      <c r="AN992" s="26" t="n">
        <f aca="false">IFERROR(E992*(1+IF(AM992="Apartment",Data_Summary!$C$3,0)),"")</f>
        <v>4.00340715502555</v>
      </c>
      <c r="AO992" s="4" t="n">
        <v>46195</v>
      </c>
    </row>
    <row r="993" customFormat="false" ht="15" hidden="false" customHeight="false" outlineLevel="0" collapsed="false">
      <c r="A993" s="0" t="n">
        <f aca="false">IF(AND(ISNUMBER(B993),B993&gt;0,ISNUMBER(AB993),AB993&gt;0,J993&gt;=Data_Summary!$C$1),1,0)</f>
        <v>1</v>
      </c>
      <c r="B993" s="33" t="n">
        <v>479</v>
      </c>
      <c r="C993" s="5" t="n">
        <f aca="false">IF(ISNUMBER(AB993),AB993,"")</f>
        <v>2150</v>
      </c>
      <c r="D993" s="0" t="n">
        <f aca="false">IF(ISNUMBER(C993),C993-U993*Data_Summary!$C$2,"")</f>
        <v>2150</v>
      </c>
      <c r="E993" s="34" t="n">
        <f aca="false">IFERROR(C993/B993,"")</f>
        <v>4.48851774530271</v>
      </c>
      <c r="F993" s="26" t="n">
        <f aca="false">IFERROR(D993/B993,"")</f>
        <v>4.48851774530271</v>
      </c>
      <c r="G993" s="0" t="str">
        <f aca="false">Q993</f>
        <v>1</v>
      </c>
      <c r="H993" s="0" t="str">
        <f aca="false">IFERROR(LEFT(G993,1),"")</f>
        <v>1</v>
      </c>
      <c r="I993" s="0" t="n">
        <f aca="false">IF(LEN(G993)&gt;1,1,0)</f>
        <v>0</v>
      </c>
      <c r="J993" s="4" t="n">
        <v>45898</v>
      </c>
      <c r="K993" s="0" t="s">
        <v>17</v>
      </c>
      <c r="L993" s="0" t="s">
        <v>107</v>
      </c>
      <c r="M993" s="0" t="s">
        <v>226</v>
      </c>
      <c r="N993" s="0" t="s">
        <v>93</v>
      </c>
      <c r="O993" s="0" t="s">
        <v>400</v>
      </c>
      <c r="Q993" s="0" t="s">
        <v>242</v>
      </c>
      <c r="R993" s="0" t="n">
        <v>1</v>
      </c>
      <c r="S993" s="5" t="n">
        <v>479</v>
      </c>
      <c r="T993" s="0" t="s">
        <v>243</v>
      </c>
      <c r="U993" s="0" t="n">
        <v>0</v>
      </c>
      <c r="V993" s="0" t="s">
        <v>230</v>
      </c>
      <c r="W993" s="0" t="s">
        <v>231</v>
      </c>
      <c r="Y993" s="0" t="s">
        <v>272</v>
      </c>
      <c r="Z993" s="0" t="s">
        <v>4080</v>
      </c>
      <c r="AA993" s="0" t="s">
        <v>235</v>
      </c>
      <c r="AB993" s="32" t="n">
        <v>2150</v>
      </c>
      <c r="AC993" s="32" t="n">
        <v>2200</v>
      </c>
      <c r="AD993" s="26" t="n">
        <f aca="false">IFERROR(AB993/B993,"")</f>
        <v>4.48851774530271</v>
      </c>
      <c r="AE993" s="26" t="n">
        <f aca="false">IFERROR(AC993/B993,"")</f>
        <v>4.59290187891441</v>
      </c>
      <c r="AF993" s="0" t="s">
        <v>236</v>
      </c>
      <c r="AG993" s="0" t="s">
        <v>236</v>
      </c>
      <c r="AH993" s="0" t="s">
        <v>236</v>
      </c>
      <c r="AI993" s="0" t="s">
        <v>892</v>
      </c>
      <c r="AJ993" s="0" t="s">
        <v>4261</v>
      </c>
      <c r="AK993" s="0" t="s">
        <v>4262</v>
      </c>
      <c r="AL993" s="0" t="s">
        <v>4263</v>
      </c>
      <c r="AM993" s="0" t="s">
        <v>94</v>
      </c>
      <c r="AN993" s="26" t="n">
        <f aca="false">IFERROR(E993*(1+IF(AM993="Apartment",Data_Summary!$C$3,0)),"")</f>
        <v>4.48851774530271</v>
      </c>
      <c r="AO993" s="4" t="n">
        <v>46195</v>
      </c>
    </row>
    <row r="994" customFormat="false" ht="15" hidden="false" customHeight="false" outlineLevel="0" collapsed="false">
      <c r="A994" s="0" t="n">
        <f aca="false">IF(AND(ISNUMBER(B994),B994&gt;0,ISNUMBER(AB994),AB994&gt;0,J994&gt;=Data_Summary!$C$1),1,0)</f>
        <v>1</v>
      </c>
      <c r="B994" s="30" t="n">
        <v>633</v>
      </c>
      <c r="C994" s="5" t="n">
        <f aca="false">IF(ISNUMBER(AB994),AB994,"")</f>
        <v>2400</v>
      </c>
      <c r="D994" s="0" t="n">
        <f aca="false">IF(ISNUMBER(C994),C994-U994*Data_Summary!$C$2,"")</f>
        <v>2400</v>
      </c>
      <c r="E994" s="31" t="n">
        <f aca="false">IFERROR(C994/B994,"")</f>
        <v>3.7914691943128</v>
      </c>
      <c r="F994" s="26" t="n">
        <f aca="false">IFERROR(D994/B994,"")</f>
        <v>3.7914691943128</v>
      </c>
      <c r="G994" s="0" t="str">
        <f aca="false">Q994</f>
        <v>1</v>
      </c>
      <c r="H994" s="0" t="str">
        <f aca="false">IFERROR(LEFT(G994,1),"")</f>
        <v>1</v>
      </c>
      <c r="I994" s="0" t="n">
        <f aca="false">IF(LEN(G994)&gt;1,1,0)</f>
        <v>0</v>
      </c>
      <c r="J994" s="4" t="n">
        <v>45896</v>
      </c>
      <c r="K994" s="0" t="s">
        <v>17</v>
      </c>
      <c r="L994" s="0" t="s">
        <v>107</v>
      </c>
      <c r="M994" s="0" t="s">
        <v>226</v>
      </c>
      <c r="N994" s="0" t="s">
        <v>93</v>
      </c>
      <c r="O994" s="0" t="s">
        <v>4264</v>
      </c>
      <c r="Q994" s="0" t="s">
        <v>242</v>
      </c>
      <c r="R994" s="0" t="n">
        <v>1</v>
      </c>
      <c r="S994" s="5" t="n">
        <v>633</v>
      </c>
      <c r="T994" s="0" t="s">
        <v>271</v>
      </c>
      <c r="U994" s="0" t="n">
        <v>0</v>
      </c>
      <c r="V994" s="0" t="s">
        <v>230</v>
      </c>
      <c r="W994" s="0" t="s">
        <v>244</v>
      </c>
      <c r="X994" s="0" t="s">
        <v>232</v>
      </c>
      <c r="Y994" s="0" t="s">
        <v>297</v>
      </c>
      <c r="Z994" s="0" t="s">
        <v>4080</v>
      </c>
      <c r="AA994" s="0" t="s">
        <v>235</v>
      </c>
      <c r="AB994" s="32" t="n">
        <v>2400</v>
      </c>
      <c r="AC994" s="32" t="n">
        <v>2400</v>
      </c>
      <c r="AD994" s="26" t="n">
        <f aca="false">IFERROR(AB994/B994,"")</f>
        <v>3.7914691943128</v>
      </c>
      <c r="AE994" s="26" t="n">
        <f aca="false">IFERROR(AC994/B994,"")</f>
        <v>3.7914691943128</v>
      </c>
      <c r="AF994" s="0" t="s">
        <v>236</v>
      </c>
      <c r="AG994" s="0" t="s">
        <v>236</v>
      </c>
      <c r="AH994" s="0" t="s">
        <v>230</v>
      </c>
      <c r="AI994" s="0" t="s">
        <v>2586</v>
      </c>
      <c r="AJ994" s="0" t="s">
        <v>4265</v>
      </c>
      <c r="AK994" s="0" t="s">
        <v>4266</v>
      </c>
      <c r="AL994" s="0" t="s">
        <v>4267</v>
      </c>
      <c r="AM994" s="0" t="s">
        <v>94</v>
      </c>
      <c r="AN994" s="26" t="n">
        <f aca="false">IFERROR(E994*(1+IF(AM994="Apartment",Data_Summary!$C$3,0)),"")</f>
        <v>3.7914691943128</v>
      </c>
      <c r="AO994" s="4" t="n">
        <v>46195</v>
      </c>
    </row>
    <row r="995" customFormat="false" ht="15" hidden="false" customHeight="false" outlineLevel="0" collapsed="false">
      <c r="A995" s="0" t="n">
        <f aca="false">IF(AND(ISNUMBER(B995),B995&gt;0,ISNUMBER(AB995),AB995&gt;0,J995&gt;=Data_Summary!$C$1),1,0)</f>
        <v>1</v>
      </c>
      <c r="B995" s="33" t="n">
        <v>479</v>
      </c>
      <c r="C995" s="5" t="n">
        <f aca="false">IF(ISNUMBER(AB995),AB995,"")</f>
        <v>3300</v>
      </c>
      <c r="D995" s="0" t="n">
        <f aca="false">IF(ISNUMBER(C995),C995-U995*Data_Summary!$C$2,"")</f>
        <v>3150</v>
      </c>
      <c r="E995" s="34" t="n">
        <f aca="false">IFERROR(C995/B995,"")</f>
        <v>6.88935281837161</v>
      </c>
      <c r="F995" s="26" t="n">
        <f aca="false">IFERROR(D995/B995,"")</f>
        <v>6.57620041753653</v>
      </c>
      <c r="G995" s="0" t="str">
        <f aca="false">Q995</f>
        <v>2</v>
      </c>
      <c r="H995" s="0" t="str">
        <f aca="false">IFERROR(LEFT(G995,1),"")</f>
        <v>2</v>
      </c>
      <c r="I995" s="0" t="n">
        <f aca="false">IF(LEN(G995)&gt;1,1,0)</f>
        <v>0</v>
      </c>
      <c r="J995" s="4" t="n">
        <v>45896</v>
      </c>
      <c r="K995" s="0" t="s">
        <v>17</v>
      </c>
      <c r="L995" s="0" t="s">
        <v>107</v>
      </c>
      <c r="M995" s="0" t="s">
        <v>226</v>
      </c>
      <c r="N995" s="0" t="s">
        <v>93</v>
      </c>
      <c r="O995" s="0" t="s">
        <v>4268</v>
      </c>
      <c r="Q995" s="0" t="s">
        <v>251</v>
      </c>
      <c r="R995" s="0" t="n">
        <v>2</v>
      </c>
      <c r="S995" s="5" t="n">
        <v>479</v>
      </c>
      <c r="T995" s="0" t="s">
        <v>252</v>
      </c>
      <c r="U995" s="0" t="n">
        <v>1</v>
      </c>
      <c r="V995" s="0" t="s">
        <v>230</v>
      </c>
      <c r="W995" s="0" t="s">
        <v>244</v>
      </c>
      <c r="X995" s="0" t="s">
        <v>232</v>
      </c>
      <c r="Y995" s="0" t="s">
        <v>308</v>
      </c>
      <c r="Z995" s="0" t="s">
        <v>4080</v>
      </c>
      <c r="AA995" s="0" t="s">
        <v>235</v>
      </c>
      <c r="AB995" s="32" t="n">
        <v>3300</v>
      </c>
      <c r="AC995" s="32" t="n">
        <v>3300</v>
      </c>
      <c r="AD995" s="26" t="n">
        <f aca="false">IFERROR(AB995/B995,"")</f>
        <v>6.88935281837161</v>
      </c>
      <c r="AE995" s="26" t="n">
        <f aca="false">IFERROR(AC995/B995,"")</f>
        <v>6.88935281837161</v>
      </c>
      <c r="AF995" s="0" t="s">
        <v>230</v>
      </c>
      <c r="AG995" s="0" t="s">
        <v>236</v>
      </c>
      <c r="AH995" s="0" t="s">
        <v>230</v>
      </c>
      <c r="AI995" s="0" t="s">
        <v>2586</v>
      </c>
      <c r="AJ995" s="0" t="s">
        <v>4269</v>
      </c>
      <c r="AK995" s="0" t="s">
        <v>4270</v>
      </c>
      <c r="AL995" s="0" t="s">
        <v>4271</v>
      </c>
      <c r="AM995" s="0" t="s">
        <v>94</v>
      </c>
      <c r="AN995" s="26" t="n">
        <f aca="false">IFERROR(E995*(1+IF(AM995="Apartment",Data_Summary!$C$3,0)),"")</f>
        <v>6.88935281837161</v>
      </c>
      <c r="AO995" s="4" t="n">
        <v>46195</v>
      </c>
    </row>
    <row r="996" customFormat="false" ht="15" hidden="false" customHeight="false" outlineLevel="0" collapsed="false">
      <c r="A996" s="0" t="n">
        <f aca="false">IF(AND(ISNUMBER(B996),B996&gt;0,ISNUMBER(AB996),AB996&gt;0,J996&gt;=Data_Summary!$C$1),1,0)</f>
        <v>1</v>
      </c>
      <c r="B996" s="30" t="n">
        <v>535</v>
      </c>
      <c r="C996" s="5" t="n">
        <f aca="false">IF(ISNUMBER(AB996),AB996,"")</f>
        <v>2200</v>
      </c>
      <c r="D996" s="0" t="n">
        <f aca="false">IF(ISNUMBER(C996),C996-U996*Data_Summary!$C$2,"")</f>
        <v>2200</v>
      </c>
      <c r="E996" s="31" t="n">
        <f aca="false">IFERROR(C996/B996,"")</f>
        <v>4.11214953271028</v>
      </c>
      <c r="F996" s="26" t="n">
        <f aca="false">IFERROR(D996/B996,"")</f>
        <v>4.11214953271028</v>
      </c>
      <c r="G996" s="0" t="str">
        <f aca="false">Q996</f>
        <v>1</v>
      </c>
      <c r="H996" s="0" t="str">
        <f aca="false">IFERROR(LEFT(G996,1),"")</f>
        <v>1</v>
      </c>
      <c r="I996" s="0" t="n">
        <f aca="false">IF(LEN(G996)&gt;1,1,0)</f>
        <v>0</v>
      </c>
      <c r="J996" s="4" t="n">
        <v>45885</v>
      </c>
      <c r="K996" s="0" t="s">
        <v>17</v>
      </c>
      <c r="L996" s="0" t="s">
        <v>107</v>
      </c>
      <c r="M996" s="0" t="s">
        <v>226</v>
      </c>
      <c r="N996" s="0" t="s">
        <v>93</v>
      </c>
      <c r="O996" s="0" t="s">
        <v>1793</v>
      </c>
      <c r="Q996" s="0" t="s">
        <v>242</v>
      </c>
      <c r="R996" s="0" t="n">
        <v>1</v>
      </c>
      <c r="S996" s="5" t="n">
        <v>535</v>
      </c>
      <c r="T996" s="0" t="s">
        <v>243</v>
      </c>
      <c r="U996" s="0" t="n">
        <v>0</v>
      </c>
      <c r="V996" s="0" t="s">
        <v>230</v>
      </c>
      <c r="W996" s="0" t="s">
        <v>244</v>
      </c>
      <c r="X996" s="0" t="s">
        <v>232</v>
      </c>
      <c r="Y996" s="0" t="s">
        <v>253</v>
      </c>
      <c r="Z996" s="0" t="s">
        <v>4080</v>
      </c>
      <c r="AA996" s="0" t="s">
        <v>235</v>
      </c>
      <c r="AB996" s="32" t="n">
        <v>2200</v>
      </c>
      <c r="AC996" s="32" t="n">
        <v>2200</v>
      </c>
      <c r="AD996" s="26" t="n">
        <f aca="false">IFERROR(AB996/B996,"")</f>
        <v>4.11214953271028</v>
      </c>
      <c r="AE996" s="26" t="n">
        <f aca="false">IFERROR(AC996/B996,"")</f>
        <v>4.11214953271028</v>
      </c>
      <c r="AF996" s="0" t="s">
        <v>236</v>
      </c>
      <c r="AG996" s="0" t="s">
        <v>236</v>
      </c>
      <c r="AH996" s="0" t="s">
        <v>230</v>
      </c>
      <c r="AI996" s="0" t="s">
        <v>4272</v>
      </c>
      <c r="AJ996" s="0" t="s">
        <v>4273</v>
      </c>
      <c r="AK996" s="0" t="s">
        <v>4274</v>
      </c>
      <c r="AL996" s="0" t="s">
        <v>4275</v>
      </c>
      <c r="AM996" s="0" t="s">
        <v>94</v>
      </c>
      <c r="AN996" s="26" t="n">
        <f aca="false">IFERROR(E996*(1+IF(AM996="Apartment",Data_Summary!$C$3,0)),"")</f>
        <v>4.11214953271028</v>
      </c>
      <c r="AO996" s="4" t="n">
        <v>46195</v>
      </c>
    </row>
    <row r="997" customFormat="false" ht="15" hidden="false" customHeight="false" outlineLevel="0" collapsed="false">
      <c r="A997" s="0" t="n">
        <f aca="false">IF(AND(ISNUMBER(B997),B997&gt;0,ISNUMBER(AB997),AB997&gt;0,J997&gt;=Data_Summary!$C$1),1,0)</f>
        <v>1</v>
      </c>
      <c r="B997" s="33" t="n">
        <v>595</v>
      </c>
      <c r="C997" s="5" t="n">
        <f aca="false">IF(ISNUMBER(AB997),AB997,"")</f>
        <v>2850</v>
      </c>
      <c r="D997" s="0" t="n">
        <f aca="false">IF(ISNUMBER(C997),C997-U997*Data_Summary!$C$2,"")</f>
        <v>2700</v>
      </c>
      <c r="E997" s="34" t="n">
        <f aca="false">IFERROR(C997/B997,"")</f>
        <v>4.78991596638655</v>
      </c>
      <c r="F997" s="26" t="n">
        <f aca="false">IFERROR(D997/B997,"")</f>
        <v>4.53781512605042</v>
      </c>
      <c r="G997" s="0" t="str">
        <f aca="false">Q997</f>
        <v>1+1</v>
      </c>
      <c r="H997" s="0" t="str">
        <f aca="false">IFERROR(LEFT(G997,1),"")</f>
        <v>1</v>
      </c>
      <c r="I997" s="0" t="n">
        <f aca="false">IF(LEN(G997)&gt;1,1,0)</f>
        <v>1</v>
      </c>
      <c r="J997" s="4" t="n">
        <v>45885</v>
      </c>
      <c r="K997" s="0" t="s">
        <v>17</v>
      </c>
      <c r="L997" s="0" t="s">
        <v>107</v>
      </c>
      <c r="M997" s="0" t="s">
        <v>226</v>
      </c>
      <c r="N997" s="0" t="s">
        <v>93</v>
      </c>
      <c r="O997" s="0" t="s">
        <v>4276</v>
      </c>
      <c r="Q997" s="0" t="s">
        <v>270</v>
      </c>
      <c r="R997" s="0" t="n">
        <v>1</v>
      </c>
      <c r="S997" s="5" t="n">
        <v>595</v>
      </c>
      <c r="T997" s="0" t="s">
        <v>271</v>
      </c>
      <c r="U997" s="0" t="n">
        <v>1</v>
      </c>
      <c r="V997" s="0" t="s">
        <v>230</v>
      </c>
      <c r="X997" s="0" t="s">
        <v>232</v>
      </c>
      <c r="Y997" s="0" t="s">
        <v>272</v>
      </c>
      <c r="Z997" s="0" t="s">
        <v>4080</v>
      </c>
      <c r="AA997" s="0" t="s">
        <v>235</v>
      </c>
      <c r="AB997" s="32" t="n">
        <v>2850</v>
      </c>
      <c r="AC997" s="32" t="n">
        <v>2800</v>
      </c>
      <c r="AD997" s="26" t="n">
        <f aca="false">IFERROR(AB997/B997,"")</f>
        <v>4.78991596638655</v>
      </c>
      <c r="AE997" s="26" t="n">
        <f aca="false">IFERROR(AC997/B997,"")</f>
        <v>4.70588235294118</v>
      </c>
      <c r="AF997" s="0" t="s">
        <v>230</v>
      </c>
      <c r="AG997" s="0" t="s">
        <v>236</v>
      </c>
      <c r="AH997" s="0" t="s">
        <v>230</v>
      </c>
      <c r="AI997" s="0" t="s">
        <v>4272</v>
      </c>
      <c r="AJ997" s="0" t="s">
        <v>4277</v>
      </c>
      <c r="AK997" s="0" t="s">
        <v>4278</v>
      </c>
      <c r="AL997" s="0" t="s">
        <v>4279</v>
      </c>
      <c r="AM997" s="0" t="s">
        <v>94</v>
      </c>
      <c r="AN997" s="26" t="n">
        <f aca="false">IFERROR(E997*(1+IF(AM997="Apartment",Data_Summary!$C$3,0)),"")</f>
        <v>4.78991596638655</v>
      </c>
      <c r="AO997" s="4" t="n">
        <v>46195</v>
      </c>
    </row>
    <row r="998" customFormat="false" ht="15" hidden="false" customHeight="false" outlineLevel="0" collapsed="false">
      <c r="A998" s="0" t="n">
        <f aca="false">IF(AND(ISNUMBER(B998),B998&gt;0,ISNUMBER(AB998),AB998&gt;0,J998&gt;=Data_Summary!$C$1),1,0)</f>
        <v>1</v>
      </c>
      <c r="B998" s="30" t="n">
        <v>479</v>
      </c>
      <c r="C998" s="5" t="n">
        <f aca="false">IF(ISNUMBER(AB998),AB998,"")</f>
        <v>2300</v>
      </c>
      <c r="D998" s="0" t="n">
        <f aca="false">IF(ISNUMBER(C998),C998-U998*Data_Summary!$C$2,"")</f>
        <v>2150</v>
      </c>
      <c r="E998" s="31" t="n">
        <f aca="false">IFERROR(C998/B998,"")</f>
        <v>4.80167014613779</v>
      </c>
      <c r="F998" s="26" t="n">
        <f aca="false">IFERROR(D998/B998,"")</f>
        <v>4.48851774530271</v>
      </c>
      <c r="G998" s="0" t="str">
        <f aca="false">Q998</f>
        <v>1</v>
      </c>
      <c r="H998" s="0" t="str">
        <f aca="false">IFERROR(LEFT(G998,1),"")</f>
        <v>1</v>
      </c>
      <c r="I998" s="0" t="n">
        <f aca="false">IF(LEN(G998)&gt;1,1,0)</f>
        <v>0</v>
      </c>
      <c r="J998" s="4" t="n">
        <v>45881</v>
      </c>
      <c r="K998" s="0" t="s">
        <v>17</v>
      </c>
      <c r="L998" s="0" t="s">
        <v>107</v>
      </c>
      <c r="M998" s="0" t="s">
        <v>226</v>
      </c>
      <c r="N998" s="0" t="s">
        <v>93</v>
      </c>
      <c r="O998" s="0" t="s">
        <v>2841</v>
      </c>
      <c r="Q998" s="0" t="s">
        <v>242</v>
      </c>
      <c r="R998" s="0" t="n">
        <v>1</v>
      </c>
      <c r="S998" s="5" t="n">
        <v>479</v>
      </c>
      <c r="T998" s="0" t="s">
        <v>303</v>
      </c>
      <c r="U998" s="0" t="n">
        <v>1</v>
      </c>
      <c r="V998" s="0" t="s">
        <v>230</v>
      </c>
      <c r="W998" s="0" t="s">
        <v>244</v>
      </c>
      <c r="Y998" s="0" t="s">
        <v>272</v>
      </c>
      <c r="Z998" s="0" t="s">
        <v>4080</v>
      </c>
      <c r="AA998" s="0" t="s">
        <v>235</v>
      </c>
      <c r="AB998" s="32" t="n">
        <v>2300</v>
      </c>
      <c r="AC998" s="32" t="n">
        <v>2300</v>
      </c>
      <c r="AD998" s="26" t="n">
        <f aca="false">IFERROR(AB998/B998,"")</f>
        <v>4.80167014613779</v>
      </c>
      <c r="AE998" s="26" t="n">
        <f aca="false">IFERROR(AC998/B998,"")</f>
        <v>4.80167014613779</v>
      </c>
      <c r="AF998" s="0" t="s">
        <v>236</v>
      </c>
      <c r="AG998" s="0" t="s">
        <v>236</v>
      </c>
      <c r="AH998" s="0" t="s">
        <v>230</v>
      </c>
      <c r="AI998" s="0" t="s">
        <v>927</v>
      </c>
      <c r="AJ998" s="0" t="s">
        <v>4280</v>
      </c>
      <c r="AK998" s="0" t="s">
        <v>4281</v>
      </c>
      <c r="AL998" s="0" t="s">
        <v>4282</v>
      </c>
      <c r="AM998" s="0" t="s">
        <v>94</v>
      </c>
      <c r="AN998" s="26" t="n">
        <f aca="false">IFERROR(E998*(1+IF(AM998="Apartment",Data_Summary!$C$3,0)),"")</f>
        <v>4.80167014613779</v>
      </c>
      <c r="AO998" s="4" t="n">
        <v>46195</v>
      </c>
    </row>
    <row r="999" customFormat="false" ht="15" hidden="false" customHeight="false" outlineLevel="0" collapsed="false">
      <c r="A999" s="0" t="n">
        <f aca="false">IF(AND(ISNUMBER(B999),B999&gt;0,ISNUMBER(AB999),AB999&gt;0,J999&gt;=Data_Summary!$C$1),1,0)</f>
        <v>1</v>
      </c>
      <c r="B999" s="30" t="n">
        <v>587</v>
      </c>
      <c r="C999" s="5" t="n">
        <f aca="false">IF(ISNUMBER(AB999),AB999,"")</f>
        <v>2600</v>
      </c>
      <c r="D999" s="0" t="n">
        <f aca="false">IF(ISNUMBER(C999),C999-U999*Data_Summary!$C$2,"")</f>
        <v>2450</v>
      </c>
      <c r="E999" s="31" t="n">
        <f aca="false">IFERROR(C999/B999,"")</f>
        <v>4.42930153321976</v>
      </c>
      <c r="F999" s="26" t="n">
        <f aca="false">IFERROR(D999/B999,"")</f>
        <v>4.17376490630324</v>
      </c>
      <c r="G999" s="0" t="str">
        <f aca="false">Q999</f>
        <v>1+1</v>
      </c>
      <c r="H999" s="0" t="str">
        <f aca="false">IFERROR(LEFT(G999,1),"")</f>
        <v>1</v>
      </c>
      <c r="I999" s="0" t="n">
        <f aca="false">IF(LEN(G999)&gt;1,1,0)</f>
        <v>1</v>
      </c>
      <c r="J999" s="4" t="n">
        <v>45878</v>
      </c>
      <c r="K999" s="0" t="s">
        <v>17</v>
      </c>
      <c r="L999" s="0" t="s">
        <v>107</v>
      </c>
      <c r="M999" s="0" t="s">
        <v>226</v>
      </c>
      <c r="N999" s="0" t="s">
        <v>93</v>
      </c>
      <c r="O999" s="0" t="s">
        <v>1350</v>
      </c>
      <c r="Q999" s="0" t="s">
        <v>270</v>
      </c>
      <c r="R999" s="0" t="n">
        <v>1</v>
      </c>
      <c r="S999" s="5" t="n">
        <v>587</v>
      </c>
      <c r="T999" s="0" t="s">
        <v>243</v>
      </c>
      <c r="U999" s="0" t="n">
        <v>1</v>
      </c>
      <c r="V999" s="0" t="s">
        <v>230</v>
      </c>
      <c r="W999" s="0" t="s">
        <v>244</v>
      </c>
      <c r="X999" s="0" t="s">
        <v>232</v>
      </c>
      <c r="Y999" s="0" t="s">
        <v>297</v>
      </c>
      <c r="Z999" s="0" t="s">
        <v>4080</v>
      </c>
      <c r="AA999" s="0" t="s">
        <v>235</v>
      </c>
      <c r="AB999" s="32" t="n">
        <v>2600</v>
      </c>
      <c r="AC999" s="32" t="n">
        <v>2600</v>
      </c>
      <c r="AD999" s="26" t="n">
        <f aca="false">IFERROR(AB999/B999,"")</f>
        <v>4.42930153321976</v>
      </c>
      <c r="AE999" s="26" t="n">
        <f aca="false">IFERROR(AC999/B999,"")</f>
        <v>4.42930153321976</v>
      </c>
      <c r="AF999" s="0" t="s">
        <v>236</v>
      </c>
      <c r="AG999" s="0" t="s">
        <v>236</v>
      </c>
      <c r="AH999" s="0" t="s">
        <v>230</v>
      </c>
      <c r="AI999" s="0" t="s">
        <v>941</v>
      </c>
      <c r="AJ999" s="0" t="s">
        <v>4283</v>
      </c>
      <c r="AK999" s="0" t="s">
        <v>4284</v>
      </c>
      <c r="AL999" s="0" t="s">
        <v>4285</v>
      </c>
      <c r="AM999" s="0" t="s">
        <v>94</v>
      </c>
      <c r="AN999" s="26" t="n">
        <f aca="false">IFERROR(E999*(1+IF(AM999="Apartment",Data_Summary!$C$3,0)),"")</f>
        <v>4.42930153321976</v>
      </c>
      <c r="AO999" s="4" t="n">
        <v>46195</v>
      </c>
    </row>
    <row r="1000" customFormat="false" ht="15" hidden="false" customHeight="false" outlineLevel="0" collapsed="false">
      <c r="A1000" s="0" t="n">
        <f aca="false">IF(AND(ISNUMBER(B1000),B1000&gt;0,ISNUMBER(AB1000),AB1000&gt;0,J1000&gt;=Data_Summary!$C$1),1,0)</f>
        <v>1</v>
      </c>
      <c r="B1000" s="30" t="n">
        <v>914</v>
      </c>
      <c r="C1000" s="5" t="n">
        <f aca="false">IF(ISNUMBER(AB1000),AB1000,"")</f>
        <v>3850</v>
      </c>
      <c r="D1000" s="0" t="n">
        <f aca="false">IF(ISNUMBER(C1000),C1000-U1000*Data_Summary!$C$2,"")</f>
        <v>3700</v>
      </c>
      <c r="E1000" s="31" t="n">
        <f aca="false">IFERROR(C1000/B1000,"")</f>
        <v>4.21225382932166</v>
      </c>
      <c r="F1000" s="26" t="n">
        <f aca="false">IFERROR(D1000/B1000,"")</f>
        <v>4.04814004376368</v>
      </c>
      <c r="G1000" s="0" t="str">
        <f aca="false">Q1000</f>
        <v>2+1</v>
      </c>
      <c r="H1000" s="0" t="str">
        <f aca="false">IFERROR(LEFT(G1000,1),"")</f>
        <v>2</v>
      </c>
      <c r="I1000" s="0" t="n">
        <f aca="false">IF(LEN(G1000)&gt;1,1,0)</f>
        <v>1</v>
      </c>
      <c r="J1000" s="4" t="n">
        <v>45868</v>
      </c>
      <c r="K1000" s="0" t="s">
        <v>17</v>
      </c>
      <c r="L1000" s="0" t="s">
        <v>107</v>
      </c>
      <c r="M1000" s="0" t="s">
        <v>226</v>
      </c>
      <c r="N1000" s="0" t="s">
        <v>93</v>
      </c>
      <c r="O1000" s="0" t="s">
        <v>759</v>
      </c>
      <c r="Q1000" s="0" t="s">
        <v>451</v>
      </c>
      <c r="R1000" s="0" t="n">
        <v>2</v>
      </c>
      <c r="S1000" s="5" t="n">
        <v>914</v>
      </c>
      <c r="T1000" s="0" t="s">
        <v>259</v>
      </c>
      <c r="U1000" s="0" t="n">
        <v>1</v>
      </c>
      <c r="V1000" s="0" t="s">
        <v>230</v>
      </c>
      <c r="W1000" s="0" t="s">
        <v>231</v>
      </c>
      <c r="X1000" s="0" t="s">
        <v>232</v>
      </c>
      <c r="Y1000" s="0" t="s">
        <v>278</v>
      </c>
      <c r="Z1000" s="0" t="s">
        <v>4080</v>
      </c>
      <c r="AA1000" s="0" t="s">
        <v>235</v>
      </c>
      <c r="AB1000" s="32" t="n">
        <v>3850</v>
      </c>
      <c r="AC1000" s="32" t="n">
        <v>3850</v>
      </c>
      <c r="AD1000" s="26" t="n">
        <f aca="false">IFERROR(AB1000/B1000,"")</f>
        <v>4.21225382932166</v>
      </c>
      <c r="AE1000" s="26" t="n">
        <f aca="false">IFERROR(AC1000/B1000,"")</f>
        <v>4.21225382932166</v>
      </c>
      <c r="AF1000" s="0" t="s">
        <v>236</v>
      </c>
      <c r="AG1000" s="0" t="s">
        <v>236</v>
      </c>
      <c r="AH1000" s="0" t="s">
        <v>230</v>
      </c>
      <c r="AI1000" s="0" t="s">
        <v>3633</v>
      </c>
      <c r="AJ1000" s="0" t="s">
        <v>4286</v>
      </c>
      <c r="AK1000" s="0" t="s">
        <v>4287</v>
      </c>
      <c r="AL1000" s="0" t="s">
        <v>4288</v>
      </c>
      <c r="AM1000" s="0" t="s">
        <v>94</v>
      </c>
      <c r="AN1000" s="26" t="n">
        <f aca="false">IFERROR(E1000*(1+IF(AM1000="Apartment",Data_Summary!$C$3,0)),"")</f>
        <v>4.21225382932166</v>
      </c>
      <c r="AO1000" s="4" t="n">
        <v>46195</v>
      </c>
    </row>
    <row r="1001" customFormat="false" ht="15" hidden="false" customHeight="false" outlineLevel="0" collapsed="false">
      <c r="A1001" s="0" t="n">
        <f aca="false">IF(AND(ISNUMBER(B1001),B1001&gt;0,ISNUMBER(AB1001),AB1001&gt;0,J1001&gt;=Data_Summary!$C$1),1,0)</f>
        <v>1</v>
      </c>
      <c r="B1001" s="30" t="n">
        <v>587</v>
      </c>
      <c r="C1001" s="5" t="n">
        <f aca="false">IF(ISNUMBER(AB1001),AB1001,"")</f>
        <v>2350</v>
      </c>
      <c r="D1001" s="0" t="n">
        <f aca="false">IF(ISNUMBER(C1001),C1001-U1001*Data_Summary!$C$2,"")</f>
        <v>2350</v>
      </c>
      <c r="E1001" s="31" t="n">
        <f aca="false">IFERROR(C1001/B1001,"")</f>
        <v>4.00340715502555</v>
      </c>
      <c r="F1001" s="26" t="n">
        <f aca="false">IFERROR(D1001/B1001,"")</f>
        <v>4.00340715502555</v>
      </c>
      <c r="G1001" s="0" t="str">
        <f aca="false">Q1001</f>
        <v>1+1</v>
      </c>
      <c r="H1001" s="0" t="str">
        <f aca="false">IFERROR(LEFT(G1001,1),"")</f>
        <v>1</v>
      </c>
      <c r="I1001" s="0" t="n">
        <f aca="false">IF(LEN(G1001)&gt;1,1,0)</f>
        <v>1</v>
      </c>
      <c r="J1001" s="4" t="n">
        <v>45867</v>
      </c>
      <c r="K1001" s="0" t="s">
        <v>17</v>
      </c>
      <c r="L1001" s="0" t="s">
        <v>107</v>
      </c>
      <c r="M1001" s="0" t="s">
        <v>226</v>
      </c>
      <c r="N1001" s="0" t="s">
        <v>93</v>
      </c>
      <c r="O1001" s="0" t="s">
        <v>1828</v>
      </c>
      <c r="Q1001" s="0" t="s">
        <v>270</v>
      </c>
      <c r="R1001" s="0" t="n">
        <v>1</v>
      </c>
      <c r="S1001" s="5" t="n">
        <v>587</v>
      </c>
      <c r="T1001" s="0" t="s">
        <v>243</v>
      </c>
      <c r="U1001" s="0" t="n">
        <v>0</v>
      </c>
      <c r="V1001" s="0" t="s">
        <v>230</v>
      </c>
      <c r="W1001" s="0" t="s">
        <v>244</v>
      </c>
      <c r="X1001" s="0" t="s">
        <v>232</v>
      </c>
      <c r="Y1001" s="0" t="s">
        <v>272</v>
      </c>
      <c r="Z1001" s="0" t="s">
        <v>4080</v>
      </c>
      <c r="AA1001" s="0" t="s">
        <v>235</v>
      </c>
      <c r="AB1001" s="32" t="n">
        <v>2350</v>
      </c>
      <c r="AC1001" s="32" t="n">
        <v>2350</v>
      </c>
      <c r="AD1001" s="26" t="n">
        <f aca="false">IFERROR(AB1001/B1001,"")</f>
        <v>4.00340715502555</v>
      </c>
      <c r="AE1001" s="26" t="n">
        <f aca="false">IFERROR(AC1001/B1001,"")</f>
        <v>4.00340715502555</v>
      </c>
      <c r="AF1001" s="0" t="s">
        <v>236</v>
      </c>
      <c r="AG1001" s="0" t="s">
        <v>236</v>
      </c>
      <c r="AH1001" s="0" t="s">
        <v>230</v>
      </c>
      <c r="AI1001" s="0" t="s">
        <v>991</v>
      </c>
      <c r="AJ1001" s="0" t="s">
        <v>4289</v>
      </c>
      <c r="AK1001" s="0" t="s">
        <v>4290</v>
      </c>
      <c r="AL1001" s="0" t="s">
        <v>4291</v>
      </c>
      <c r="AM1001" s="0" t="s">
        <v>94</v>
      </c>
      <c r="AN1001" s="26" t="n">
        <f aca="false">IFERROR(E1001*(1+IF(AM1001="Apartment",Data_Summary!$C$3,0)),"")</f>
        <v>4.00340715502555</v>
      </c>
      <c r="AO1001" s="4" t="n">
        <v>46195</v>
      </c>
    </row>
    <row r="1002" customFormat="false" ht="15" hidden="false" customHeight="false" outlineLevel="0" collapsed="false">
      <c r="A1002" s="0" t="n">
        <f aca="false">IF(AND(ISNUMBER(B1002),B1002&gt;0,ISNUMBER(AB1002),AB1002&gt;0,J1002&gt;=Data_Summary!$C$1),1,0)</f>
        <v>1</v>
      </c>
      <c r="B1002" s="30" t="n">
        <v>479</v>
      </c>
      <c r="C1002" s="5" t="n">
        <f aca="false">IF(ISNUMBER(AB1002),AB1002,"")</f>
        <v>2150</v>
      </c>
      <c r="D1002" s="0" t="n">
        <f aca="false">IF(ISNUMBER(C1002),C1002-U1002*Data_Summary!$C$2,"")</f>
        <v>2150</v>
      </c>
      <c r="E1002" s="31" t="n">
        <f aca="false">IFERROR(C1002/B1002,"")</f>
        <v>4.48851774530271</v>
      </c>
      <c r="F1002" s="26" t="n">
        <f aca="false">IFERROR(D1002/B1002,"")</f>
        <v>4.48851774530271</v>
      </c>
      <c r="G1002" s="0" t="str">
        <f aca="false">Q1002</f>
        <v>1</v>
      </c>
      <c r="H1002" s="0" t="str">
        <f aca="false">IFERROR(LEFT(G1002,1),"")</f>
        <v>1</v>
      </c>
      <c r="I1002" s="0" t="n">
        <f aca="false">IF(LEN(G1002)&gt;1,1,0)</f>
        <v>0</v>
      </c>
      <c r="J1002" s="4" t="n">
        <v>45861</v>
      </c>
      <c r="K1002" s="0" t="s">
        <v>17</v>
      </c>
      <c r="L1002" s="0" t="s">
        <v>107</v>
      </c>
      <c r="M1002" s="0" t="s">
        <v>226</v>
      </c>
      <c r="N1002" s="0" t="s">
        <v>93</v>
      </c>
      <c r="O1002" s="0" t="s">
        <v>1513</v>
      </c>
      <c r="Q1002" s="0" t="s">
        <v>242</v>
      </c>
      <c r="R1002" s="0" t="n">
        <v>1</v>
      </c>
      <c r="S1002" s="5" t="n">
        <v>479</v>
      </c>
      <c r="T1002" s="0" t="s">
        <v>303</v>
      </c>
      <c r="U1002" s="0" t="n">
        <v>0</v>
      </c>
      <c r="V1002" s="0" t="s">
        <v>230</v>
      </c>
      <c r="W1002" s="0" t="s">
        <v>244</v>
      </c>
      <c r="Y1002" s="0" t="s">
        <v>272</v>
      </c>
      <c r="Z1002" s="0" t="s">
        <v>4080</v>
      </c>
      <c r="AA1002" s="0" t="s">
        <v>235</v>
      </c>
      <c r="AB1002" s="32" t="n">
        <v>2150</v>
      </c>
      <c r="AC1002" s="32" t="n">
        <v>2100</v>
      </c>
      <c r="AD1002" s="26" t="n">
        <f aca="false">IFERROR(AB1002/B1002,"")</f>
        <v>4.48851774530271</v>
      </c>
      <c r="AE1002" s="26" t="n">
        <f aca="false">IFERROR(AC1002/B1002,"")</f>
        <v>4.38413361169102</v>
      </c>
      <c r="AF1002" s="0" t="s">
        <v>236</v>
      </c>
      <c r="AG1002" s="0" t="s">
        <v>236</v>
      </c>
      <c r="AH1002" s="0" t="s">
        <v>230</v>
      </c>
      <c r="AI1002" s="0" t="s">
        <v>2098</v>
      </c>
      <c r="AJ1002" s="0" t="s">
        <v>4292</v>
      </c>
      <c r="AK1002" s="0" t="s">
        <v>4293</v>
      </c>
      <c r="AL1002" s="0" t="s">
        <v>4294</v>
      </c>
      <c r="AM1002" s="0" t="s">
        <v>94</v>
      </c>
      <c r="AN1002" s="26" t="n">
        <f aca="false">IFERROR(E1002*(1+IF(AM1002="Apartment",Data_Summary!$C$3,0)),"")</f>
        <v>4.48851774530271</v>
      </c>
      <c r="AO1002" s="4" t="n">
        <v>46195</v>
      </c>
    </row>
    <row r="1003" customFormat="false" ht="15" hidden="false" customHeight="false" outlineLevel="0" collapsed="false">
      <c r="A1003" s="0" t="n">
        <f aca="false">IF(AND(ISNUMBER(B1003),B1003&gt;0,ISNUMBER(AB1003),AB1003&gt;0,J1003&gt;=Data_Summary!$C$1),1,0)</f>
        <v>1</v>
      </c>
      <c r="B1003" s="33" t="n">
        <v>587</v>
      </c>
      <c r="C1003" s="5" t="n">
        <f aca="false">IF(ISNUMBER(AB1003),AB1003,"")</f>
        <v>2500</v>
      </c>
      <c r="D1003" s="0" t="n">
        <f aca="false">IF(ISNUMBER(C1003),C1003-U1003*Data_Summary!$C$2,"")</f>
        <v>2350</v>
      </c>
      <c r="E1003" s="34" t="n">
        <f aca="false">IFERROR(C1003/B1003,"")</f>
        <v>4.25894378194208</v>
      </c>
      <c r="F1003" s="26" t="n">
        <f aca="false">IFERROR(D1003/B1003,"")</f>
        <v>4.00340715502555</v>
      </c>
      <c r="G1003" s="0" t="str">
        <f aca="false">Q1003</f>
        <v>1+1</v>
      </c>
      <c r="H1003" s="0" t="str">
        <f aca="false">IFERROR(LEFT(G1003,1),"")</f>
        <v>1</v>
      </c>
      <c r="I1003" s="0" t="n">
        <f aca="false">IF(LEN(G1003)&gt;1,1,0)</f>
        <v>1</v>
      </c>
      <c r="J1003" s="4" t="n">
        <v>45857</v>
      </c>
      <c r="K1003" s="0" t="s">
        <v>17</v>
      </c>
      <c r="L1003" s="0" t="s">
        <v>107</v>
      </c>
      <c r="M1003" s="0" t="s">
        <v>226</v>
      </c>
      <c r="N1003" s="0" t="s">
        <v>93</v>
      </c>
      <c r="O1003" s="0" t="s">
        <v>1509</v>
      </c>
      <c r="Q1003" s="0" t="s">
        <v>270</v>
      </c>
      <c r="R1003" s="0" t="n">
        <v>1</v>
      </c>
      <c r="S1003" s="5" t="n">
        <v>587</v>
      </c>
      <c r="T1003" s="0" t="s">
        <v>271</v>
      </c>
      <c r="U1003" s="0" t="n">
        <v>1</v>
      </c>
      <c r="V1003" s="0" t="s">
        <v>230</v>
      </c>
      <c r="W1003" s="0" t="s">
        <v>244</v>
      </c>
      <c r="X1003" s="0" t="s">
        <v>232</v>
      </c>
      <c r="Y1003" s="0" t="s">
        <v>245</v>
      </c>
      <c r="Z1003" s="0" t="s">
        <v>4080</v>
      </c>
      <c r="AA1003" s="0" t="s">
        <v>235</v>
      </c>
      <c r="AB1003" s="32" t="n">
        <v>2500</v>
      </c>
      <c r="AC1003" s="32" t="n">
        <v>2500</v>
      </c>
      <c r="AD1003" s="26" t="n">
        <f aca="false">IFERROR(AB1003/B1003,"")</f>
        <v>4.25894378194208</v>
      </c>
      <c r="AE1003" s="26" t="n">
        <f aca="false">IFERROR(AC1003/B1003,"")</f>
        <v>4.25894378194208</v>
      </c>
      <c r="AF1003" s="0" t="s">
        <v>421</v>
      </c>
      <c r="AG1003" s="0" t="s">
        <v>236</v>
      </c>
      <c r="AH1003" s="0" t="s">
        <v>230</v>
      </c>
      <c r="AI1003" s="0" t="s">
        <v>1044</v>
      </c>
      <c r="AJ1003" s="0" t="s">
        <v>4295</v>
      </c>
      <c r="AK1003" s="0" t="s">
        <v>4296</v>
      </c>
      <c r="AL1003" s="0" t="s">
        <v>4297</v>
      </c>
      <c r="AM1003" s="0" t="s">
        <v>94</v>
      </c>
      <c r="AN1003" s="26" t="n">
        <f aca="false">IFERROR(E1003*(1+IF(AM1003="Apartment",Data_Summary!$C$3,0)),"")</f>
        <v>4.25894378194208</v>
      </c>
      <c r="AO1003" s="4" t="n">
        <v>46195</v>
      </c>
    </row>
    <row r="1004" customFormat="false" ht="15" hidden="false" customHeight="false" outlineLevel="0" collapsed="false">
      <c r="A1004" s="0" t="n">
        <f aca="false">IF(AND(ISNUMBER(B1004),B1004&gt;0,ISNUMBER(AB1004),AB1004&gt;0,J1004&gt;=Data_Summary!$C$1),1,0)</f>
        <v>1</v>
      </c>
      <c r="B1004" s="30" t="n">
        <v>780</v>
      </c>
      <c r="C1004" s="5" t="n">
        <f aca="false">IF(ISNUMBER(AB1004),AB1004,"")</f>
        <v>3200</v>
      </c>
      <c r="D1004" s="0" t="n">
        <f aca="false">IF(ISNUMBER(C1004),C1004-U1004*Data_Summary!$C$2,"")</f>
        <v>3050</v>
      </c>
      <c r="E1004" s="31" t="n">
        <f aca="false">IFERROR(C1004/B1004,"")</f>
        <v>4.1025641025641</v>
      </c>
      <c r="F1004" s="26" t="n">
        <f aca="false">IFERROR(D1004/B1004,"")</f>
        <v>3.91025641025641</v>
      </c>
      <c r="G1004" s="0" t="str">
        <f aca="false">Q1004</f>
        <v>2</v>
      </c>
      <c r="H1004" s="0" t="str">
        <f aca="false">IFERROR(LEFT(G1004,1),"")</f>
        <v>2</v>
      </c>
      <c r="I1004" s="0" t="n">
        <f aca="false">IF(LEN(G1004)&gt;1,1,0)</f>
        <v>0</v>
      </c>
      <c r="J1004" s="4" t="n">
        <v>45852</v>
      </c>
      <c r="K1004" s="0" t="s">
        <v>17</v>
      </c>
      <c r="L1004" s="0" t="s">
        <v>107</v>
      </c>
      <c r="M1004" s="0" t="s">
        <v>226</v>
      </c>
      <c r="N1004" s="0" t="s">
        <v>93</v>
      </c>
      <c r="O1004" s="0" t="s">
        <v>1179</v>
      </c>
      <c r="Q1004" s="0" t="s">
        <v>251</v>
      </c>
      <c r="R1004" s="0" t="n">
        <v>2</v>
      </c>
      <c r="S1004" s="5" t="n">
        <v>780</v>
      </c>
      <c r="T1004" s="0" t="s">
        <v>252</v>
      </c>
      <c r="U1004" s="0" t="n">
        <v>1</v>
      </c>
      <c r="V1004" s="0" t="s">
        <v>230</v>
      </c>
      <c r="X1004" s="0" t="s">
        <v>232</v>
      </c>
      <c r="Y1004" s="0" t="s">
        <v>308</v>
      </c>
      <c r="Z1004" s="0" t="s">
        <v>4080</v>
      </c>
      <c r="AA1004" s="0" t="s">
        <v>235</v>
      </c>
      <c r="AB1004" s="32" t="n">
        <v>3200</v>
      </c>
      <c r="AC1004" s="32" t="n">
        <v>3250</v>
      </c>
      <c r="AD1004" s="26" t="n">
        <f aca="false">IFERROR(AB1004/B1004,"")</f>
        <v>4.1025641025641</v>
      </c>
      <c r="AE1004" s="26" t="n">
        <f aca="false">IFERROR(AC1004/B1004,"")</f>
        <v>4.16666666666667</v>
      </c>
      <c r="AF1004" s="0" t="s">
        <v>236</v>
      </c>
      <c r="AG1004" s="0" t="s">
        <v>236</v>
      </c>
      <c r="AH1004" s="0" t="s">
        <v>230</v>
      </c>
      <c r="AI1004" s="0" t="s">
        <v>1096</v>
      </c>
      <c r="AJ1004" s="0" t="s">
        <v>4298</v>
      </c>
      <c r="AK1004" s="0" t="s">
        <v>4299</v>
      </c>
      <c r="AL1004" s="0" t="s">
        <v>4300</v>
      </c>
      <c r="AM1004" s="0" t="s">
        <v>94</v>
      </c>
      <c r="AN1004" s="26" t="n">
        <f aca="false">IFERROR(E1004*(1+IF(AM1004="Apartment",Data_Summary!$C$3,0)),"")</f>
        <v>4.1025641025641</v>
      </c>
      <c r="AO1004" s="4" t="n">
        <v>46195</v>
      </c>
    </row>
    <row r="1005" customFormat="false" ht="15" hidden="false" customHeight="false" outlineLevel="0" collapsed="false">
      <c r="A1005" s="0" t="n">
        <f aca="false">IF(AND(ISNUMBER(B1005),B1005&gt;0,ISNUMBER(AB1005),AB1005&gt;0,J1005&gt;=Data_Summary!$C$1),1,0)</f>
        <v>1</v>
      </c>
      <c r="B1005" s="30" t="n">
        <v>914</v>
      </c>
      <c r="C1005" s="5" t="n">
        <f aca="false">IF(ISNUMBER(AB1005),AB1005,"")</f>
        <v>3650</v>
      </c>
      <c r="D1005" s="0" t="n">
        <f aca="false">IF(ISNUMBER(C1005),C1005-U1005*Data_Summary!$C$2,"")</f>
        <v>3500</v>
      </c>
      <c r="E1005" s="31" t="n">
        <f aca="false">IFERROR(C1005/B1005,"")</f>
        <v>3.99343544857768</v>
      </c>
      <c r="F1005" s="26" t="n">
        <f aca="false">IFERROR(D1005/B1005,"")</f>
        <v>3.82932166301969</v>
      </c>
      <c r="G1005" s="0" t="str">
        <f aca="false">Q1005</f>
        <v>2</v>
      </c>
      <c r="H1005" s="0" t="str">
        <f aca="false">IFERROR(LEFT(G1005,1),"")</f>
        <v>2</v>
      </c>
      <c r="I1005" s="0" t="n">
        <f aca="false">IF(LEN(G1005)&gt;1,1,0)</f>
        <v>0</v>
      </c>
      <c r="J1005" s="4" t="n">
        <v>45831</v>
      </c>
      <c r="K1005" s="0" t="s">
        <v>17</v>
      </c>
      <c r="L1005" s="0" t="s">
        <v>107</v>
      </c>
      <c r="M1005" s="0" t="s">
        <v>226</v>
      </c>
      <c r="N1005" s="0" t="s">
        <v>93</v>
      </c>
      <c r="O1005" s="0" t="s">
        <v>981</v>
      </c>
      <c r="Q1005" s="0" t="s">
        <v>251</v>
      </c>
      <c r="R1005" s="0" t="n">
        <v>2</v>
      </c>
      <c r="S1005" s="5" t="n">
        <v>914</v>
      </c>
      <c r="T1005" s="0" t="s">
        <v>259</v>
      </c>
      <c r="U1005" s="0" t="n">
        <v>1</v>
      </c>
      <c r="V1005" s="0" t="s">
        <v>230</v>
      </c>
      <c r="W1005" s="0" t="s">
        <v>231</v>
      </c>
      <c r="X1005" s="0" t="s">
        <v>232</v>
      </c>
      <c r="Y1005" s="0" t="s">
        <v>278</v>
      </c>
      <c r="Z1005" s="0" t="s">
        <v>4080</v>
      </c>
      <c r="AA1005" s="0" t="s">
        <v>235</v>
      </c>
      <c r="AB1005" s="32" t="n">
        <v>3650</v>
      </c>
      <c r="AC1005" s="32" t="n">
        <v>3650</v>
      </c>
      <c r="AD1005" s="26" t="n">
        <f aca="false">IFERROR(AB1005/B1005,"")</f>
        <v>3.99343544857768</v>
      </c>
      <c r="AE1005" s="26" t="n">
        <f aca="false">IFERROR(AC1005/B1005,"")</f>
        <v>3.99343544857768</v>
      </c>
      <c r="AF1005" s="0" t="s">
        <v>236</v>
      </c>
      <c r="AG1005" s="0" t="s">
        <v>236</v>
      </c>
      <c r="AH1005" s="0" t="s">
        <v>236</v>
      </c>
      <c r="AI1005" s="0" t="s">
        <v>1281</v>
      </c>
      <c r="AJ1005" s="0" t="s">
        <v>4301</v>
      </c>
      <c r="AK1005" s="0" t="s">
        <v>4302</v>
      </c>
      <c r="AL1005" s="0" t="s">
        <v>4303</v>
      </c>
      <c r="AM1005" s="0" t="s">
        <v>94</v>
      </c>
      <c r="AN1005" s="26" t="n">
        <f aca="false">IFERROR(E1005*(1+IF(AM1005="Apartment",Data_Summary!$C$3,0)),"")</f>
        <v>3.99343544857768</v>
      </c>
      <c r="AO1005" s="4" t="n">
        <v>46195</v>
      </c>
    </row>
    <row r="1006" customFormat="false" ht="15" hidden="false" customHeight="false" outlineLevel="0" collapsed="false">
      <c r="A1006" s="0" t="n">
        <f aca="false">IF(AND(ISNUMBER(B1006),B1006&gt;0,ISNUMBER(AB1006),AB1006&gt;0,J1006&gt;=Data_Summary!$C$1),1,0)</f>
        <v>1</v>
      </c>
      <c r="B1006" s="30" t="n">
        <v>630</v>
      </c>
      <c r="C1006" s="5" t="n">
        <f aca="false">IF(ISNUMBER(AB1006),AB1006,"")</f>
        <v>2575</v>
      </c>
      <c r="D1006" s="0" t="n">
        <f aca="false">IF(ISNUMBER(C1006),C1006-U1006*Data_Summary!$C$2,"")</f>
        <v>2425</v>
      </c>
      <c r="E1006" s="31" t="n">
        <f aca="false">IFERROR(C1006/B1006,"")</f>
        <v>4.08730158730159</v>
      </c>
      <c r="F1006" s="26" t="n">
        <f aca="false">IFERROR(D1006/B1006,"")</f>
        <v>3.84920634920635</v>
      </c>
      <c r="G1006" s="0" t="str">
        <f aca="false">Q1006</f>
        <v>1</v>
      </c>
      <c r="H1006" s="0" t="str">
        <f aca="false">IFERROR(LEFT(G1006,1),"")</f>
        <v>1</v>
      </c>
      <c r="I1006" s="0" t="n">
        <f aca="false">IF(LEN(G1006)&gt;1,1,0)</f>
        <v>0</v>
      </c>
      <c r="J1006" s="4" t="n">
        <v>45816</v>
      </c>
      <c r="K1006" s="0" t="s">
        <v>17</v>
      </c>
      <c r="L1006" s="0" t="s">
        <v>107</v>
      </c>
      <c r="M1006" s="0" t="s">
        <v>226</v>
      </c>
      <c r="N1006" s="0" t="s">
        <v>93</v>
      </c>
      <c r="O1006" s="0" t="s">
        <v>4304</v>
      </c>
      <c r="Q1006" s="0" t="s">
        <v>242</v>
      </c>
      <c r="R1006" s="0" t="n">
        <v>1</v>
      </c>
      <c r="S1006" s="5" t="n">
        <v>630</v>
      </c>
      <c r="T1006" s="0" t="s">
        <v>271</v>
      </c>
      <c r="U1006" s="0" t="n">
        <v>1</v>
      </c>
      <c r="V1006" s="0" t="s">
        <v>230</v>
      </c>
      <c r="W1006" s="0" t="s">
        <v>231</v>
      </c>
      <c r="X1006" s="0" t="s">
        <v>232</v>
      </c>
      <c r="Y1006" s="0" t="s">
        <v>245</v>
      </c>
      <c r="Z1006" s="0" t="s">
        <v>4080</v>
      </c>
      <c r="AA1006" s="0" t="s">
        <v>235</v>
      </c>
      <c r="AB1006" s="32" t="n">
        <v>2575</v>
      </c>
      <c r="AC1006" s="32" t="n">
        <v>2575</v>
      </c>
      <c r="AD1006" s="26" t="n">
        <f aca="false">IFERROR(AB1006/B1006,"")</f>
        <v>4.08730158730159</v>
      </c>
      <c r="AE1006" s="26" t="n">
        <f aca="false">IFERROR(AC1006/B1006,"")</f>
        <v>4.08730158730159</v>
      </c>
      <c r="AF1006" s="0" t="s">
        <v>236</v>
      </c>
      <c r="AG1006" s="0" t="s">
        <v>236</v>
      </c>
      <c r="AH1006" s="0" t="s">
        <v>230</v>
      </c>
      <c r="AI1006" s="0" t="s">
        <v>4305</v>
      </c>
      <c r="AJ1006" s="0" t="s">
        <v>4306</v>
      </c>
      <c r="AK1006" s="0" t="s">
        <v>4307</v>
      </c>
      <c r="AL1006" s="0" t="s">
        <v>4308</v>
      </c>
      <c r="AM1006" s="0" t="s">
        <v>94</v>
      </c>
      <c r="AN1006" s="26" t="n">
        <f aca="false">IFERROR(E1006*(1+IF(AM1006="Apartment",Data_Summary!$C$3,0)),"")</f>
        <v>4.08730158730159</v>
      </c>
      <c r="AO1006" s="4" t="n">
        <v>46195</v>
      </c>
    </row>
    <row r="1007" customFormat="false" ht="15" hidden="false" customHeight="false" outlineLevel="0" collapsed="false">
      <c r="A1007" s="0" t="n">
        <f aca="false">IF(AND(ISNUMBER(B1007),B1007&gt;0,ISNUMBER(AB1007),AB1007&gt;0,J1007&gt;=Data_Summary!$C$1),1,0)</f>
        <v>1</v>
      </c>
      <c r="B1007" s="30" t="n">
        <v>911</v>
      </c>
      <c r="C1007" s="5" t="n">
        <f aca="false">IF(ISNUMBER(AB1007),AB1007,"")</f>
        <v>3600</v>
      </c>
      <c r="D1007" s="0" t="n">
        <f aca="false">IF(ISNUMBER(C1007),C1007-U1007*Data_Summary!$C$2,"")</f>
        <v>3450</v>
      </c>
      <c r="E1007" s="31" t="n">
        <f aca="false">IFERROR(C1007/B1007,"")</f>
        <v>3.95170142700329</v>
      </c>
      <c r="F1007" s="26" t="n">
        <f aca="false">IFERROR(D1007/B1007,"")</f>
        <v>3.78704720087816</v>
      </c>
      <c r="G1007" s="0" t="str">
        <f aca="false">Q1007</f>
        <v>2+1</v>
      </c>
      <c r="H1007" s="0" t="str">
        <f aca="false">IFERROR(LEFT(G1007,1),"")</f>
        <v>2</v>
      </c>
      <c r="I1007" s="0" t="n">
        <f aca="false">IF(LEN(G1007)&gt;1,1,0)</f>
        <v>1</v>
      </c>
      <c r="J1007" s="4" t="n">
        <v>45804</v>
      </c>
      <c r="K1007" s="0" t="s">
        <v>17</v>
      </c>
      <c r="L1007" s="0" t="s">
        <v>107</v>
      </c>
      <c r="M1007" s="0" t="s">
        <v>226</v>
      </c>
      <c r="N1007" s="0" t="s">
        <v>93</v>
      </c>
      <c r="O1007" s="0" t="s">
        <v>4309</v>
      </c>
      <c r="Q1007" s="0" t="s">
        <v>451</v>
      </c>
      <c r="R1007" s="0" t="n">
        <v>2</v>
      </c>
      <c r="S1007" s="5" t="n">
        <v>911</v>
      </c>
      <c r="T1007" s="0" t="s">
        <v>259</v>
      </c>
      <c r="U1007" s="0" t="n">
        <v>1</v>
      </c>
      <c r="V1007" s="0" t="s">
        <v>230</v>
      </c>
      <c r="W1007" s="0" t="s">
        <v>231</v>
      </c>
      <c r="X1007" s="0" t="s">
        <v>232</v>
      </c>
      <c r="Y1007" s="0" t="s">
        <v>278</v>
      </c>
      <c r="Z1007" s="0" t="s">
        <v>4080</v>
      </c>
      <c r="AA1007" s="0" t="s">
        <v>235</v>
      </c>
      <c r="AB1007" s="32" t="n">
        <v>3600</v>
      </c>
      <c r="AC1007" s="32" t="n">
        <v>3500</v>
      </c>
      <c r="AD1007" s="26" t="n">
        <f aca="false">IFERROR(AB1007/B1007,"")</f>
        <v>3.95170142700329</v>
      </c>
      <c r="AE1007" s="26" t="n">
        <f aca="false">IFERROR(AC1007/B1007,"")</f>
        <v>3.84193194291987</v>
      </c>
      <c r="AF1007" s="0" t="s">
        <v>236</v>
      </c>
      <c r="AG1007" s="0" t="s">
        <v>236</v>
      </c>
      <c r="AH1007" s="0" t="s">
        <v>230</v>
      </c>
      <c r="AI1007" s="0" t="s">
        <v>4310</v>
      </c>
      <c r="AJ1007" s="0" t="s">
        <v>4311</v>
      </c>
      <c r="AK1007" s="0" t="s">
        <v>4312</v>
      </c>
      <c r="AL1007" s="0" t="s">
        <v>4313</v>
      </c>
      <c r="AM1007" s="0" t="s">
        <v>94</v>
      </c>
      <c r="AN1007" s="26" t="n">
        <f aca="false">IFERROR(E1007*(1+IF(AM1007="Apartment",Data_Summary!$C$3,0)),"")</f>
        <v>3.95170142700329</v>
      </c>
      <c r="AO1007" s="4" t="n">
        <v>46195</v>
      </c>
    </row>
    <row r="1008" customFormat="false" ht="15" hidden="false" customHeight="false" outlineLevel="0" collapsed="false">
      <c r="A1008" s="0" t="n">
        <f aca="false">IF(AND(ISNUMBER(B1008),B1008&gt;0,ISNUMBER(AB1008),AB1008&gt;0,J1008&gt;=Data_Summary!$C$1),1,0)</f>
        <v>1</v>
      </c>
      <c r="B1008" s="30" t="n">
        <v>479</v>
      </c>
      <c r="C1008" s="5" t="n">
        <f aca="false">IF(ISNUMBER(AB1008),AB1008,"")</f>
        <v>2125</v>
      </c>
      <c r="D1008" s="0" t="n">
        <f aca="false">IF(ISNUMBER(C1008),C1008-U1008*Data_Summary!$C$2,"")</f>
        <v>2125</v>
      </c>
      <c r="E1008" s="31" t="n">
        <f aca="false">IFERROR(C1008/B1008,"")</f>
        <v>4.43632567849687</v>
      </c>
      <c r="F1008" s="26" t="n">
        <f aca="false">IFERROR(D1008/B1008,"")</f>
        <v>4.43632567849687</v>
      </c>
      <c r="G1008" s="0" t="str">
        <f aca="false">Q1008</f>
        <v>1</v>
      </c>
      <c r="H1008" s="0" t="str">
        <f aca="false">IFERROR(LEFT(G1008,1),"")</f>
        <v>1</v>
      </c>
      <c r="I1008" s="0" t="n">
        <f aca="false">IF(LEN(G1008)&gt;1,1,0)</f>
        <v>0</v>
      </c>
      <c r="J1008" s="4" t="n">
        <v>45803</v>
      </c>
      <c r="K1008" s="0" t="s">
        <v>17</v>
      </c>
      <c r="L1008" s="0" t="s">
        <v>107</v>
      </c>
      <c r="M1008" s="0" t="s">
        <v>226</v>
      </c>
      <c r="N1008" s="0" t="s">
        <v>93</v>
      </c>
      <c r="O1008" s="0" t="s">
        <v>968</v>
      </c>
      <c r="Q1008" s="0" t="s">
        <v>242</v>
      </c>
      <c r="R1008" s="0" t="n">
        <v>1</v>
      </c>
      <c r="S1008" s="5" t="n">
        <v>479</v>
      </c>
      <c r="T1008" s="0" t="s">
        <v>303</v>
      </c>
      <c r="U1008" s="0" t="n">
        <v>0</v>
      </c>
      <c r="V1008" s="0" t="s">
        <v>230</v>
      </c>
      <c r="W1008" s="0" t="s">
        <v>244</v>
      </c>
      <c r="Y1008" s="0" t="s">
        <v>272</v>
      </c>
      <c r="Z1008" s="0" t="s">
        <v>4080</v>
      </c>
      <c r="AA1008" s="0" t="s">
        <v>235</v>
      </c>
      <c r="AB1008" s="32" t="n">
        <v>2125</v>
      </c>
      <c r="AC1008" s="32" t="n">
        <v>2100</v>
      </c>
      <c r="AD1008" s="26" t="n">
        <f aca="false">IFERROR(AB1008/B1008,"")</f>
        <v>4.43632567849687</v>
      </c>
      <c r="AE1008" s="26" t="n">
        <f aca="false">IFERROR(AC1008/B1008,"")</f>
        <v>4.38413361169102</v>
      </c>
      <c r="AF1008" s="0" t="s">
        <v>236</v>
      </c>
      <c r="AG1008" s="0" t="s">
        <v>236</v>
      </c>
      <c r="AH1008" s="0" t="s">
        <v>230</v>
      </c>
      <c r="AI1008" s="0" t="s">
        <v>1505</v>
      </c>
      <c r="AJ1008" s="0" t="s">
        <v>4314</v>
      </c>
      <c r="AK1008" s="0" t="s">
        <v>4315</v>
      </c>
      <c r="AL1008" s="0" t="s">
        <v>4316</v>
      </c>
      <c r="AM1008" s="0" t="s">
        <v>94</v>
      </c>
      <c r="AN1008" s="26" t="n">
        <f aca="false">IFERROR(E1008*(1+IF(AM1008="Apartment",Data_Summary!$C$3,0)),"")</f>
        <v>4.43632567849687</v>
      </c>
      <c r="AO1008" s="4" t="n">
        <v>46195</v>
      </c>
    </row>
    <row r="1009" customFormat="false" ht="15" hidden="false" customHeight="false" outlineLevel="0" collapsed="false">
      <c r="A1009" s="0" t="n">
        <f aca="false">IF(AND(ISNUMBER(B1009),B1009&gt;0,ISNUMBER(AB1009),AB1009&gt;0,J1009&gt;=Data_Summary!$C$1),1,0)</f>
        <v>1</v>
      </c>
      <c r="B1009" s="30" t="n">
        <v>479</v>
      </c>
      <c r="C1009" s="5" t="n">
        <f aca="false">IF(ISNUMBER(AB1009),AB1009,"")</f>
        <v>2150</v>
      </c>
      <c r="D1009" s="0" t="n">
        <f aca="false">IF(ISNUMBER(C1009),C1009-U1009*Data_Summary!$C$2,"")</f>
        <v>2150</v>
      </c>
      <c r="E1009" s="31" t="n">
        <f aca="false">IFERROR(C1009/B1009,"")</f>
        <v>4.48851774530271</v>
      </c>
      <c r="F1009" s="26" t="n">
        <f aca="false">IFERROR(D1009/B1009,"")</f>
        <v>4.48851774530271</v>
      </c>
      <c r="G1009" s="0" t="str">
        <f aca="false">Q1009</f>
        <v>1</v>
      </c>
      <c r="H1009" s="0" t="str">
        <f aca="false">IFERROR(LEFT(G1009,1),"")</f>
        <v>1</v>
      </c>
      <c r="I1009" s="0" t="n">
        <f aca="false">IF(LEN(G1009)&gt;1,1,0)</f>
        <v>0</v>
      </c>
      <c r="J1009" s="4" t="n">
        <v>45800</v>
      </c>
      <c r="K1009" s="0" t="s">
        <v>17</v>
      </c>
      <c r="L1009" s="0" t="s">
        <v>107</v>
      </c>
      <c r="M1009" s="0" t="s">
        <v>226</v>
      </c>
      <c r="N1009" s="0" t="s">
        <v>93</v>
      </c>
      <c r="O1009" s="0" t="s">
        <v>4317</v>
      </c>
      <c r="Q1009" s="0" t="s">
        <v>242</v>
      </c>
      <c r="R1009" s="0" t="n">
        <v>1</v>
      </c>
      <c r="S1009" s="5" t="n">
        <v>479</v>
      </c>
      <c r="T1009" s="0" t="s">
        <v>303</v>
      </c>
      <c r="U1009" s="0" t="n">
        <v>0</v>
      </c>
      <c r="V1009" s="0" t="s">
        <v>230</v>
      </c>
      <c r="W1009" s="0" t="s">
        <v>244</v>
      </c>
      <c r="Y1009" s="0" t="s">
        <v>245</v>
      </c>
      <c r="Z1009" s="0" t="s">
        <v>4080</v>
      </c>
      <c r="AA1009" s="0" t="s">
        <v>235</v>
      </c>
      <c r="AB1009" s="32" t="n">
        <v>2150</v>
      </c>
      <c r="AC1009" s="32" t="n">
        <v>2300</v>
      </c>
      <c r="AD1009" s="26" t="n">
        <f aca="false">IFERROR(AB1009/B1009,"")</f>
        <v>4.48851774530271</v>
      </c>
      <c r="AE1009" s="26" t="n">
        <f aca="false">IFERROR(AC1009/B1009,"")</f>
        <v>4.80167014613779</v>
      </c>
      <c r="AF1009" s="0" t="s">
        <v>236</v>
      </c>
      <c r="AG1009" s="0" t="s">
        <v>236</v>
      </c>
      <c r="AH1009" s="0" t="s">
        <v>236</v>
      </c>
      <c r="AI1009" s="0" t="s">
        <v>1531</v>
      </c>
      <c r="AJ1009" s="0" t="s">
        <v>4318</v>
      </c>
      <c r="AK1009" s="0" t="s">
        <v>4319</v>
      </c>
      <c r="AL1009" s="0" t="s">
        <v>4320</v>
      </c>
      <c r="AM1009" s="0" t="s">
        <v>94</v>
      </c>
      <c r="AN1009" s="26" t="n">
        <f aca="false">IFERROR(E1009*(1+IF(AM1009="Apartment",Data_Summary!$C$3,0)),"")</f>
        <v>4.48851774530271</v>
      </c>
      <c r="AO1009" s="4" t="n">
        <v>46195</v>
      </c>
    </row>
    <row r="1010" customFormat="false" ht="15" hidden="false" customHeight="false" outlineLevel="0" collapsed="false">
      <c r="A1010" s="0" t="n">
        <f aca="false">IF(AND(ISNUMBER(B1010),B1010&gt;0,ISNUMBER(AB1010),AB1010&gt;0,J1010&gt;=Data_Summary!$C$1),1,0)</f>
        <v>1</v>
      </c>
      <c r="B1010" s="30" t="n">
        <v>595</v>
      </c>
      <c r="C1010" s="5" t="n">
        <f aca="false">IF(ISNUMBER(AB1010),AB1010,"")</f>
        <v>2400</v>
      </c>
      <c r="D1010" s="0" t="n">
        <f aca="false">IF(ISNUMBER(C1010),C1010-U1010*Data_Summary!$C$2,"")</f>
        <v>2250</v>
      </c>
      <c r="E1010" s="31" t="n">
        <f aca="false">IFERROR(C1010/B1010,"")</f>
        <v>4.03361344537815</v>
      </c>
      <c r="F1010" s="26" t="n">
        <f aca="false">IFERROR(D1010/B1010,"")</f>
        <v>3.78151260504202</v>
      </c>
      <c r="G1010" s="0" t="str">
        <f aca="false">Q1010</f>
        <v>1</v>
      </c>
      <c r="H1010" s="0" t="str">
        <f aca="false">IFERROR(LEFT(G1010,1),"")</f>
        <v>1</v>
      </c>
      <c r="I1010" s="0" t="n">
        <f aca="false">IF(LEN(G1010)&gt;1,1,0)</f>
        <v>0</v>
      </c>
      <c r="J1010" s="4" t="n">
        <v>45797</v>
      </c>
      <c r="K1010" s="0" t="s">
        <v>17</v>
      </c>
      <c r="L1010" s="0" t="s">
        <v>107</v>
      </c>
      <c r="M1010" s="0" t="s">
        <v>226</v>
      </c>
      <c r="N1010" s="0" t="s">
        <v>93</v>
      </c>
      <c r="O1010" s="0" t="s">
        <v>1656</v>
      </c>
      <c r="Q1010" s="0" t="s">
        <v>242</v>
      </c>
      <c r="R1010" s="0" t="n">
        <v>1</v>
      </c>
      <c r="S1010" s="5" t="n">
        <v>595</v>
      </c>
      <c r="T1010" s="0" t="s">
        <v>243</v>
      </c>
      <c r="U1010" s="0" t="n">
        <v>1</v>
      </c>
      <c r="V1010" s="0" t="s">
        <v>230</v>
      </c>
      <c r="W1010" s="0" t="s">
        <v>231</v>
      </c>
      <c r="Y1010" s="0" t="s">
        <v>272</v>
      </c>
      <c r="Z1010" s="0" t="s">
        <v>4080</v>
      </c>
      <c r="AA1010" s="0" t="s">
        <v>235</v>
      </c>
      <c r="AB1010" s="32" t="n">
        <v>2400</v>
      </c>
      <c r="AC1010" s="32" t="n">
        <v>2400</v>
      </c>
      <c r="AD1010" s="26" t="n">
        <f aca="false">IFERROR(AB1010/B1010,"")</f>
        <v>4.03361344537815</v>
      </c>
      <c r="AE1010" s="26" t="n">
        <f aca="false">IFERROR(AC1010/B1010,"")</f>
        <v>4.03361344537815</v>
      </c>
      <c r="AF1010" s="0" t="s">
        <v>236</v>
      </c>
      <c r="AG1010" s="0" t="s">
        <v>236</v>
      </c>
      <c r="AH1010" s="0" t="s">
        <v>230</v>
      </c>
      <c r="AI1010" s="0" t="s">
        <v>2207</v>
      </c>
      <c r="AJ1010" s="0" t="s">
        <v>4321</v>
      </c>
      <c r="AK1010" s="0" t="s">
        <v>4322</v>
      </c>
      <c r="AL1010" s="0" t="s">
        <v>4323</v>
      </c>
      <c r="AM1010" s="0" t="s">
        <v>94</v>
      </c>
      <c r="AN1010" s="26" t="n">
        <f aca="false">IFERROR(E1010*(1+IF(AM1010="Apartment",Data_Summary!$C$3,0)),"")</f>
        <v>4.03361344537815</v>
      </c>
      <c r="AO1010" s="4" t="n">
        <v>46195</v>
      </c>
    </row>
    <row r="1011" customFormat="false" ht="15" hidden="false" customHeight="false" outlineLevel="0" collapsed="false">
      <c r="A1011" s="0" t="n">
        <f aca="false">IF(AND(ISNUMBER(B1011),B1011&gt;0,ISNUMBER(AB1011),AB1011&gt;0,J1011&gt;=Data_Summary!$C$1),1,0)</f>
        <v>1</v>
      </c>
      <c r="B1011" s="30" t="n">
        <v>914</v>
      </c>
      <c r="C1011" s="5" t="n">
        <f aca="false">IF(ISNUMBER(AB1011),AB1011,"")</f>
        <v>3200</v>
      </c>
      <c r="D1011" s="0" t="n">
        <f aca="false">IF(ISNUMBER(C1011),C1011-U1011*Data_Summary!$C$2,"")</f>
        <v>3050</v>
      </c>
      <c r="E1011" s="31" t="n">
        <f aca="false">IFERROR(C1011/B1011,"")</f>
        <v>3.50109409190372</v>
      </c>
      <c r="F1011" s="26" t="n">
        <f aca="false">IFERROR(D1011/B1011,"")</f>
        <v>3.33698030634573</v>
      </c>
      <c r="G1011" s="0" t="str">
        <f aca="false">Q1011</f>
        <v>2</v>
      </c>
      <c r="H1011" s="0" t="str">
        <f aca="false">IFERROR(LEFT(G1011,1),"")</f>
        <v>2</v>
      </c>
      <c r="I1011" s="0" t="n">
        <f aca="false">IF(LEN(G1011)&gt;1,1,0)</f>
        <v>0</v>
      </c>
      <c r="J1011" s="4" t="n">
        <v>45782</v>
      </c>
      <c r="K1011" s="0" t="s">
        <v>17</v>
      </c>
      <c r="L1011" s="0" t="s">
        <v>107</v>
      </c>
      <c r="M1011" s="0" t="s">
        <v>226</v>
      </c>
      <c r="N1011" s="0" t="s">
        <v>93</v>
      </c>
      <c r="O1011" s="0" t="s">
        <v>1863</v>
      </c>
      <c r="Q1011" s="0" t="s">
        <v>251</v>
      </c>
      <c r="R1011" s="0" t="n">
        <v>2</v>
      </c>
      <c r="S1011" s="5" t="n">
        <v>914</v>
      </c>
      <c r="T1011" s="0" t="s">
        <v>259</v>
      </c>
      <c r="U1011" s="0" t="n">
        <v>1</v>
      </c>
      <c r="V1011" s="0" t="s">
        <v>230</v>
      </c>
      <c r="W1011" s="0" t="s">
        <v>231</v>
      </c>
      <c r="X1011" s="0" t="s">
        <v>232</v>
      </c>
      <c r="Y1011" s="0" t="s">
        <v>260</v>
      </c>
      <c r="Z1011" s="0" t="s">
        <v>4080</v>
      </c>
      <c r="AA1011" s="0" t="s">
        <v>235</v>
      </c>
      <c r="AB1011" s="32" t="n">
        <v>3200</v>
      </c>
      <c r="AC1011" s="32" t="n">
        <v>3200</v>
      </c>
      <c r="AD1011" s="26" t="n">
        <f aca="false">IFERROR(AB1011/B1011,"")</f>
        <v>3.50109409190372</v>
      </c>
      <c r="AE1011" s="26" t="n">
        <f aca="false">IFERROR(AC1011/B1011,"")</f>
        <v>3.50109409190372</v>
      </c>
      <c r="AF1011" s="0" t="s">
        <v>236</v>
      </c>
      <c r="AG1011" s="0" t="s">
        <v>236</v>
      </c>
      <c r="AH1011" s="0" t="s">
        <v>230</v>
      </c>
      <c r="AI1011" s="0" t="s">
        <v>2230</v>
      </c>
      <c r="AJ1011" s="0" t="s">
        <v>4324</v>
      </c>
      <c r="AK1011" s="0" t="s">
        <v>4325</v>
      </c>
      <c r="AL1011" s="0" t="s">
        <v>4326</v>
      </c>
      <c r="AM1011" s="0" t="s">
        <v>94</v>
      </c>
      <c r="AN1011" s="26" t="n">
        <f aca="false">IFERROR(E1011*(1+IF(AM1011="Apartment",Data_Summary!$C$3,0)),"")</f>
        <v>3.50109409190372</v>
      </c>
      <c r="AO1011" s="4" t="n">
        <v>46195</v>
      </c>
    </row>
    <row r="1012" customFormat="false" ht="15" hidden="false" customHeight="false" outlineLevel="0" collapsed="false">
      <c r="A1012" s="0" t="n">
        <f aca="false">IF(AND(ISNUMBER(B1012),B1012&gt;0,ISNUMBER(AB1012),AB1012&gt;0,J1012&gt;=Data_Summary!$C$1),1,0)</f>
        <v>1</v>
      </c>
      <c r="B1012" s="30" t="n">
        <v>595</v>
      </c>
      <c r="C1012" s="5" t="n">
        <f aca="false">IF(ISNUMBER(AB1012),AB1012,"")</f>
        <v>2300</v>
      </c>
      <c r="D1012" s="0" t="n">
        <f aca="false">IF(ISNUMBER(C1012),C1012-U1012*Data_Summary!$C$2,"")</f>
        <v>2300</v>
      </c>
      <c r="E1012" s="31" t="n">
        <f aca="false">IFERROR(C1012/B1012,"")</f>
        <v>3.8655462184874</v>
      </c>
      <c r="F1012" s="26" t="n">
        <f aca="false">IFERROR(D1012/B1012,"")</f>
        <v>3.8655462184874</v>
      </c>
      <c r="G1012" s="0" t="str">
        <f aca="false">Q1012</f>
        <v>1+1</v>
      </c>
      <c r="H1012" s="0" t="str">
        <f aca="false">IFERROR(LEFT(G1012,1),"")</f>
        <v>1</v>
      </c>
      <c r="I1012" s="0" t="n">
        <f aca="false">IF(LEN(G1012)&gt;1,1,0)</f>
        <v>1</v>
      </c>
      <c r="J1012" s="4" t="n">
        <v>45777</v>
      </c>
      <c r="K1012" s="0" t="s">
        <v>17</v>
      </c>
      <c r="L1012" s="0" t="s">
        <v>107</v>
      </c>
      <c r="M1012" s="0" t="s">
        <v>226</v>
      </c>
      <c r="N1012" s="0" t="s">
        <v>93</v>
      </c>
      <c r="O1012" s="0" t="s">
        <v>792</v>
      </c>
      <c r="Q1012" s="0" t="s">
        <v>270</v>
      </c>
      <c r="R1012" s="0" t="n">
        <v>1</v>
      </c>
      <c r="S1012" s="5" t="n">
        <v>595</v>
      </c>
      <c r="T1012" s="0" t="s">
        <v>243</v>
      </c>
      <c r="U1012" s="0" t="n">
        <v>0</v>
      </c>
      <c r="V1012" s="0" t="s">
        <v>230</v>
      </c>
      <c r="W1012" s="0" t="s">
        <v>244</v>
      </c>
      <c r="X1012" s="0" t="s">
        <v>232</v>
      </c>
      <c r="Y1012" s="0" t="s">
        <v>308</v>
      </c>
      <c r="Z1012" s="0" t="s">
        <v>4080</v>
      </c>
      <c r="AA1012" s="0" t="s">
        <v>235</v>
      </c>
      <c r="AB1012" s="32" t="n">
        <v>2300</v>
      </c>
      <c r="AC1012" s="32" t="n">
        <v>2300</v>
      </c>
      <c r="AD1012" s="26" t="n">
        <f aca="false">IFERROR(AB1012/B1012,"")</f>
        <v>3.8655462184874</v>
      </c>
      <c r="AE1012" s="26" t="n">
        <f aca="false">IFERROR(AC1012/B1012,"")</f>
        <v>3.8655462184874</v>
      </c>
      <c r="AF1012" s="0" t="s">
        <v>236</v>
      </c>
      <c r="AG1012" s="0" t="s">
        <v>236</v>
      </c>
      <c r="AH1012" s="0" t="s">
        <v>230</v>
      </c>
      <c r="AI1012" s="0" t="s">
        <v>2239</v>
      </c>
      <c r="AJ1012" s="0" t="s">
        <v>4327</v>
      </c>
      <c r="AK1012" s="0" t="s">
        <v>4328</v>
      </c>
      <c r="AL1012" s="0" t="s">
        <v>4329</v>
      </c>
      <c r="AM1012" s="0" t="s">
        <v>94</v>
      </c>
      <c r="AN1012" s="26" t="n">
        <f aca="false">IFERROR(E1012*(1+IF(AM1012="Apartment",Data_Summary!$C$3,0)),"")</f>
        <v>3.8655462184874</v>
      </c>
      <c r="AO1012" s="4" t="n">
        <v>46195</v>
      </c>
    </row>
    <row r="1013" customFormat="false" ht="15" hidden="false" customHeight="false" outlineLevel="0" collapsed="false">
      <c r="A1013" s="0" t="n">
        <f aca="false">IF(AND(ISNUMBER(B1013),B1013&gt;0,ISNUMBER(AB1013),AB1013&gt;0,J1013&gt;=Data_Summary!$C$1),1,0)</f>
        <v>1</v>
      </c>
      <c r="B1013" s="33" t="n">
        <v>587</v>
      </c>
      <c r="C1013" s="5" t="n">
        <f aca="false">IF(ISNUMBER(AB1013),AB1013,"")</f>
        <v>2450</v>
      </c>
      <c r="D1013" s="0" t="n">
        <f aca="false">IF(ISNUMBER(C1013),C1013-U1013*Data_Summary!$C$2,"")</f>
        <v>2300</v>
      </c>
      <c r="E1013" s="34" t="n">
        <f aca="false">IFERROR(C1013/B1013,"")</f>
        <v>4.17376490630324</v>
      </c>
      <c r="F1013" s="26" t="n">
        <f aca="false">IFERROR(D1013/B1013,"")</f>
        <v>3.91822827938671</v>
      </c>
      <c r="G1013" s="0" t="str">
        <f aca="false">Q1013</f>
        <v>1+1</v>
      </c>
      <c r="H1013" s="0" t="str">
        <f aca="false">IFERROR(LEFT(G1013,1),"")</f>
        <v>1</v>
      </c>
      <c r="I1013" s="0" t="n">
        <f aca="false">IF(LEN(G1013)&gt;1,1,0)</f>
        <v>1</v>
      </c>
      <c r="J1013" s="4" t="n">
        <v>45777</v>
      </c>
      <c r="K1013" s="0" t="s">
        <v>17</v>
      </c>
      <c r="L1013" s="0" t="s">
        <v>107</v>
      </c>
      <c r="M1013" s="0" t="s">
        <v>226</v>
      </c>
      <c r="N1013" s="0" t="s">
        <v>93</v>
      </c>
      <c r="O1013" s="0" t="s">
        <v>4330</v>
      </c>
      <c r="Q1013" s="0" t="s">
        <v>270</v>
      </c>
      <c r="R1013" s="0" t="n">
        <v>1</v>
      </c>
      <c r="S1013" s="5" t="n">
        <v>587</v>
      </c>
      <c r="T1013" s="0" t="s">
        <v>271</v>
      </c>
      <c r="U1013" s="0" t="n">
        <v>1</v>
      </c>
      <c r="V1013" s="0" t="s">
        <v>230</v>
      </c>
      <c r="W1013" s="0" t="s">
        <v>244</v>
      </c>
      <c r="X1013" s="0" t="s">
        <v>232</v>
      </c>
      <c r="Y1013" s="0" t="s">
        <v>272</v>
      </c>
      <c r="Z1013" s="0" t="s">
        <v>4080</v>
      </c>
      <c r="AA1013" s="0" t="s">
        <v>235</v>
      </c>
      <c r="AB1013" s="32" t="n">
        <v>2450</v>
      </c>
      <c r="AC1013" s="32" t="n">
        <v>2450</v>
      </c>
      <c r="AD1013" s="26" t="n">
        <f aca="false">IFERROR(AB1013/B1013,"")</f>
        <v>4.17376490630324</v>
      </c>
      <c r="AE1013" s="26" t="n">
        <f aca="false">IFERROR(AC1013/B1013,"")</f>
        <v>4.17376490630324</v>
      </c>
      <c r="AF1013" s="0" t="s">
        <v>236</v>
      </c>
      <c r="AG1013" s="0" t="s">
        <v>236</v>
      </c>
      <c r="AH1013" s="0" t="s">
        <v>230</v>
      </c>
      <c r="AI1013" s="0" t="s">
        <v>2239</v>
      </c>
      <c r="AJ1013" s="0" t="s">
        <v>4331</v>
      </c>
      <c r="AK1013" s="0" t="s">
        <v>4332</v>
      </c>
      <c r="AL1013" s="0" t="s">
        <v>4333</v>
      </c>
      <c r="AM1013" s="0" t="s">
        <v>94</v>
      </c>
      <c r="AN1013" s="26" t="n">
        <f aca="false">IFERROR(E1013*(1+IF(AM1013="Apartment",Data_Summary!$C$3,0)),"")</f>
        <v>4.17376490630324</v>
      </c>
      <c r="AO1013" s="4" t="n">
        <v>46195</v>
      </c>
    </row>
    <row r="1014" customFormat="false" ht="15" hidden="false" customHeight="false" outlineLevel="0" collapsed="false">
      <c r="A1014" s="0" t="n">
        <f aca="false">IF(AND(ISNUMBER(B1014),B1014&gt;0,ISNUMBER(AB1014),AB1014&gt;0,J1014&gt;=Data_Summary!$C$1),1,0)</f>
        <v>1</v>
      </c>
      <c r="B1014" s="30" t="n">
        <v>595</v>
      </c>
      <c r="C1014" s="5" t="n">
        <f aca="false">IF(ISNUMBER(AB1014),AB1014,"")</f>
        <v>2400</v>
      </c>
      <c r="D1014" s="0" t="n">
        <f aca="false">IF(ISNUMBER(C1014),C1014-U1014*Data_Summary!$C$2,"")</f>
        <v>2250</v>
      </c>
      <c r="E1014" s="31" t="n">
        <f aca="false">IFERROR(C1014/B1014,"")</f>
        <v>4.03361344537815</v>
      </c>
      <c r="F1014" s="26" t="n">
        <f aca="false">IFERROR(D1014/B1014,"")</f>
        <v>3.78151260504202</v>
      </c>
      <c r="G1014" s="0" t="str">
        <f aca="false">Q1014</f>
        <v>1</v>
      </c>
      <c r="H1014" s="0" t="str">
        <f aca="false">IFERROR(LEFT(G1014,1),"")</f>
        <v>1</v>
      </c>
      <c r="I1014" s="0" t="n">
        <f aca="false">IF(LEN(G1014)&gt;1,1,0)</f>
        <v>0</v>
      </c>
      <c r="J1014" s="4" t="n">
        <v>45772</v>
      </c>
      <c r="K1014" s="0" t="s">
        <v>17</v>
      </c>
      <c r="L1014" s="0" t="s">
        <v>107</v>
      </c>
      <c r="M1014" s="0" t="s">
        <v>226</v>
      </c>
      <c r="N1014" s="0" t="s">
        <v>93</v>
      </c>
      <c r="O1014" s="0" t="s">
        <v>2468</v>
      </c>
      <c r="Q1014" s="0" t="s">
        <v>242</v>
      </c>
      <c r="R1014" s="0" t="n">
        <v>1</v>
      </c>
      <c r="S1014" s="5" t="n">
        <v>595</v>
      </c>
      <c r="T1014" s="0" t="s">
        <v>243</v>
      </c>
      <c r="U1014" s="0" t="n">
        <v>1</v>
      </c>
      <c r="V1014" s="0" t="s">
        <v>230</v>
      </c>
      <c r="W1014" s="0" t="s">
        <v>231</v>
      </c>
      <c r="X1014" s="0" t="s">
        <v>232</v>
      </c>
      <c r="Y1014" s="0" t="s">
        <v>272</v>
      </c>
      <c r="Z1014" s="0" t="s">
        <v>4080</v>
      </c>
      <c r="AA1014" s="0" t="s">
        <v>235</v>
      </c>
      <c r="AB1014" s="32" t="n">
        <v>2400</v>
      </c>
      <c r="AC1014" s="32" t="n">
        <v>2400</v>
      </c>
      <c r="AD1014" s="26" t="n">
        <f aca="false">IFERROR(AB1014/B1014,"")</f>
        <v>4.03361344537815</v>
      </c>
      <c r="AE1014" s="26" t="n">
        <f aca="false">IFERROR(AC1014/B1014,"")</f>
        <v>4.03361344537815</v>
      </c>
      <c r="AF1014" s="0" t="s">
        <v>236</v>
      </c>
      <c r="AG1014" s="0" t="s">
        <v>236</v>
      </c>
      <c r="AH1014" s="0" t="s">
        <v>236</v>
      </c>
      <c r="AI1014" s="0" t="s">
        <v>4334</v>
      </c>
      <c r="AJ1014" s="0" t="s">
        <v>4335</v>
      </c>
      <c r="AK1014" s="0" t="s">
        <v>4336</v>
      </c>
      <c r="AL1014" s="0" t="s">
        <v>4337</v>
      </c>
      <c r="AM1014" s="0" t="s">
        <v>94</v>
      </c>
      <c r="AN1014" s="26" t="n">
        <f aca="false">IFERROR(E1014*(1+IF(AM1014="Apartment",Data_Summary!$C$3,0)),"")</f>
        <v>4.03361344537815</v>
      </c>
      <c r="AO1014" s="4" t="n">
        <v>46195</v>
      </c>
    </row>
    <row r="1015" customFormat="false" ht="15" hidden="false" customHeight="false" outlineLevel="0" collapsed="false">
      <c r="A1015" s="0" t="n">
        <f aca="false">IF(AND(ISNUMBER(B1015),B1015&gt;0,ISNUMBER(AB1015),AB1015&gt;0,J1015&gt;=Data_Summary!$C$1),1,0)</f>
        <v>1</v>
      </c>
      <c r="B1015" s="30" t="n">
        <v>587</v>
      </c>
      <c r="C1015" s="5" t="n">
        <f aca="false">IF(ISNUMBER(AB1015),AB1015,"")</f>
        <v>2450</v>
      </c>
      <c r="D1015" s="0" t="n">
        <f aca="false">IF(ISNUMBER(C1015),C1015-U1015*Data_Summary!$C$2,"")</f>
        <v>2300</v>
      </c>
      <c r="E1015" s="31" t="n">
        <f aca="false">IFERROR(C1015/B1015,"")</f>
        <v>4.17376490630324</v>
      </c>
      <c r="F1015" s="26" t="n">
        <f aca="false">IFERROR(D1015/B1015,"")</f>
        <v>3.91822827938671</v>
      </c>
      <c r="G1015" s="0" t="str">
        <f aca="false">Q1015</f>
        <v>1+1</v>
      </c>
      <c r="H1015" s="0" t="str">
        <f aca="false">IFERROR(LEFT(G1015,1),"")</f>
        <v>1</v>
      </c>
      <c r="I1015" s="0" t="n">
        <f aca="false">IF(LEN(G1015)&gt;1,1,0)</f>
        <v>1</v>
      </c>
      <c r="J1015" s="4" t="n">
        <v>45766</v>
      </c>
      <c r="K1015" s="0" t="s">
        <v>17</v>
      </c>
      <c r="L1015" s="0" t="s">
        <v>107</v>
      </c>
      <c r="M1015" s="0" t="s">
        <v>226</v>
      </c>
      <c r="N1015" s="0" t="s">
        <v>93</v>
      </c>
      <c r="O1015" s="0" t="s">
        <v>4338</v>
      </c>
      <c r="Q1015" s="0" t="s">
        <v>270</v>
      </c>
      <c r="R1015" s="0" t="n">
        <v>1</v>
      </c>
      <c r="S1015" s="5" t="n">
        <v>587</v>
      </c>
      <c r="T1015" s="0" t="s">
        <v>243</v>
      </c>
      <c r="U1015" s="0" t="n">
        <v>1</v>
      </c>
      <c r="V1015" s="0" t="s">
        <v>230</v>
      </c>
      <c r="W1015" s="0" t="s">
        <v>244</v>
      </c>
      <c r="X1015" s="0" t="s">
        <v>232</v>
      </c>
      <c r="Y1015" s="0" t="s">
        <v>272</v>
      </c>
      <c r="Z1015" s="0" t="s">
        <v>4080</v>
      </c>
      <c r="AA1015" s="0" t="s">
        <v>235</v>
      </c>
      <c r="AB1015" s="32" t="n">
        <v>2450</v>
      </c>
      <c r="AC1015" s="32" t="n">
        <v>2450</v>
      </c>
      <c r="AD1015" s="26" t="n">
        <f aca="false">IFERROR(AB1015/B1015,"")</f>
        <v>4.17376490630324</v>
      </c>
      <c r="AE1015" s="26" t="n">
        <f aca="false">IFERROR(AC1015/B1015,"")</f>
        <v>4.17376490630324</v>
      </c>
      <c r="AF1015" s="0" t="s">
        <v>236</v>
      </c>
      <c r="AG1015" s="0" t="s">
        <v>236</v>
      </c>
      <c r="AH1015" s="0" t="s">
        <v>236</v>
      </c>
      <c r="AI1015" s="0" t="s">
        <v>3739</v>
      </c>
      <c r="AJ1015" s="0" t="s">
        <v>4339</v>
      </c>
      <c r="AK1015" s="0" t="s">
        <v>4340</v>
      </c>
      <c r="AL1015" s="0" t="s">
        <v>4341</v>
      </c>
      <c r="AM1015" s="0" t="s">
        <v>94</v>
      </c>
      <c r="AN1015" s="26" t="n">
        <f aca="false">IFERROR(E1015*(1+IF(AM1015="Apartment",Data_Summary!$C$3,0)),"")</f>
        <v>4.17376490630324</v>
      </c>
      <c r="AO1015" s="4" t="n">
        <v>46195</v>
      </c>
    </row>
    <row r="1016" customFormat="false" ht="15" hidden="false" customHeight="false" outlineLevel="0" collapsed="false">
      <c r="A1016" s="0" t="n">
        <f aca="false">IF(AND(ISNUMBER(B1016),B1016&gt;0,ISNUMBER(AB1016),AB1016&gt;0,J1016&gt;=Data_Summary!$C$1),1,0)</f>
        <v>1</v>
      </c>
      <c r="B1016" s="30" t="n">
        <v>630</v>
      </c>
      <c r="C1016" s="5" t="n">
        <f aca="false">IF(ISNUMBER(AB1016),AB1016,"")</f>
        <v>2575</v>
      </c>
      <c r="D1016" s="0" t="n">
        <f aca="false">IF(ISNUMBER(C1016),C1016-U1016*Data_Summary!$C$2,"")</f>
        <v>2425</v>
      </c>
      <c r="E1016" s="31" t="n">
        <f aca="false">IFERROR(C1016/B1016,"")</f>
        <v>4.08730158730159</v>
      </c>
      <c r="F1016" s="26" t="n">
        <f aca="false">IFERROR(D1016/B1016,"")</f>
        <v>3.84920634920635</v>
      </c>
      <c r="G1016" s="0" t="str">
        <f aca="false">Q1016</f>
        <v>1</v>
      </c>
      <c r="H1016" s="0" t="str">
        <f aca="false">IFERROR(LEFT(G1016,1),"")</f>
        <v>1</v>
      </c>
      <c r="I1016" s="0" t="n">
        <f aca="false">IF(LEN(G1016)&gt;1,1,0)</f>
        <v>0</v>
      </c>
      <c r="J1016" s="4" t="n">
        <v>45757</v>
      </c>
      <c r="K1016" s="0" t="s">
        <v>17</v>
      </c>
      <c r="L1016" s="0" t="s">
        <v>107</v>
      </c>
      <c r="M1016" s="0" t="s">
        <v>226</v>
      </c>
      <c r="N1016" s="0" t="s">
        <v>93</v>
      </c>
      <c r="O1016" s="0" t="s">
        <v>4304</v>
      </c>
      <c r="Q1016" s="0" t="s">
        <v>242</v>
      </c>
      <c r="R1016" s="0" t="n">
        <v>1</v>
      </c>
      <c r="S1016" s="5" t="n">
        <v>630</v>
      </c>
      <c r="T1016" s="0" t="s">
        <v>271</v>
      </c>
      <c r="U1016" s="0" t="n">
        <v>1</v>
      </c>
      <c r="V1016" s="0" t="s">
        <v>230</v>
      </c>
      <c r="W1016" s="0" t="s">
        <v>231</v>
      </c>
      <c r="X1016" s="0" t="s">
        <v>232</v>
      </c>
      <c r="Y1016" s="0" t="s">
        <v>245</v>
      </c>
      <c r="Z1016" s="0" t="s">
        <v>4080</v>
      </c>
      <c r="AA1016" s="0" t="s">
        <v>235</v>
      </c>
      <c r="AB1016" s="32" t="n">
        <v>2575</v>
      </c>
      <c r="AC1016" s="32" t="n">
        <v>2525</v>
      </c>
      <c r="AD1016" s="26" t="n">
        <f aca="false">IFERROR(AB1016/B1016,"")</f>
        <v>4.08730158730159</v>
      </c>
      <c r="AE1016" s="26" t="n">
        <f aca="false">IFERROR(AC1016/B1016,"")</f>
        <v>4.00793650793651</v>
      </c>
      <c r="AF1016" s="0" t="s">
        <v>236</v>
      </c>
      <c r="AG1016" s="0" t="s">
        <v>236</v>
      </c>
      <c r="AH1016" s="0" t="s">
        <v>236</v>
      </c>
      <c r="AI1016" s="0" t="s">
        <v>3188</v>
      </c>
      <c r="AJ1016" s="0" t="s">
        <v>4342</v>
      </c>
      <c r="AK1016" s="0" t="s">
        <v>4343</v>
      </c>
      <c r="AL1016" s="0" t="s">
        <v>4344</v>
      </c>
      <c r="AM1016" s="0" t="s">
        <v>94</v>
      </c>
      <c r="AN1016" s="26" t="n">
        <f aca="false">IFERROR(E1016*(1+IF(AM1016="Apartment",Data_Summary!$C$3,0)),"")</f>
        <v>4.08730158730159</v>
      </c>
      <c r="AO1016" s="4" t="n">
        <v>46195</v>
      </c>
    </row>
    <row r="1017" customFormat="false" ht="15" hidden="false" customHeight="false" outlineLevel="0" collapsed="false">
      <c r="A1017" s="0" t="n">
        <f aca="false">IF(AND(ISNUMBER(B1017),B1017&gt;0,ISNUMBER(AB1017),AB1017&gt;0,J1017&gt;=Data_Summary!$C$1),1,0)</f>
        <v>1</v>
      </c>
      <c r="B1017" s="30" t="n">
        <v>1031</v>
      </c>
      <c r="C1017" s="5" t="n">
        <f aca="false">IF(ISNUMBER(AB1017),AB1017,"")</f>
        <v>3590</v>
      </c>
      <c r="D1017" s="0" t="n">
        <f aca="false">IF(ISNUMBER(C1017),C1017-U1017*Data_Summary!$C$2,"")</f>
        <v>3440</v>
      </c>
      <c r="E1017" s="31" t="n">
        <f aca="false">IFERROR(C1017/B1017,"")</f>
        <v>3.48205625606208</v>
      </c>
      <c r="F1017" s="26" t="n">
        <f aca="false">IFERROR(D1017/B1017,"")</f>
        <v>3.33656644034918</v>
      </c>
      <c r="G1017" s="0" t="str">
        <f aca="false">Q1017</f>
        <v>2+1</v>
      </c>
      <c r="H1017" s="0" t="str">
        <f aca="false">IFERROR(LEFT(G1017,1),"")</f>
        <v>2</v>
      </c>
      <c r="I1017" s="0" t="n">
        <f aca="false">IF(LEN(G1017)&gt;1,1,0)</f>
        <v>1</v>
      </c>
      <c r="J1017" s="4" t="n">
        <v>45755</v>
      </c>
      <c r="K1017" s="0" t="s">
        <v>17</v>
      </c>
      <c r="L1017" s="0" t="s">
        <v>107</v>
      </c>
      <c r="M1017" s="0" t="s">
        <v>226</v>
      </c>
      <c r="N1017" s="0" t="s">
        <v>93</v>
      </c>
      <c r="O1017" s="0" t="s">
        <v>1346</v>
      </c>
      <c r="Q1017" s="0" t="s">
        <v>451</v>
      </c>
      <c r="R1017" s="0" t="n">
        <v>2</v>
      </c>
      <c r="S1017" s="5" t="n">
        <v>1031</v>
      </c>
      <c r="T1017" s="0" t="s">
        <v>265</v>
      </c>
      <c r="U1017" s="0" t="n">
        <v>1</v>
      </c>
      <c r="V1017" s="0" t="s">
        <v>230</v>
      </c>
      <c r="W1017" s="0" t="s">
        <v>231</v>
      </c>
      <c r="X1017" s="0" t="s">
        <v>232</v>
      </c>
      <c r="Y1017" s="0" t="s">
        <v>245</v>
      </c>
      <c r="Z1017" s="0" t="s">
        <v>4080</v>
      </c>
      <c r="AA1017" s="0" t="s">
        <v>235</v>
      </c>
      <c r="AB1017" s="32" t="n">
        <v>3590</v>
      </c>
      <c r="AC1017" s="32" t="n">
        <v>3590</v>
      </c>
      <c r="AD1017" s="26" t="n">
        <f aca="false">IFERROR(AB1017/B1017,"")</f>
        <v>3.48205625606208</v>
      </c>
      <c r="AE1017" s="26" t="n">
        <f aca="false">IFERROR(AC1017/B1017,"")</f>
        <v>3.48205625606208</v>
      </c>
      <c r="AF1017" s="0" t="s">
        <v>236</v>
      </c>
      <c r="AG1017" s="0" t="s">
        <v>236</v>
      </c>
      <c r="AH1017" s="0" t="s">
        <v>230</v>
      </c>
      <c r="AI1017" s="0" t="s">
        <v>3193</v>
      </c>
      <c r="AJ1017" s="0" t="s">
        <v>4345</v>
      </c>
      <c r="AK1017" s="0" t="s">
        <v>4346</v>
      </c>
      <c r="AL1017" s="0" t="s">
        <v>4347</v>
      </c>
      <c r="AM1017" s="0" t="s">
        <v>94</v>
      </c>
      <c r="AN1017" s="26" t="n">
        <f aca="false">IFERROR(E1017*(1+IF(AM1017="Apartment",Data_Summary!$C$3,0)),"")</f>
        <v>3.48205625606208</v>
      </c>
      <c r="AO1017" s="4" t="n">
        <v>46195</v>
      </c>
    </row>
    <row r="1018" customFormat="false" ht="15" hidden="false" customHeight="false" outlineLevel="0" collapsed="false">
      <c r="A1018" s="0" t="n">
        <f aca="false">IF(AND(ISNUMBER(B1018),B1018&gt;0,ISNUMBER(AB1018),AB1018&gt;0,J1018&gt;=Data_Summary!$C$1),1,0)</f>
        <v>1</v>
      </c>
      <c r="B1018" s="30" t="n">
        <v>595</v>
      </c>
      <c r="C1018" s="5" t="n">
        <f aca="false">IF(ISNUMBER(AB1018),AB1018,"")</f>
        <v>2350</v>
      </c>
      <c r="D1018" s="0" t="n">
        <f aca="false">IF(ISNUMBER(C1018),C1018-U1018*Data_Summary!$C$2,"")</f>
        <v>2350</v>
      </c>
      <c r="E1018" s="31" t="n">
        <f aca="false">IFERROR(C1018/B1018,"")</f>
        <v>3.94957983193277</v>
      </c>
      <c r="F1018" s="26" t="n">
        <f aca="false">IFERROR(D1018/B1018,"")</f>
        <v>3.94957983193277</v>
      </c>
      <c r="G1018" s="0" t="str">
        <f aca="false">Q1018</f>
        <v>1+1</v>
      </c>
      <c r="H1018" s="0" t="str">
        <f aca="false">IFERROR(LEFT(G1018,1),"")</f>
        <v>1</v>
      </c>
      <c r="I1018" s="0" t="n">
        <f aca="false">IF(LEN(G1018)&gt;1,1,0)</f>
        <v>1</v>
      </c>
      <c r="J1018" s="4" t="n">
        <v>45754</v>
      </c>
      <c r="K1018" s="0" t="s">
        <v>17</v>
      </c>
      <c r="L1018" s="0" t="s">
        <v>107</v>
      </c>
      <c r="M1018" s="0" t="s">
        <v>226</v>
      </c>
      <c r="N1018" s="0" t="s">
        <v>93</v>
      </c>
      <c r="O1018" s="0" t="s">
        <v>4348</v>
      </c>
      <c r="Q1018" s="0" t="s">
        <v>270</v>
      </c>
      <c r="R1018" s="0" t="n">
        <v>1</v>
      </c>
      <c r="S1018" s="5" t="n">
        <v>595</v>
      </c>
      <c r="T1018" s="0" t="s">
        <v>243</v>
      </c>
      <c r="U1018" s="0" t="n">
        <v>0</v>
      </c>
      <c r="V1018" s="0" t="s">
        <v>230</v>
      </c>
      <c r="W1018" s="0" t="s">
        <v>231</v>
      </c>
      <c r="X1018" s="0" t="s">
        <v>232</v>
      </c>
      <c r="Y1018" s="0" t="s">
        <v>245</v>
      </c>
      <c r="Z1018" s="0" t="s">
        <v>4080</v>
      </c>
      <c r="AA1018" s="0" t="s">
        <v>235</v>
      </c>
      <c r="AB1018" s="32" t="n">
        <v>2350</v>
      </c>
      <c r="AC1018" s="32" t="n">
        <v>2350</v>
      </c>
      <c r="AD1018" s="26" t="n">
        <f aca="false">IFERROR(AB1018/B1018,"")</f>
        <v>3.94957983193277</v>
      </c>
      <c r="AE1018" s="26" t="n">
        <f aca="false">IFERROR(AC1018/B1018,"")</f>
        <v>3.94957983193277</v>
      </c>
      <c r="AF1018" s="0" t="s">
        <v>236</v>
      </c>
      <c r="AG1018" s="0" t="s">
        <v>236</v>
      </c>
      <c r="AH1018" s="0" t="s">
        <v>230</v>
      </c>
      <c r="AI1018" s="0" t="s">
        <v>2295</v>
      </c>
      <c r="AJ1018" s="0" t="s">
        <v>4349</v>
      </c>
      <c r="AK1018" s="0" t="s">
        <v>4350</v>
      </c>
      <c r="AL1018" s="0" t="s">
        <v>4351</v>
      </c>
      <c r="AM1018" s="0" t="s">
        <v>94</v>
      </c>
      <c r="AN1018" s="26" t="n">
        <f aca="false">IFERROR(E1018*(1+IF(AM1018="Apartment",Data_Summary!$C$3,0)),"")</f>
        <v>3.94957983193277</v>
      </c>
      <c r="AO1018" s="4" t="n">
        <v>46195</v>
      </c>
    </row>
    <row r="1019" customFormat="false" ht="15" hidden="false" customHeight="false" outlineLevel="0" collapsed="false">
      <c r="A1019" s="0" t="n">
        <f aca="false">IF(AND(ISNUMBER(B1019),B1019&gt;0,ISNUMBER(AB1019),AB1019&gt;0,J1019&gt;=Data_Summary!$C$1),1,0)</f>
        <v>1</v>
      </c>
      <c r="B1019" s="30" t="n">
        <v>1072</v>
      </c>
      <c r="C1019" s="5" t="n">
        <f aca="false">IF(ISNUMBER(AB1019),AB1019,"")</f>
        <v>3700</v>
      </c>
      <c r="D1019" s="0" t="n">
        <f aca="false">IF(ISNUMBER(C1019),C1019-U1019*Data_Summary!$C$2,"")</f>
        <v>3550</v>
      </c>
      <c r="E1019" s="31" t="n">
        <f aca="false">IFERROR(C1019/B1019,"")</f>
        <v>3.45149253731343</v>
      </c>
      <c r="F1019" s="26" t="n">
        <f aca="false">IFERROR(D1019/B1019,"")</f>
        <v>3.3115671641791</v>
      </c>
      <c r="G1019" s="0" t="str">
        <f aca="false">Q1019</f>
        <v>2</v>
      </c>
      <c r="H1019" s="0" t="str">
        <f aca="false">IFERROR(LEFT(G1019,1),"")</f>
        <v>2</v>
      </c>
      <c r="I1019" s="0" t="n">
        <f aca="false">IF(LEN(G1019)&gt;1,1,0)</f>
        <v>0</v>
      </c>
      <c r="J1019" s="4" t="n">
        <v>45751</v>
      </c>
      <c r="K1019" s="0" t="s">
        <v>17</v>
      </c>
      <c r="L1019" s="0" t="s">
        <v>107</v>
      </c>
      <c r="M1019" s="0" t="s">
        <v>226</v>
      </c>
      <c r="N1019" s="0" t="s">
        <v>93</v>
      </c>
      <c r="O1019" s="0" t="s">
        <v>405</v>
      </c>
      <c r="Q1019" s="0" t="s">
        <v>251</v>
      </c>
      <c r="R1019" s="0" t="n">
        <v>2</v>
      </c>
      <c r="S1019" s="5" t="n">
        <v>1072</v>
      </c>
      <c r="T1019" s="0" t="s">
        <v>265</v>
      </c>
      <c r="U1019" s="0" t="n">
        <v>1</v>
      </c>
      <c r="V1019" s="0" t="s">
        <v>230</v>
      </c>
      <c r="W1019" s="0" t="s">
        <v>231</v>
      </c>
      <c r="X1019" s="0" t="s">
        <v>232</v>
      </c>
      <c r="Y1019" s="0" t="s">
        <v>297</v>
      </c>
      <c r="Z1019" s="0" t="s">
        <v>4080</v>
      </c>
      <c r="AA1019" s="0" t="s">
        <v>235</v>
      </c>
      <c r="AB1019" s="32" t="n">
        <v>3700</v>
      </c>
      <c r="AC1019" s="32" t="n">
        <v>3800</v>
      </c>
      <c r="AD1019" s="26" t="n">
        <f aca="false">IFERROR(AB1019/B1019,"")</f>
        <v>3.45149253731343</v>
      </c>
      <c r="AE1019" s="26" t="n">
        <f aca="false">IFERROR(AC1019/B1019,"")</f>
        <v>3.54477611940299</v>
      </c>
      <c r="AF1019" s="0" t="s">
        <v>236</v>
      </c>
      <c r="AG1019" s="0" t="s">
        <v>236</v>
      </c>
      <c r="AH1019" s="0" t="s">
        <v>230</v>
      </c>
      <c r="AI1019" s="0" t="s">
        <v>2299</v>
      </c>
      <c r="AJ1019" s="0" t="s">
        <v>4352</v>
      </c>
      <c r="AK1019" s="0" t="s">
        <v>4353</v>
      </c>
      <c r="AL1019" s="0" t="s">
        <v>4354</v>
      </c>
      <c r="AM1019" s="0" t="s">
        <v>94</v>
      </c>
      <c r="AN1019" s="26" t="n">
        <f aca="false">IFERROR(E1019*(1+IF(AM1019="Apartment",Data_Summary!$C$3,0)),"")</f>
        <v>3.45149253731343</v>
      </c>
      <c r="AO1019" s="4" t="n">
        <v>46195</v>
      </c>
    </row>
    <row r="1020" customFormat="false" ht="15" hidden="false" customHeight="false" outlineLevel="0" collapsed="false">
      <c r="A1020" s="0" t="n">
        <f aca="false">IF(AND(ISNUMBER(B1020),B1020&gt;0,ISNUMBER(AB1020),AB1020&gt;0,J1020&gt;=Data_Summary!$C$1),1,0)</f>
        <v>1</v>
      </c>
      <c r="B1020" s="30" t="n">
        <v>780</v>
      </c>
      <c r="C1020" s="5" t="n">
        <f aca="false">IF(ISNUMBER(AB1020),AB1020,"")</f>
        <v>3150</v>
      </c>
      <c r="D1020" s="0" t="n">
        <f aca="false">IF(ISNUMBER(C1020),C1020-U1020*Data_Summary!$C$2,"")</f>
        <v>3150</v>
      </c>
      <c r="E1020" s="31" t="n">
        <f aca="false">IFERROR(C1020/B1020,"")</f>
        <v>4.03846153846154</v>
      </c>
      <c r="F1020" s="26" t="n">
        <f aca="false">IFERROR(D1020/B1020,"")</f>
        <v>4.03846153846154</v>
      </c>
      <c r="G1020" s="0" t="str">
        <f aca="false">Q1020</f>
        <v>2</v>
      </c>
      <c r="H1020" s="0" t="str">
        <f aca="false">IFERROR(LEFT(G1020,1),"")</f>
        <v>2</v>
      </c>
      <c r="I1020" s="0" t="n">
        <f aca="false">IF(LEN(G1020)&gt;1,1,0)</f>
        <v>0</v>
      </c>
      <c r="J1020" s="4" t="n">
        <v>45751</v>
      </c>
      <c r="K1020" s="0" t="s">
        <v>17</v>
      </c>
      <c r="L1020" s="0" t="s">
        <v>107</v>
      </c>
      <c r="M1020" s="0" t="s">
        <v>226</v>
      </c>
      <c r="N1020" s="0" t="s">
        <v>93</v>
      </c>
      <c r="O1020" s="0" t="s">
        <v>3763</v>
      </c>
      <c r="Q1020" s="0" t="s">
        <v>251</v>
      </c>
      <c r="R1020" s="0" t="n">
        <v>2</v>
      </c>
      <c r="S1020" s="5" t="n">
        <v>780</v>
      </c>
      <c r="T1020" s="0" t="s">
        <v>252</v>
      </c>
      <c r="U1020" s="0" t="n">
        <v>0</v>
      </c>
      <c r="V1020" s="0" t="s">
        <v>230</v>
      </c>
      <c r="X1020" s="0" t="s">
        <v>232</v>
      </c>
      <c r="Y1020" s="0" t="s">
        <v>308</v>
      </c>
      <c r="Z1020" s="0" t="s">
        <v>4080</v>
      </c>
      <c r="AA1020" s="0" t="s">
        <v>235</v>
      </c>
      <c r="AB1020" s="32" t="n">
        <v>3150</v>
      </c>
      <c r="AC1020" s="32" t="n">
        <v>3200</v>
      </c>
      <c r="AD1020" s="26" t="n">
        <f aca="false">IFERROR(AB1020/B1020,"")</f>
        <v>4.03846153846154</v>
      </c>
      <c r="AE1020" s="26" t="n">
        <f aca="false">IFERROR(AC1020/B1020,"")</f>
        <v>4.1025641025641</v>
      </c>
      <c r="AF1020" s="0" t="s">
        <v>236</v>
      </c>
      <c r="AG1020" s="0" t="s">
        <v>236</v>
      </c>
      <c r="AH1020" s="0" t="s">
        <v>230</v>
      </c>
      <c r="AI1020" s="0" t="s">
        <v>2299</v>
      </c>
      <c r="AJ1020" s="0" t="s">
        <v>4355</v>
      </c>
      <c r="AK1020" s="0" t="s">
        <v>4356</v>
      </c>
      <c r="AL1020" s="0" t="s">
        <v>4357</v>
      </c>
      <c r="AM1020" s="0" t="s">
        <v>94</v>
      </c>
      <c r="AN1020" s="26" t="n">
        <f aca="false">IFERROR(E1020*(1+IF(AM1020="Apartment",Data_Summary!$C$3,0)),"")</f>
        <v>4.03846153846154</v>
      </c>
      <c r="AO1020" s="4" t="n">
        <v>46195</v>
      </c>
    </row>
    <row r="1021" customFormat="false" ht="15" hidden="false" customHeight="false" outlineLevel="0" collapsed="false">
      <c r="A1021" s="0" t="n">
        <f aca="false">IF(AND(ISNUMBER(B1021),B1021&gt;0,ISNUMBER(AB1021),AB1021&gt;0,J1021&gt;=Data_Summary!$C$1),1,0)</f>
        <v>1</v>
      </c>
      <c r="B1021" s="30" t="n">
        <v>633</v>
      </c>
      <c r="C1021" s="5" t="n">
        <f aca="false">IF(ISNUMBER(AB1021),AB1021,"")</f>
        <v>2500</v>
      </c>
      <c r="D1021" s="0" t="n">
        <f aca="false">IF(ISNUMBER(C1021),C1021-U1021*Data_Summary!$C$2,"")</f>
        <v>2350</v>
      </c>
      <c r="E1021" s="31" t="n">
        <f aca="false">IFERROR(C1021/B1021,"")</f>
        <v>3.94944707740916</v>
      </c>
      <c r="F1021" s="26" t="n">
        <f aca="false">IFERROR(D1021/B1021,"")</f>
        <v>3.71248025276461</v>
      </c>
      <c r="G1021" s="0" t="str">
        <f aca="false">Q1021</f>
        <v>1+1</v>
      </c>
      <c r="H1021" s="0" t="str">
        <f aca="false">IFERROR(LEFT(G1021,1),"")</f>
        <v>1</v>
      </c>
      <c r="I1021" s="0" t="n">
        <f aca="false">IF(LEN(G1021)&gt;1,1,0)</f>
        <v>1</v>
      </c>
      <c r="J1021" s="4" t="n">
        <v>45749</v>
      </c>
      <c r="K1021" s="0" t="s">
        <v>17</v>
      </c>
      <c r="L1021" s="0" t="s">
        <v>107</v>
      </c>
      <c r="M1021" s="0" t="s">
        <v>226</v>
      </c>
      <c r="N1021" s="0" t="s">
        <v>93</v>
      </c>
      <c r="O1021" s="0" t="s">
        <v>4358</v>
      </c>
      <c r="Q1021" s="0" t="s">
        <v>270</v>
      </c>
      <c r="R1021" s="0" t="n">
        <v>1</v>
      </c>
      <c r="S1021" s="5" t="n">
        <v>633</v>
      </c>
      <c r="T1021" s="0" t="s">
        <v>271</v>
      </c>
      <c r="U1021" s="0" t="n">
        <v>1</v>
      </c>
      <c r="V1021" s="0" t="s">
        <v>230</v>
      </c>
      <c r="W1021" s="0" t="s">
        <v>244</v>
      </c>
      <c r="X1021" s="0" t="s">
        <v>232</v>
      </c>
      <c r="Y1021" s="0" t="s">
        <v>297</v>
      </c>
      <c r="Z1021" s="0" t="s">
        <v>4080</v>
      </c>
      <c r="AA1021" s="0" t="s">
        <v>235</v>
      </c>
      <c r="AB1021" s="32" t="n">
        <v>2500</v>
      </c>
      <c r="AC1021" s="32" t="n">
        <v>2400</v>
      </c>
      <c r="AD1021" s="26" t="n">
        <f aca="false">IFERROR(AB1021/B1021,"")</f>
        <v>3.94944707740916</v>
      </c>
      <c r="AE1021" s="26" t="n">
        <f aca="false">IFERROR(AC1021/B1021,"")</f>
        <v>3.7914691943128</v>
      </c>
      <c r="AF1021" s="0" t="s">
        <v>236</v>
      </c>
      <c r="AG1021" s="0" t="s">
        <v>236</v>
      </c>
      <c r="AH1021" s="0" t="s">
        <v>230</v>
      </c>
      <c r="AI1021" s="0" t="s">
        <v>4359</v>
      </c>
      <c r="AJ1021" s="0" t="s">
        <v>4360</v>
      </c>
      <c r="AK1021" s="0" t="s">
        <v>4361</v>
      </c>
      <c r="AL1021" s="0" t="s">
        <v>4362</v>
      </c>
      <c r="AM1021" s="0" t="s">
        <v>94</v>
      </c>
      <c r="AN1021" s="26" t="n">
        <f aca="false">IFERROR(E1021*(1+IF(AM1021="Apartment",Data_Summary!$C$3,0)),"")</f>
        <v>3.94944707740916</v>
      </c>
      <c r="AO1021" s="4" t="n">
        <v>46195</v>
      </c>
    </row>
    <row r="1022" customFormat="false" ht="15" hidden="false" customHeight="false" outlineLevel="0" collapsed="false">
      <c r="A1022" s="0" t="n">
        <f aca="false">IF(AND(ISNUMBER(B1022),B1022&gt;0,ISNUMBER(AB1022),AB1022&gt;0,J1022&gt;=Data_Summary!$C$1),1,0)</f>
        <v>1</v>
      </c>
      <c r="B1022" s="30" t="n">
        <v>595</v>
      </c>
      <c r="C1022" s="5" t="n">
        <f aca="false">IF(ISNUMBER(AB1022),AB1022,"")</f>
        <v>2250</v>
      </c>
      <c r="D1022" s="0" t="n">
        <f aca="false">IF(ISNUMBER(C1022),C1022-U1022*Data_Summary!$C$2,"")</f>
        <v>2250</v>
      </c>
      <c r="E1022" s="31" t="n">
        <f aca="false">IFERROR(C1022/B1022,"")</f>
        <v>3.78151260504202</v>
      </c>
      <c r="F1022" s="26" t="n">
        <f aca="false">IFERROR(D1022/B1022,"")</f>
        <v>3.78151260504202</v>
      </c>
      <c r="G1022" s="0" t="str">
        <f aca="false">Q1022</f>
        <v>1+1</v>
      </c>
      <c r="H1022" s="0" t="str">
        <f aca="false">IFERROR(LEFT(G1022,1),"")</f>
        <v>1</v>
      </c>
      <c r="I1022" s="0" t="n">
        <f aca="false">IF(LEN(G1022)&gt;1,1,0)</f>
        <v>1</v>
      </c>
      <c r="J1022" s="4" t="n">
        <v>45748</v>
      </c>
      <c r="K1022" s="0" t="s">
        <v>17</v>
      </c>
      <c r="L1022" s="0" t="s">
        <v>107</v>
      </c>
      <c r="M1022" s="0" t="s">
        <v>226</v>
      </c>
      <c r="N1022" s="0" t="s">
        <v>93</v>
      </c>
      <c r="O1022" s="0" t="s">
        <v>4363</v>
      </c>
      <c r="Q1022" s="0" t="s">
        <v>270</v>
      </c>
      <c r="R1022" s="0" t="n">
        <v>1</v>
      </c>
      <c r="S1022" s="5" t="n">
        <v>595</v>
      </c>
      <c r="T1022" s="0" t="s">
        <v>243</v>
      </c>
      <c r="U1022" s="0" t="n">
        <v>0</v>
      </c>
      <c r="V1022" s="0" t="s">
        <v>230</v>
      </c>
      <c r="W1022" s="0" t="s">
        <v>244</v>
      </c>
      <c r="X1022" s="0" t="s">
        <v>232</v>
      </c>
      <c r="Y1022" s="0" t="s">
        <v>272</v>
      </c>
      <c r="Z1022" s="0" t="s">
        <v>4080</v>
      </c>
      <c r="AA1022" s="0" t="s">
        <v>235</v>
      </c>
      <c r="AB1022" s="32" t="n">
        <v>2250</v>
      </c>
      <c r="AC1022" s="32" t="n">
        <v>2250</v>
      </c>
      <c r="AD1022" s="26" t="n">
        <f aca="false">IFERROR(AB1022/B1022,"")</f>
        <v>3.78151260504202</v>
      </c>
      <c r="AE1022" s="26" t="n">
        <f aca="false">IFERROR(AC1022/B1022,"")</f>
        <v>3.78151260504202</v>
      </c>
      <c r="AF1022" s="0" t="s">
        <v>236</v>
      </c>
      <c r="AG1022" s="0" t="s">
        <v>236</v>
      </c>
      <c r="AH1022" s="0" t="s">
        <v>236</v>
      </c>
      <c r="AI1022" s="0" t="s">
        <v>4364</v>
      </c>
      <c r="AJ1022" s="0" t="s">
        <v>4365</v>
      </c>
      <c r="AK1022" s="0" t="s">
        <v>4366</v>
      </c>
      <c r="AL1022" s="0" t="s">
        <v>4367</v>
      </c>
      <c r="AM1022" s="0" t="s">
        <v>94</v>
      </c>
      <c r="AN1022" s="26" t="n">
        <f aca="false">IFERROR(E1022*(1+IF(AM1022="Apartment",Data_Summary!$C$3,0)),"")</f>
        <v>3.78151260504202</v>
      </c>
      <c r="AO1022" s="4" t="n">
        <v>46195</v>
      </c>
    </row>
    <row r="1023" customFormat="false" ht="15" hidden="false" customHeight="false" outlineLevel="0" collapsed="false">
      <c r="A1023" s="0" t="n">
        <f aca="false">IF(AND(ISNUMBER(B1023),B1023&gt;0,ISNUMBER(AB1023),AB1023&gt;0,J1023&gt;=Data_Summary!$C$1),1,0)</f>
        <v>1</v>
      </c>
      <c r="B1023" s="33" t="n">
        <v>780</v>
      </c>
      <c r="C1023" s="5" t="n">
        <f aca="false">IF(ISNUMBER(AB1023),AB1023,"")</f>
        <v>3400</v>
      </c>
      <c r="D1023" s="0" t="n">
        <f aca="false">IF(ISNUMBER(C1023),C1023-U1023*Data_Summary!$C$2,"")</f>
        <v>3250</v>
      </c>
      <c r="E1023" s="34" t="n">
        <f aca="false">IFERROR(C1023/B1023,"")</f>
        <v>4.35897435897436</v>
      </c>
      <c r="F1023" s="26" t="n">
        <f aca="false">IFERROR(D1023/B1023,"")</f>
        <v>4.16666666666667</v>
      </c>
      <c r="G1023" s="0" t="str">
        <f aca="false">Q1023</f>
        <v>2</v>
      </c>
      <c r="H1023" s="0" t="str">
        <f aca="false">IFERROR(LEFT(G1023,1),"")</f>
        <v>2</v>
      </c>
      <c r="I1023" s="0" t="n">
        <f aca="false">IF(LEN(G1023)&gt;1,1,0)</f>
        <v>0</v>
      </c>
      <c r="J1023" s="4" t="n">
        <v>45738</v>
      </c>
      <c r="K1023" s="0" t="s">
        <v>17</v>
      </c>
      <c r="L1023" s="0" t="s">
        <v>107</v>
      </c>
      <c r="M1023" s="0" t="s">
        <v>226</v>
      </c>
      <c r="N1023" s="0" t="s">
        <v>93</v>
      </c>
      <c r="O1023" s="0" t="s">
        <v>544</v>
      </c>
      <c r="Q1023" s="0" t="s">
        <v>251</v>
      </c>
      <c r="R1023" s="0" t="n">
        <v>2</v>
      </c>
      <c r="S1023" s="5" t="n">
        <v>780</v>
      </c>
      <c r="T1023" s="0" t="s">
        <v>229</v>
      </c>
      <c r="U1023" s="0" t="n">
        <v>1</v>
      </c>
      <c r="V1023" s="0" t="s">
        <v>230</v>
      </c>
      <c r="W1023" s="0" t="s">
        <v>231</v>
      </c>
      <c r="X1023" s="0" t="s">
        <v>232</v>
      </c>
      <c r="Y1023" s="0" t="s">
        <v>233</v>
      </c>
      <c r="Z1023" s="0" t="s">
        <v>4080</v>
      </c>
      <c r="AA1023" s="0" t="s">
        <v>235</v>
      </c>
      <c r="AB1023" s="32" t="n">
        <v>3400</v>
      </c>
      <c r="AC1023" s="32" t="n">
        <v>3400</v>
      </c>
      <c r="AD1023" s="26" t="n">
        <f aca="false">IFERROR(AB1023/B1023,"")</f>
        <v>4.35897435897436</v>
      </c>
      <c r="AE1023" s="26" t="n">
        <f aca="false">IFERROR(AC1023/B1023,"")</f>
        <v>4.35897435897436</v>
      </c>
      <c r="AF1023" s="0" t="s">
        <v>421</v>
      </c>
      <c r="AG1023" s="0" t="s">
        <v>236</v>
      </c>
      <c r="AH1023" s="0" t="s">
        <v>230</v>
      </c>
      <c r="AI1023" s="0" t="s">
        <v>3215</v>
      </c>
      <c r="AJ1023" s="0" t="s">
        <v>4368</v>
      </c>
      <c r="AK1023" s="0" t="s">
        <v>4369</v>
      </c>
      <c r="AL1023" s="0" t="s">
        <v>4370</v>
      </c>
      <c r="AM1023" s="0" t="s">
        <v>94</v>
      </c>
      <c r="AN1023" s="26" t="n">
        <f aca="false">IFERROR(E1023*(1+IF(AM1023="Apartment",Data_Summary!$C$3,0)),"")</f>
        <v>4.35897435897436</v>
      </c>
      <c r="AO1023" s="4" t="n">
        <v>46195</v>
      </c>
    </row>
    <row r="1024" customFormat="false" ht="15" hidden="false" customHeight="false" outlineLevel="0" collapsed="false">
      <c r="A1024" s="0" t="n">
        <f aca="false">IF(AND(ISNUMBER(B1024),B1024&gt;0,ISNUMBER(AB1024),AB1024&gt;0,J1024&gt;=Data_Summary!$C$1),1,0)</f>
        <v>1</v>
      </c>
      <c r="B1024" s="30" t="n">
        <v>914</v>
      </c>
      <c r="C1024" s="5" t="n">
        <f aca="false">IF(ISNUMBER(AB1024),AB1024,"")</f>
        <v>3350</v>
      </c>
      <c r="D1024" s="0" t="n">
        <f aca="false">IF(ISNUMBER(C1024),C1024-U1024*Data_Summary!$C$2,"")</f>
        <v>3200</v>
      </c>
      <c r="E1024" s="31" t="n">
        <f aca="false">IFERROR(C1024/B1024,"")</f>
        <v>3.66520787746171</v>
      </c>
      <c r="F1024" s="26" t="n">
        <f aca="false">IFERROR(D1024/B1024,"")</f>
        <v>3.50109409190372</v>
      </c>
      <c r="G1024" s="0" t="str">
        <f aca="false">Q1024</f>
        <v>2</v>
      </c>
      <c r="H1024" s="0" t="str">
        <f aca="false">IFERROR(LEFT(G1024,1),"")</f>
        <v>2</v>
      </c>
      <c r="I1024" s="0" t="n">
        <f aca="false">IF(LEN(G1024)&gt;1,1,0)</f>
        <v>0</v>
      </c>
      <c r="J1024" s="4" t="n">
        <v>45736</v>
      </c>
      <c r="K1024" s="0" t="s">
        <v>17</v>
      </c>
      <c r="L1024" s="0" t="s">
        <v>107</v>
      </c>
      <c r="M1024" s="0" t="s">
        <v>226</v>
      </c>
      <c r="N1024" s="0" t="s">
        <v>93</v>
      </c>
      <c r="O1024" s="0" t="s">
        <v>549</v>
      </c>
      <c r="Q1024" s="0" t="s">
        <v>251</v>
      </c>
      <c r="R1024" s="0" t="n">
        <v>2</v>
      </c>
      <c r="S1024" s="5" t="n">
        <v>914</v>
      </c>
      <c r="T1024" s="0" t="s">
        <v>259</v>
      </c>
      <c r="U1024" s="0" t="n">
        <v>1</v>
      </c>
      <c r="V1024" s="0" t="s">
        <v>230</v>
      </c>
      <c r="W1024" s="0" t="s">
        <v>231</v>
      </c>
      <c r="X1024" s="0" t="s">
        <v>232</v>
      </c>
      <c r="Y1024" s="0" t="s">
        <v>278</v>
      </c>
      <c r="Z1024" s="0" t="s">
        <v>4080</v>
      </c>
      <c r="AA1024" s="0" t="s">
        <v>235</v>
      </c>
      <c r="AB1024" s="32" t="n">
        <v>3350</v>
      </c>
      <c r="AC1024" s="32" t="n">
        <v>3250</v>
      </c>
      <c r="AD1024" s="26" t="n">
        <f aca="false">IFERROR(AB1024/B1024,"")</f>
        <v>3.66520787746171</v>
      </c>
      <c r="AE1024" s="26" t="n">
        <f aca="false">IFERROR(AC1024/B1024,"")</f>
        <v>3.55579868708972</v>
      </c>
      <c r="AF1024" s="0" t="s">
        <v>236</v>
      </c>
      <c r="AG1024" s="0" t="s">
        <v>236</v>
      </c>
      <c r="AH1024" s="0" t="s">
        <v>230</v>
      </c>
      <c r="AI1024" s="0" t="s">
        <v>4371</v>
      </c>
      <c r="AJ1024" s="0" t="s">
        <v>4372</v>
      </c>
      <c r="AK1024" s="0" t="s">
        <v>4373</v>
      </c>
      <c r="AL1024" s="0" t="s">
        <v>4374</v>
      </c>
      <c r="AM1024" s="0" t="s">
        <v>94</v>
      </c>
      <c r="AN1024" s="26" t="n">
        <f aca="false">IFERROR(E1024*(1+IF(AM1024="Apartment",Data_Summary!$C$3,0)),"")</f>
        <v>3.66520787746171</v>
      </c>
      <c r="AO1024" s="4" t="n">
        <v>46195</v>
      </c>
    </row>
    <row r="1025" customFormat="false" ht="15" hidden="false" customHeight="false" outlineLevel="0" collapsed="false">
      <c r="A1025" s="0" t="n">
        <f aca="false">IF(AND(ISNUMBER(B1025),B1025&gt;0,ISNUMBER(AB1025),AB1025&gt;0,J1025&gt;=Data_Summary!$C$1),1,0)</f>
        <v>1</v>
      </c>
      <c r="B1025" s="30" t="n">
        <v>1031</v>
      </c>
      <c r="C1025" s="5" t="n">
        <f aca="false">IF(ISNUMBER(AB1025),AB1025,"")</f>
        <v>3750</v>
      </c>
      <c r="D1025" s="0" t="n">
        <f aca="false">IF(ISNUMBER(C1025),C1025-U1025*Data_Summary!$C$2,"")</f>
        <v>3600</v>
      </c>
      <c r="E1025" s="31" t="n">
        <f aca="false">IFERROR(C1025/B1025,"")</f>
        <v>3.6372453928225</v>
      </c>
      <c r="F1025" s="26" t="n">
        <f aca="false">IFERROR(D1025/B1025,"")</f>
        <v>3.4917555771096</v>
      </c>
      <c r="G1025" s="0" t="str">
        <f aca="false">Q1025</f>
        <v>2+1</v>
      </c>
      <c r="H1025" s="0" t="str">
        <f aca="false">IFERROR(LEFT(G1025,1),"")</f>
        <v>2</v>
      </c>
      <c r="I1025" s="0" t="n">
        <f aca="false">IF(LEN(G1025)&gt;1,1,0)</f>
        <v>1</v>
      </c>
      <c r="J1025" s="4" t="n">
        <v>45731</v>
      </c>
      <c r="K1025" s="0" t="s">
        <v>17</v>
      </c>
      <c r="L1025" s="0" t="s">
        <v>107</v>
      </c>
      <c r="M1025" s="0" t="s">
        <v>226</v>
      </c>
      <c r="N1025" s="0" t="s">
        <v>93</v>
      </c>
      <c r="O1025" s="0" t="s">
        <v>1727</v>
      </c>
      <c r="Q1025" s="0" t="s">
        <v>451</v>
      </c>
      <c r="R1025" s="0" t="n">
        <v>2</v>
      </c>
      <c r="S1025" s="5" t="n">
        <v>1031</v>
      </c>
      <c r="T1025" s="0" t="s">
        <v>265</v>
      </c>
      <c r="U1025" s="0" t="n">
        <v>1</v>
      </c>
      <c r="V1025" s="0" t="s">
        <v>230</v>
      </c>
      <c r="W1025" s="0" t="s">
        <v>244</v>
      </c>
      <c r="X1025" s="0" t="s">
        <v>232</v>
      </c>
      <c r="Y1025" s="0" t="s">
        <v>245</v>
      </c>
      <c r="Z1025" s="0" t="s">
        <v>4080</v>
      </c>
      <c r="AA1025" s="0" t="s">
        <v>235</v>
      </c>
      <c r="AB1025" s="32" t="n">
        <v>3750</v>
      </c>
      <c r="AC1025" s="32" t="n">
        <v>3500</v>
      </c>
      <c r="AD1025" s="26" t="n">
        <f aca="false">IFERROR(AB1025/B1025,"")</f>
        <v>3.6372453928225</v>
      </c>
      <c r="AE1025" s="26" t="n">
        <f aca="false">IFERROR(AC1025/B1025,"")</f>
        <v>3.39476236663434</v>
      </c>
      <c r="AF1025" s="0" t="s">
        <v>236</v>
      </c>
      <c r="AG1025" s="0" t="s">
        <v>236</v>
      </c>
      <c r="AH1025" s="0" t="s">
        <v>230</v>
      </c>
      <c r="AI1025" s="0" t="s">
        <v>4375</v>
      </c>
      <c r="AJ1025" s="0" t="s">
        <v>4376</v>
      </c>
      <c r="AK1025" s="0" t="s">
        <v>4377</v>
      </c>
      <c r="AL1025" s="0" t="s">
        <v>4378</v>
      </c>
      <c r="AM1025" s="0" t="s">
        <v>94</v>
      </c>
      <c r="AN1025" s="26" t="n">
        <f aca="false">IFERROR(E1025*(1+IF(AM1025="Apartment",Data_Summary!$C$3,0)),"")</f>
        <v>3.6372453928225</v>
      </c>
      <c r="AO1025" s="4" t="n">
        <v>46195</v>
      </c>
    </row>
    <row r="1026" customFormat="false" ht="15" hidden="false" customHeight="false" outlineLevel="0" collapsed="false">
      <c r="A1026" s="0" t="n">
        <f aca="false">IF(AND(ISNUMBER(B1026),B1026&gt;0,ISNUMBER(AB1026),AB1026&gt;0,J1026&gt;=Data_Summary!$C$1),1,0)</f>
        <v>1</v>
      </c>
      <c r="B1026" s="30" t="n">
        <v>780</v>
      </c>
      <c r="C1026" s="5" t="n">
        <f aca="false">IF(ISNUMBER(AB1026),AB1026,"")</f>
        <v>3200</v>
      </c>
      <c r="D1026" s="0" t="n">
        <f aca="false">IF(ISNUMBER(C1026),C1026-U1026*Data_Summary!$C$2,"")</f>
        <v>3050</v>
      </c>
      <c r="E1026" s="31" t="n">
        <f aca="false">IFERROR(C1026/B1026,"")</f>
        <v>4.1025641025641</v>
      </c>
      <c r="F1026" s="26" t="n">
        <f aca="false">IFERROR(D1026/B1026,"")</f>
        <v>3.91025641025641</v>
      </c>
      <c r="G1026" s="0" t="str">
        <f aca="false">Q1026</f>
        <v>2</v>
      </c>
      <c r="H1026" s="0" t="str">
        <f aca="false">IFERROR(LEFT(G1026,1),"")</f>
        <v>2</v>
      </c>
      <c r="I1026" s="0" t="n">
        <f aca="false">IF(LEN(G1026)&gt;1,1,0)</f>
        <v>0</v>
      </c>
      <c r="J1026" s="4" t="n">
        <v>45713</v>
      </c>
      <c r="K1026" s="0" t="s">
        <v>17</v>
      </c>
      <c r="L1026" s="0" t="s">
        <v>107</v>
      </c>
      <c r="M1026" s="0" t="s">
        <v>226</v>
      </c>
      <c r="N1026" s="0" t="s">
        <v>93</v>
      </c>
      <c r="O1026" s="0" t="s">
        <v>3528</v>
      </c>
      <c r="Q1026" s="0" t="s">
        <v>251</v>
      </c>
      <c r="R1026" s="0" t="n">
        <v>2</v>
      </c>
      <c r="S1026" s="5" t="n">
        <v>780</v>
      </c>
      <c r="T1026" s="0" t="s">
        <v>252</v>
      </c>
      <c r="U1026" s="0" t="n">
        <v>1</v>
      </c>
      <c r="V1026" s="0" t="s">
        <v>230</v>
      </c>
      <c r="W1026" s="0" t="s">
        <v>231</v>
      </c>
      <c r="X1026" s="0" t="s">
        <v>232</v>
      </c>
      <c r="Y1026" s="0" t="s">
        <v>233</v>
      </c>
      <c r="Z1026" s="0" t="s">
        <v>4080</v>
      </c>
      <c r="AA1026" s="0" t="s">
        <v>235</v>
      </c>
      <c r="AB1026" s="32" t="n">
        <v>3200</v>
      </c>
      <c r="AC1026" s="32" t="n">
        <v>3200</v>
      </c>
      <c r="AD1026" s="26" t="n">
        <f aca="false">IFERROR(AB1026/B1026,"")</f>
        <v>4.1025641025641</v>
      </c>
      <c r="AE1026" s="26" t="n">
        <f aca="false">IFERROR(AC1026/B1026,"")</f>
        <v>4.1025641025641</v>
      </c>
      <c r="AF1026" s="0" t="s">
        <v>236</v>
      </c>
      <c r="AG1026" s="0" t="s">
        <v>236</v>
      </c>
      <c r="AH1026" s="0" t="s">
        <v>230</v>
      </c>
      <c r="AI1026" s="0" t="s">
        <v>2352</v>
      </c>
      <c r="AJ1026" s="0" t="s">
        <v>4379</v>
      </c>
      <c r="AK1026" s="0" t="s">
        <v>4380</v>
      </c>
      <c r="AL1026" s="0" t="s">
        <v>4381</v>
      </c>
      <c r="AM1026" s="0" t="s">
        <v>94</v>
      </c>
      <c r="AN1026" s="26" t="n">
        <f aca="false">IFERROR(E1026*(1+IF(AM1026="Apartment",Data_Summary!$C$3,0)),"")</f>
        <v>4.1025641025641</v>
      </c>
      <c r="AO1026" s="4" t="n">
        <v>46195</v>
      </c>
    </row>
    <row r="1027" customFormat="false" ht="15" hidden="false" customHeight="false" outlineLevel="0" collapsed="false">
      <c r="A1027" s="0" t="n">
        <f aca="false">IF(AND(ISNUMBER(B1027),B1027&gt;0,ISNUMBER(AB1027),AB1027&gt;0,J1027&gt;=Data_Summary!$C$1),1,0)</f>
        <v>1</v>
      </c>
      <c r="B1027" s="30" t="n">
        <v>587</v>
      </c>
      <c r="C1027" s="5" t="n">
        <f aca="false">IF(ISNUMBER(AB1027),AB1027,"")</f>
        <v>2450</v>
      </c>
      <c r="D1027" s="0" t="n">
        <f aca="false">IF(ISNUMBER(C1027),C1027-U1027*Data_Summary!$C$2,"")</f>
        <v>2300</v>
      </c>
      <c r="E1027" s="31" t="n">
        <f aca="false">IFERROR(C1027/B1027,"")</f>
        <v>4.17376490630324</v>
      </c>
      <c r="F1027" s="26" t="n">
        <f aca="false">IFERROR(D1027/B1027,"")</f>
        <v>3.91822827938671</v>
      </c>
      <c r="G1027" s="0" t="str">
        <f aca="false">Q1027</f>
        <v>1+1</v>
      </c>
      <c r="H1027" s="0" t="str">
        <f aca="false">IFERROR(LEFT(G1027,1),"")</f>
        <v>1</v>
      </c>
      <c r="I1027" s="0" t="n">
        <f aca="false">IF(LEN(G1027)&gt;1,1,0)</f>
        <v>1</v>
      </c>
      <c r="J1027" s="4" t="n">
        <v>45713</v>
      </c>
      <c r="K1027" s="0" t="s">
        <v>17</v>
      </c>
      <c r="L1027" s="0" t="s">
        <v>107</v>
      </c>
      <c r="M1027" s="0" t="s">
        <v>226</v>
      </c>
      <c r="N1027" s="0" t="s">
        <v>93</v>
      </c>
      <c r="O1027" s="0" t="s">
        <v>1465</v>
      </c>
      <c r="Q1027" s="0" t="s">
        <v>270</v>
      </c>
      <c r="R1027" s="0" t="n">
        <v>1</v>
      </c>
      <c r="S1027" s="5" t="n">
        <v>587</v>
      </c>
      <c r="T1027" s="0" t="s">
        <v>243</v>
      </c>
      <c r="U1027" s="0" t="n">
        <v>1</v>
      </c>
      <c r="V1027" s="0" t="s">
        <v>230</v>
      </c>
      <c r="W1027" s="0" t="s">
        <v>231</v>
      </c>
      <c r="X1027" s="0" t="s">
        <v>232</v>
      </c>
      <c r="Y1027" s="0" t="s">
        <v>272</v>
      </c>
      <c r="Z1027" s="0" t="s">
        <v>4080</v>
      </c>
      <c r="AA1027" s="0" t="s">
        <v>235</v>
      </c>
      <c r="AB1027" s="32" t="n">
        <v>2450</v>
      </c>
      <c r="AC1027" s="32" t="n">
        <v>2450</v>
      </c>
      <c r="AD1027" s="26" t="n">
        <f aca="false">IFERROR(AB1027/B1027,"")</f>
        <v>4.17376490630324</v>
      </c>
      <c r="AE1027" s="26" t="n">
        <f aca="false">IFERROR(AC1027/B1027,"")</f>
        <v>4.17376490630324</v>
      </c>
      <c r="AF1027" s="0" t="s">
        <v>236</v>
      </c>
      <c r="AG1027" s="0" t="s">
        <v>236</v>
      </c>
      <c r="AH1027" s="0" t="s">
        <v>230</v>
      </c>
      <c r="AI1027" s="0" t="s">
        <v>2352</v>
      </c>
      <c r="AJ1027" s="0" t="s">
        <v>4382</v>
      </c>
      <c r="AK1027" s="0" t="s">
        <v>4383</v>
      </c>
      <c r="AL1027" s="0" t="s">
        <v>4384</v>
      </c>
      <c r="AM1027" s="0" t="s">
        <v>94</v>
      </c>
      <c r="AN1027" s="26" t="n">
        <f aca="false">IFERROR(E1027*(1+IF(AM1027="Apartment",Data_Summary!$C$3,0)),"")</f>
        <v>4.17376490630324</v>
      </c>
      <c r="AO1027" s="4" t="n">
        <v>46195</v>
      </c>
    </row>
    <row r="1028" customFormat="false" ht="15" hidden="false" customHeight="false" outlineLevel="0" collapsed="false">
      <c r="A1028" s="0" t="n">
        <f aca="false">IF(AND(ISNUMBER(B1028),B1028&gt;0,ISNUMBER(AB1028),AB1028&gt;0,J1028&gt;=Data_Summary!$C$1),1,0)</f>
        <v>1</v>
      </c>
      <c r="B1028" s="30" t="n">
        <v>479</v>
      </c>
      <c r="C1028" s="5" t="n">
        <f aca="false">IF(ISNUMBER(AB1028),AB1028,"")</f>
        <v>2000</v>
      </c>
      <c r="D1028" s="0" t="n">
        <f aca="false">IF(ISNUMBER(C1028),C1028-U1028*Data_Summary!$C$2,"")</f>
        <v>2000</v>
      </c>
      <c r="E1028" s="31" t="n">
        <f aca="false">IFERROR(C1028/B1028,"")</f>
        <v>4.17536534446764</v>
      </c>
      <c r="F1028" s="26" t="n">
        <f aca="false">IFERROR(D1028/B1028,"")</f>
        <v>4.17536534446764</v>
      </c>
      <c r="G1028" s="0" t="str">
        <f aca="false">Q1028</f>
        <v>1</v>
      </c>
      <c r="H1028" s="0" t="str">
        <f aca="false">IFERROR(LEFT(G1028,1),"")</f>
        <v>1</v>
      </c>
      <c r="I1028" s="0" t="n">
        <f aca="false">IF(LEN(G1028)&gt;1,1,0)</f>
        <v>0</v>
      </c>
      <c r="J1028" s="4" t="n">
        <v>45711</v>
      </c>
      <c r="K1028" s="0" t="s">
        <v>17</v>
      </c>
      <c r="L1028" s="0" t="s">
        <v>107</v>
      </c>
      <c r="M1028" s="0" t="s">
        <v>226</v>
      </c>
      <c r="N1028" s="0" t="s">
        <v>93</v>
      </c>
      <c r="O1028" s="0" t="s">
        <v>1134</v>
      </c>
      <c r="Q1028" s="0" t="s">
        <v>242</v>
      </c>
      <c r="R1028" s="0" t="n">
        <v>1</v>
      </c>
      <c r="S1028" s="5" t="n">
        <v>479</v>
      </c>
      <c r="T1028" s="0" t="s">
        <v>303</v>
      </c>
      <c r="U1028" s="0" t="n">
        <v>0</v>
      </c>
      <c r="V1028" s="0" t="s">
        <v>230</v>
      </c>
      <c r="W1028" s="0" t="s">
        <v>244</v>
      </c>
      <c r="Y1028" s="0" t="s">
        <v>272</v>
      </c>
      <c r="Z1028" s="0" t="s">
        <v>4080</v>
      </c>
      <c r="AA1028" s="0" t="s">
        <v>235</v>
      </c>
      <c r="AB1028" s="32" t="n">
        <v>2000</v>
      </c>
      <c r="AC1028" s="32" t="n">
        <v>2100</v>
      </c>
      <c r="AD1028" s="26" t="n">
        <f aca="false">IFERROR(AB1028/B1028,"")</f>
        <v>4.17536534446764</v>
      </c>
      <c r="AE1028" s="26" t="n">
        <f aca="false">IFERROR(AC1028/B1028,"")</f>
        <v>4.38413361169102</v>
      </c>
      <c r="AF1028" s="0" t="s">
        <v>236</v>
      </c>
      <c r="AG1028" s="0" t="s">
        <v>236</v>
      </c>
      <c r="AH1028" s="0" t="s">
        <v>230</v>
      </c>
      <c r="AI1028" s="0" t="s">
        <v>2361</v>
      </c>
      <c r="AJ1028" s="0" t="s">
        <v>4385</v>
      </c>
      <c r="AK1028" s="0" t="s">
        <v>4386</v>
      </c>
      <c r="AL1028" s="0" t="s">
        <v>4387</v>
      </c>
      <c r="AM1028" s="0" t="s">
        <v>94</v>
      </c>
      <c r="AN1028" s="26" t="n">
        <f aca="false">IFERROR(E1028*(1+IF(AM1028="Apartment",Data_Summary!$C$3,0)),"")</f>
        <v>4.17536534446764</v>
      </c>
      <c r="AO1028" s="4" t="n">
        <v>46195</v>
      </c>
    </row>
    <row r="1029" customFormat="false" ht="15" hidden="false" customHeight="false" outlineLevel="0" collapsed="false">
      <c r="A1029" s="0" t="n">
        <f aca="false">IF(AND(ISNUMBER(B1029),B1029&gt;0,ISNUMBER(AB1029),AB1029&gt;0,J1029&gt;=Data_Summary!$C$1),1,0)</f>
        <v>1</v>
      </c>
      <c r="B1029" s="33" t="n">
        <v>924</v>
      </c>
      <c r="C1029" s="5" t="n">
        <f aca="false">IF(ISNUMBER(AB1029),AB1029,"")</f>
        <v>3500</v>
      </c>
      <c r="D1029" s="0" t="n">
        <f aca="false">IF(ISNUMBER(C1029),C1029-U1029*Data_Summary!$C$2,"")</f>
        <v>3350</v>
      </c>
      <c r="E1029" s="34" t="n">
        <f aca="false">IFERROR(C1029/B1029,"")</f>
        <v>3.78787878787879</v>
      </c>
      <c r="F1029" s="26" t="n">
        <f aca="false">IFERROR(D1029/B1029,"")</f>
        <v>3.62554112554113</v>
      </c>
      <c r="G1029" s="0" t="str">
        <f aca="false">Q1029</f>
        <v>2+1</v>
      </c>
      <c r="H1029" s="0" t="str">
        <f aca="false">IFERROR(LEFT(G1029,1),"")</f>
        <v>2</v>
      </c>
      <c r="I1029" s="0" t="n">
        <f aca="false">IF(LEN(G1029)&gt;1,1,0)</f>
        <v>1</v>
      </c>
      <c r="J1029" s="4" t="n">
        <v>45698</v>
      </c>
      <c r="K1029" s="0" t="s">
        <v>17</v>
      </c>
      <c r="L1029" s="0" t="s">
        <v>107</v>
      </c>
      <c r="M1029" s="0" t="s">
        <v>226</v>
      </c>
      <c r="N1029" s="0" t="s">
        <v>93</v>
      </c>
      <c r="O1029" s="0" t="s">
        <v>415</v>
      </c>
      <c r="Q1029" s="0" t="s">
        <v>451</v>
      </c>
      <c r="R1029" s="0" t="n">
        <v>2</v>
      </c>
      <c r="S1029" s="5" t="n">
        <v>924</v>
      </c>
      <c r="T1029" s="0" t="s">
        <v>259</v>
      </c>
      <c r="U1029" s="0" t="n">
        <v>1</v>
      </c>
      <c r="V1029" s="0" t="s">
        <v>230</v>
      </c>
      <c r="W1029" s="0" t="s">
        <v>231</v>
      </c>
      <c r="X1029" s="0" t="s">
        <v>232</v>
      </c>
      <c r="Y1029" s="0" t="s">
        <v>253</v>
      </c>
      <c r="Z1029" s="0" t="s">
        <v>4080</v>
      </c>
      <c r="AA1029" s="0" t="s">
        <v>235</v>
      </c>
      <c r="AB1029" s="32" t="n">
        <v>3500</v>
      </c>
      <c r="AC1029" s="32" t="n">
        <v>3500</v>
      </c>
      <c r="AD1029" s="26" t="n">
        <f aca="false">IFERROR(AB1029/B1029,"")</f>
        <v>3.78787878787879</v>
      </c>
      <c r="AE1029" s="26" t="n">
        <f aca="false">IFERROR(AC1029/B1029,"")</f>
        <v>3.78787878787879</v>
      </c>
      <c r="AF1029" s="0" t="s">
        <v>421</v>
      </c>
      <c r="AG1029" s="0" t="s">
        <v>236</v>
      </c>
      <c r="AH1029" s="0" t="s">
        <v>236</v>
      </c>
      <c r="AI1029" s="0" t="s">
        <v>3269</v>
      </c>
      <c r="AJ1029" s="0" t="s">
        <v>4388</v>
      </c>
      <c r="AK1029" s="0" t="s">
        <v>4389</v>
      </c>
      <c r="AL1029" s="0" t="s">
        <v>4390</v>
      </c>
      <c r="AM1029" s="0" t="s">
        <v>94</v>
      </c>
      <c r="AN1029" s="26" t="n">
        <f aca="false">IFERROR(E1029*(1+IF(AM1029="Apartment",Data_Summary!$C$3,0)),"")</f>
        <v>3.78787878787879</v>
      </c>
      <c r="AO1029" s="4" t="n">
        <v>46195</v>
      </c>
    </row>
    <row r="1030" customFormat="false" ht="15" hidden="false" customHeight="false" outlineLevel="0" collapsed="false">
      <c r="A1030" s="0" t="n">
        <f aca="false">IF(AND(ISNUMBER(B1030),B1030&gt;0,ISNUMBER(AB1030),AB1030&gt;0,J1030&gt;=Data_Summary!$C$1),1,0)</f>
        <v>1</v>
      </c>
      <c r="B1030" s="33" t="n">
        <v>780</v>
      </c>
      <c r="C1030" s="5" t="n">
        <f aca="false">IF(ISNUMBER(AB1030),AB1030,"")</f>
        <v>3250</v>
      </c>
      <c r="D1030" s="0" t="n">
        <f aca="false">IF(ISNUMBER(C1030),C1030-U1030*Data_Summary!$C$2,"")</f>
        <v>3100</v>
      </c>
      <c r="E1030" s="34" t="n">
        <f aca="false">IFERROR(C1030/B1030,"")</f>
        <v>4.16666666666667</v>
      </c>
      <c r="F1030" s="26" t="n">
        <f aca="false">IFERROR(D1030/B1030,"")</f>
        <v>3.97435897435897</v>
      </c>
      <c r="G1030" s="0" t="str">
        <f aca="false">Q1030</f>
        <v>2</v>
      </c>
      <c r="H1030" s="0" t="str">
        <f aca="false">IFERROR(LEFT(G1030,1),"")</f>
        <v>2</v>
      </c>
      <c r="I1030" s="0" t="n">
        <f aca="false">IF(LEN(G1030)&gt;1,1,0)</f>
        <v>0</v>
      </c>
      <c r="J1030" s="4" t="n">
        <v>45695</v>
      </c>
      <c r="K1030" s="0" t="s">
        <v>17</v>
      </c>
      <c r="L1030" s="0" t="s">
        <v>107</v>
      </c>
      <c r="M1030" s="0" t="s">
        <v>226</v>
      </c>
      <c r="N1030" s="0" t="s">
        <v>93</v>
      </c>
      <c r="O1030" s="0" t="s">
        <v>642</v>
      </c>
      <c r="Q1030" s="0" t="s">
        <v>251</v>
      </c>
      <c r="R1030" s="0" t="n">
        <v>2</v>
      </c>
      <c r="S1030" s="5" t="n">
        <v>780</v>
      </c>
      <c r="T1030" s="0" t="s">
        <v>229</v>
      </c>
      <c r="U1030" s="0" t="n">
        <v>1</v>
      </c>
      <c r="V1030" s="0" t="s">
        <v>230</v>
      </c>
      <c r="W1030" s="0" t="s">
        <v>231</v>
      </c>
      <c r="X1030" s="0" t="s">
        <v>232</v>
      </c>
      <c r="Y1030" s="0" t="s">
        <v>253</v>
      </c>
      <c r="Z1030" s="0" t="s">
        <v>4080</v>
      </c>
      <c r="AA1030" s="0" t="s">
        <v>235</v>
      </c>
      <c r="AB1030" s="32" t="n">
        <v>3250</v>
      </c>
      <c r="AC1030" s="32" t="n">
        <v>3250</v>
      </c>
      <c r="AD1030" s="26" t="n">
        <f aca="false">IFERROR(AB1030/B1030,"")</f>
        <v>4.16666666666667</v>
      </c>
      <c r="AE1030" s="26" t="n">
        <f aca="false">IFERROR(AC1030/B1030,"")</f>
        <v>4.16666666666667</v>
      </c>
      <c r="AF1030" s="0" t="s">
        <v>236</v>
      </c>
      <c r="AG1030" s="0" t="s">
        <v>236</v>
      </c>
      <c r="AH1030" s="0" t="s">
        <v>230</v>
      </c>
      <c r="AI1030" s="0" t="s">
        <v>4069</v>
      </c>
      <c r="AJ1030" s="0" t="s">
        <v>4391</v>
      </c>
      <c r="AK1030" s="0" t="s">
        <v>4392</v>
      </c>
      <c r="AL1030" s="0" t="s">
        <v>4393</v>
      </c>
      <c r="AM1030" s="0" t="s">
        <v>94</v>
      </c>
      <c r="AN1030" s="26" t="n">
        <f aca="false">IFERROR(E1030*(1+IF(AM1030="Apartment",Data_Summary!$C$3,0)),"")</f>
        <v>4.16666666666667</v>
      </c>
      <c r="AO1030" s="4" t="n">
        <v>46195</v>
      </c>
    </row>
    <row r="1031" customFormat="false" ht="15" hidden="false" customHeight="false" outlineLevel="0" collapsed="false">
      <c r="A1031" s="0" t="n">
        <f aca="false">IF(AND(ISNUMBER(B1031),B1031&gt;0,ISNUMBER(AB1031),AB1031&gt;0,J1031&gt;=Data_Summary!$C$1),1,0)</f>
        <v>1</v>
      </c>
      <c r="B1031" s="33" t="n">
        <v>587</v>
      </c>
      <c r="C1031" s="5" t="n">
        <f aca="false">IF(ISNUMBER(AB1031),AB1031,"")</f>
        <v>3100</v>
      </c>
      <c r="D1031" s="0" t="n">
        <f aca="false">IF(ISNUMBER(C1031),C1031-U1031*Data_Summary!$C$2,"")</f>
        <v>3100</v>
      </c>
      <c r="E1031" s="34" t="n">
        <f aca="false">IFERROR(C1031/B1031,"")</f>
        <v>5.28109028960818</v>
      </c>
      <c r="F1031" s="26" t="n">
        <f aca="false">IFERROR(D1031/B1031,"")</f>
        <v>5.28109028960818</v>
      </c>
      <c r="G1031" s="0" t="str">
        <f aca="false">Q1031</f>
        <v>1+1</v>
      </c>
      <c r="H1031" s="0" t="str">
        <f aca="false">IFERROR(LEFT(G1031,1),"")</f>
        <v>1</v>
      </c>
      <c r="I1031" s="0" t="n">
        <f aca="false">IF(LEN(G1031)&gt;1,1,0)</f>
        <v>1</v>
      </c>
      <c r="J1031" s="4" t="n">
        <v>45695</v>
      </c>
      <c r="K1031" s="0" t="s">
        <v>17</v>
      </c>
      <c r="L1031" s="0" t="s">
        <v>107</v>
      </c>
      <c r="M1031" s="0" t="s">
        <v>226</v>
      </c>
      <c r="N1031" s="0" t="s">
        <v>93</v>
      </c>
      <c r="O1031" s="0" t="s">
        <v>1995</v>
      </c>
      <c r="Q1031" s="0" t="s">
        <v>270</v>
      </c>
      <c r="R1031" s="0" t="n">
        <v>1</v>
      </c>
      <c r="S1031" s="5" t="n">
        <v>587</v>
      </c>
      <c r="T1031" s="0" t="s">
        <v>271</v>
      </c>
      <c r="U1031" s="0" t="n">
        <v>0</v>
      </c>
      <c r="V1031" s="0" t="s">
        <v>230</v>
      </c>
      <c r="W1031" s="0" t="s">
        <v>244</v>
      </c>
      <c r="X1031" s="0" t="s">
        <v>232</v>
      </c>
      <c r="Y1031" s="0" t="s">
        <v>245</v>
      </c>
      <c r="Z1031" s="0" t="s">
        <v>4080</v>
      </c>
      <c r="AA1031" s="0" t="s">
        <v>235</v>
      </c>
      <c r="AB1031" s="32" t="n">
        <v>3100</v>
      </c>
      <c r="AC1031" s="32" t="n">
        <v>2450</v>
      </c>
      <c r="AD1031" s="26" t="n">
        <f aca="false">IFERROR(AB1031/B1031,"")</f>
        <v>5.28109028960818</v>
      </c>
      <c r="AE1031" s="26" t="n">
        <f aca="false">IFERROR(AC1031/B1031,"")</f>
        <v>4.17376490630324</v>
      </c>
      <c r="AF1031" s="0" t="s">
        <v>230</v>
      </c>
      <c r="AG1031" s="0" t="s">
        <v>236</v>
      </c>
      <c r="AH1031" s="0" t="s">
        <v>230</v>
      </c>
      <c r="AI1031" s="0" t="s">
        <v>4069</v>
      </c>
      <c r="AJ1031" s="0" t="s">
        <v>4394</v>
      </c>
      <c r="AK1031" s="0" t="s">
        <v>4395</v>
      </c>
      <c r="AL1031" s="0" t="s">
        <v>4396</v>
      </c>
      <c r="AM1031" s="0" t="s">
        <v>94</v>
      </c>
      <c r="AN1031" s="26" t="n">
        <f aca="false">IFERROR(E1031*(1+IF(AM1031="Apartment",Data_Summary!$C$3,0)),"")</f>
        <v>5.28109028960818</v>
      </c>
      <c r="AO1031" s="4" t="n">
        <v>46195</v>
      </c>
    </row>
    <row r="1032" customFormat="false" ht="15" hidden="false" customHeight="false" outlineLevel="0" collapsed="false">
      <c r="A1032" s="0" t="n">
        <f aca="false">IF(AND(ISNUMBER(B1032),B1032&gt;0,ISNUMBER(AB1032),AB1032&gt;0,J1032&gt;=Data_Summary!$C$1),1,0)</f>
        <v>1</v>
      </c>
      <c r="B1032" s="33" t="n">
        <v>780</v>
      </c>
      <c r="C1032" s="5" t="n">
        <f aca="false">IF(ISNUMBER(AB1032),AB1032,"")</f>
        <v>3200</v>
      </c>
      <c r="D1032" s="0" t="n">
        <f aca="false">IF(ISNUMBER(C1032),C1032-U1032*Data_Summary!$C$2,"")</f>
        <v>3050</v>
      </c>
      <c r="E1032" s="34" t="n">
        <f aca="false">IFERROR(C1032/B1032,"")</f>
        <v>4.1025641025641</v>
      </c>
      <c r="F1032" s="26" t="n">
        <f aca="false">IFERROR(D1032/B1032,"")</f>
        <v>3.91025641025641</v>
      </c>
      <c r="G1032" s="0" t="str">
        <f aca="false">Q1032</f>
        <v>2</v>
      </c>
      <c r="H1032" s="0" t="str">
        <f aca="false">IFERROR(LEFT(G1032,1),"")</f>
        <v>2</v>
      </c>
      <c r="I1032" s="0" t="n">
        <f aca="false">IF(LEN(G1032)&gt;1,1,0)</f>
        <v>0</v>
      </c>
      <c r="J1032" s="4" t="n">
        <v>45689</v>
      </c>
      <c r="K1032" s="0" t="s">
        <v>17</v>
      </c>
      <c r="L1032" s="0" t="s">
        <v>107</v>
      </c>
      <c r="M1032" s="0" t="s">
        <v>226</v>
      </c>
      <c r="N1032" s="0" t="s">
        <v>93</v>
      </c>
      <c r="O1032" s="0" t="s">
        <v>348</v>
      </c>
      <c r="Q1032" s="0" t="s">
        <v>251</v>
      </c>
      <c r="R1032" s="0" t="n">
        <v>2</v>
      </c>
      <c r="S1032" s="5" t="n">
        <v>780</v>
      </c>
      <c r="T1032" s="0" t="s">
        <v>229</v>
      </c>
      <c r="U1032" s="0" t="n">
        <v>1</v>
      </c>
      <c r="V1032" s="0" t="s">
        <v>230</v>
      </c>
      <c r="W1032" s="0" t="s">
        <v>231</v>
      </c>
      <c r="X1032" s="0" t="s">
        <v>232</v>
      </c>
      <c r="Y1032" s="0" t="s">
        <v>233</v>
      </c>
      <c r="Z1032" s="0" t="s">
        <v>4080</v>
      </c>
      <c r="AA1032" s="0" t="s">
        <v>235</v>
      </c>
      <c r="AB1032" s="32" t="n">
        <v>3200</v>
      </c>
      <c r="AC1032" s="32" t="n">
        <v>3150</v>
      </c>
      <c r="AD1032" s="26" t="n">
        <f aca="false">IFERROR(AB1032/B1032,"")</f>
        <v>4.1025641025641</v>
      </c>
      <c r="AE1032" s="26" t="n">
        <f aca="false">IFERROR(AC1032/B1032,"")</f>
        <v>4.03846153846154</v>
      </c>
      <c r="AF1032" s="0" t="s">
        <v>236</v>
      </c>
      <c r="AG1032" s="0" t="s">
        <v>236</v>
      </c>
      <c r="AH1032" s="0" t="s">
        <v>230</v>
      </c>
      <c r="AI1032" s="0" t="s">
        <v>3279</v>
      </c>
      <c r="AJ1032" s="0" t="s">
        <v>4397</v>
      </c>
      <c r="AK1032" s="0" t="s">
        <v>4398</v>
      </c>
      <c r="AL1032" s="0" t="s">
        <v>4399</v>
      </c>
      <c r="AM1032" s="0" t="s">
        <v>94</v>
      </c>
      <c r="AN1032" s="26" t="n">
        <f aca="false">IFERROR(E1032*(1+IF(AM1032="Apartment",Data_Summary!$C$3,0)),"")</f>
        <v>4.1025641025641</v>
      </c>
      <c r="AO1032" s="4" t="n">
        <v>46195</v>
      </c>
    </row>
    <row r="1033" customFormat="false" ht="15" hidden="false" customHeight="false" outlineLevel="0" collapsed="false">
      <c r="A1033" s="0" t="n">
        <f aca="false">IF(AND(ISNUMBER(B1033),B1033&gt;0,ISNUMBER(AB1033),AB1033&gt;0,J1033&gt;=Data_Summary!$C$1),1,0)</f>
        <v>1</v>
      </c>
      <c r="B1033" s="33" t="n">
        <v>780</v>
      </c>
      <c r="C1033" s="5" t="n">
        <f aca="false">IF(ISNUMBER(AB1033),AB1033,"")</f>
        <v>3000</v>
      </c>
      <c r="D1033" s="0" t="n">
        <f aca="false">IF(ISNUMBER(C1033),C1033-U1033*Data_Summary!$C$2,"")</f>
        <v>2850</v>
      </c>
      <c r="E1033" s="34" t="n">
        <f aca="false">IFERROR(C1033/B1033,"")</f>
        <v>3.84615384615385</v>
      </c>
      <c r="F1033" s="26" t="n">
        <f aca="false">IFERROR(D1033/B1033,"")</f>
        <v>3.65384615384615</v>
      </c>
      <c r="G1033" s="0" t="str">
        <f aca="false">Q1033</f>
        <v>2</v>
      </c>
      <c r="H1033" s="0" t="str">
        <f aca="false">IFERROR(LEFT(G1033,1),"")</f>
        <v>2</v>
      </c>
      <c r="I1033" s="0" t="n">
        <f aca="false">IF(LEN(G1033)&gt;1,1,0)</f>
        <v>0</v>
      </c>
      <c r="J1033" s="4" t="n">
        <v>45688</v>
      </c>
      <c r="K1033" s="0" t="s">
        <v>17</v>
      </c>
      <c r="L1033" s="0" t="s">
        <v>107</v>
      </c>
      <c r="M1033" s="0" t="s">
        <v>226</v>
      </c>
      <c r="N1033" s="0" t="s">
        <v>93</v>
      </c>
      <c r="O1033" s="0" t="s">
        <v>4400</v>
      </c>
      <c r="Q1033" s="0" t="s">
        <v>251</v>
      </c>
      <c r="R1033" s="0" t="n">
        <v>2</v>
      </c>
      <c r="S1033" s="5" t="n">
        <v>780</v>
      </c>
      <c r="T1033" s="0" t="s">
        <v>229</v>
      </c>
      <c r="U1033" s="0" t="n">
        <v>1</v>
      </c>
      <c r="V1033" s="0" t="s">
        <v>230</v>
      </c>
      <c r="W1033" s="0" t="s">
        <v>244</v>
      </c>
      <c r="X1033" s="0" t="s">
        <v>232</v>
      </c>
      <c r="Y1033" s="0" t="s">
        <v>233</v>
      </c>
      <c r="Z1033" s="0" t="s">
        <v>4080</v>
      </c>
      <c r="AA1033" s="0" t="s">
        <v>235</v>
      </c>
      <c r="AB1033" s="32" t="n">
        <v>3000</v>
      </c>
      <c r="AC1033" s="32" t="n">
        <v>3000</v>
      </c>
      <c r="AD1033" s="26" t="n">
        <f aca="false">IFERROR(AB1033/B1033,"")</f>
        <v>3.84615384615385</v>
      </c>
      <c r="AE1033" s="26" t="n">
        <f aca="false">IFERROR(AC1033/B1033,"")</f>
        <v>3.84615384615385</v>
      </c>
      <c r="AF1033" s="0" t="s">
        <v>421</v>
      </c>
      <c r="AG1033" s="0" t="s">
        <v>236</v>
      </c>
      <c r="AH1033" s="0" t="s">
        <v>230</v>
      </c>
      <c r="AI1033" s="0" t="s">
        <v>4401</v>
      </c>
      <c r="AJ1033" s="0" t="s">
        <v>4402</v>
      </c>
      <c r="AK1033" s="0" t="s">
        <v>4403</v>
      </c>
      <c r="AL1033" s="0" t="s">
        <v>4404</v>
      </c>
      <c r="AM1033" s="0" t="s">
        <v>94</v>
      </c>
      <c r="AN1033" s="26" t="n">
        <f aca="false">IFERROR(E1033*(1+IF(AM1033="Apartment",Data_Summary!$C$3,0)),"")</f>
        <v>3.84615384615385</v>
      </c>
      <c r="AO1033" s="4" t="n">
        <v>46195</v>
      </c>
    </row>
    <row r="1034" customFormat="false" ht="15" hidden="false" customHeight="false" outlineLevel="0" collapsed="false">
      <c r="A1034" s="0" t="n">
        <f aca="false">IF(AND(ISNUMBER(B1034),B1034&gt;0,ISNUMBER(AB1034),AB1034&gt;0,J1034&gt;=Data_Summary!$C$1),1,0)</f>
        <v>1</v>
      </c>
      <c r="B1034" s="30" t="n">
        <v>595</v>
      </c>
      <c r="C1034" s="5" t="n">
        <f aca="false">IF(ISNUMBER(AB1034),AB1034,"")</f>
        <v>2200</v>
      </c>
      <c r="D1034" s="0" t="n">
        <f aca="false">IF(ISNUMBER(C1034),C1034-U1034*Data_Summary!$C$2,"")</f>
        <v>2050</v>
      </c>
      <c r="E1034" s="31" t="n">
        <f aca="false">IFERROR(C1034/B1034,"")</f>
        <v>3.69747899159664</v>
      </c>
      <c r="F1034" s="26" t="n">
        <f aca="false">IFERROR(D1034/B1034,"")</f>
        <v>3.4453781512605</v>
      </c>
      <c r="G1034" s="0" t="str">
        <f aca="false">Q1034</f>
        <v>1+1</v>
      </c>
      <c r="H1034" s="0" t="str">
        <f aca="false">IFERROR(LEFT(G1034,1),"")</f>
        <v>1</v>
      </c>
      <c r="I1034" s="0" t="n">
        <f aca="false">IF(LEN(G1034)&gt;1,1,0)</f>
        <v>1</v>
      </c>
      <c r="J1034" s="4" t="n">
        <v>45684</v>
      </c>
      <c r="K1034" s="0" t="s">
        <v>17</v>
      </c>
      <c r="L1034" s="0" t="s">
        <v>107</v>
      </c>
      <c r="M1034" s="0" t="s">
        <v>226</v>
      </c>
      <c r="N1034" s="0" t="s">
        <v>93</v>
      </c>
      <c r="O1034" s="0" t="s">
        <v>3509</v>
      </c>
      <c r="Q1034" s="0" t="s">
        <v>270</v>
      </c>
      <c r="R1034" s="0" t="n">
        <v>1</v>
      </c>
      <c r="S1034" s="5" t="n">
        <v>595</v>
      </c>
      <c r="T1034" s="0" t="s">
        <v>243</v>
      </c>
      <c r="U1034" s="0" t="n">
        <v>1</v>
      </c>
      <c r="V1034" s="0" t="s">
        <v>230</v>
      </c>
      <c r="W1034" s="0" t="s">
        <v>244</v>
      </c>
      <c r="X1034" s="0" t="s">
        <v>232</v>
      </c>
      <c r="Y1034" s="0" t="s">
        <v>272</v>
      </c>
      <c r="Z1034" s="0" t="s">
        <v>4080</v>
      </c>
      <c r="AA1034" s="0" t="s">
        <v>235</v>
      </c>
      <c r="AB1034" s="32" t="n">
        <v>2200</v>
      </c>
      <c r="AC1034" s="32" t="n">
        <v>2400</v>
      </c>
      <c r="AD1034" s="26" t="n">
        <f aca="false">IFERROR(AB1034/B1034,"")</f>
        <v>3.69747899159664</v>
      </c>
      <c r="AE1034" s="26" t="n">
        <f aca="false">IFERROR(AC1034/B1034,"")</f>
        <v>4.03361344537815</v>
      </c>
      <c r="AF1034" s="0" t="s">
        <v>236</v>
      </c>
      <c r="AG1034" s="0" t="s">
        <v>236</v>
      </c>
      <c r="AH1034" s="0" t="s">
        <v>230</v>
      </c>
      <c r="AI1034" s="0" t="s">
        <v>3827</v>
      </c>
      <c r="AJ1034" s="0" t="s">
        <v>4405</v>
      </c>
      <c r="AK1034" s="0" t="s">
        <v>4406</v>
      </c>
      <c r="AL1034" s="0" t="s">
        <v>4407</v>
      </c>
      <c r="AM1034" s="0" t="s">
        <v>94</v>
      </c>
      <c r="AN1034" s="26" t="n">
        <f aca="false">IFERROR(E1034*(1+IF(AM1034="Apartment",Data_Summary!$C$3,0)),"")</f>
        <v>3.69747899159664</v>
      </c>
      <c r="AO1034" s="4" t="n">
        <v>46195</v>
      </c>
    </row>
    <row r="1035" customFormat="false" ht="15" hidden="false" customHeight="false" outlineLevel="0" collapsed="false">
      <c r="A1035" s="0" t="n">
        <f aca="false">IF(AND(ISNUMBER(B1035),B1035&gt;0,ISNUMBER(AB1035),AB1035&gt;0,J1035&gt;=Data_Summary!$C$1),1,0)</f>
        <v>1</v>
      </c>
      <c r="B1035" s="30" t="n">
        <v>587</v>
      </c>
      <c r="C1035" s="5" t="n">
        <f aca="false">IF(ISNUMBER(AB1035),AB1035,"")</f>
        <v>2450</v>
      </c>
      <c r="D1035" s="0" t="n">
        <f aca="false">IF(ISNUMBER(C1035),C1035-U1035*Data_Summary!$C$2,"")</f>
        <v>2450</v>
      </c>
      <c r="E1035" s="31" t="n">
        <f aca="false">IFERROR(C1035/B1035,"")</f>
        <v>4.17376490630324</v>
      </c>
      <c r="F1035" s="26" t="n">
        <f aca="false">IFERROR(D1035/B1035,"")</f>
        <v>4.17376490630324</v>
      </c>
      <c r="G1035" s="0" t="str">
        <f aca="false">Q1035</f>
        <v>1+1</v>
      </c>
      <c r="H1035" s="0" t="str">
        <f aca="false">IFERROR(LEFT(G1035,1),"")</f>
        <v>1</v>
      </c>
      <c r="I1035" s="0" t="n">
        <f aca="false">IF(LEN(G1035)&gt;1,1,0)</f>
        <v>1</v>
      </c>
      <c r="J1035" s="4" t="n">
        <v>45672</v>
      </c>
      <c r="K1035" s="0" t="s">
        <v>17</v>
      </c>
      <c r="L1035" s="0" t="s">
        <v>107</v>
      </c>
      <c r="M1035" s="0" t="s">
        <v>226</v>
      </c>
      <c r="N1035" s="0" t="s">
        <v>93</v>
      </c>
      <c r="O1035" s="0" t="s">
        <v>2904</v>
      </c>
      <c r="Q1035" s="0" t="s">
        <v>270</v>
      </c>
      <c r="R1035" s="0" t="n">
        <v>1</v>
      </c>
      <c r="S1035" s="5" t="n">
        <v>587</v>
      </c>
      <c r="T1035" s="0" t="s">
        <v>243</v>
      </c>
      <c r="U1035" s="0" t="n">
        <v>0</v>
      </c>
      <c r="V1035" s="0" t="s">
        <v>230</v>
      </c>
      <c r="W1035" s="0" t="s">
        <v>244</v>
      </c>
      <c r="X1035" s="0" t="s">
        <v>232</v>
      </c>
      <c r="Y1035" s="0" t="s">
        <v>272</v>
      </c>
      <c r="Z1035" s="0" t="s">
        <v>4080</v>
      </c>
      <c r="AA1035" s="0" t="s">
        <v>235</v>
      </c>
      <c r="AB1035" s="32" t="n">
        <v>2450</v>
      </c>
      <c r="AC1035" s="32" t="n">
        <v>2400</v>
      </c>
      <c r="AD1035" s="26" t="n">
        <f aca="false">IFERROR(AB1035/B1035,"")</f>
        <v>4.17376490630324</v>
      </c>
      <c r="AE1035" s="26" t="n">
        <f aca="false">IFERROR(AC1035/B1035,"")</f>
        <v>4.0885860306644</v>
      </c>
      <c r="AF1035" s="0" t="s">
        <v>236</v>
      </c>
      <c r="AG1035" s="0" t="s">
        <v>236</v>
      </c>
      <c r="AH1035" s="0" t="s">
        <v>230</v>
      </c>
      <c r="AI1035" s="0" t="s">
        <v>4408</v>
      </c>
      <c r="AJ1035" s="0" t="s">
        <v>4409</v>
      </c>
      <c r="AK1035" s="0" t="s">
        <v>4410</v>
      </c>
      <c r="AL1035" s="0" t="s">
        <v>4411</v>
      </c>
      <c r="AM1035" s="0" t="s">
        <v>94</v>
      </c>
      <c r="AN1035" s="26" t="n">
        <f aca="false">IFERROR(E1035*(1+IF(AM1035="Apartment",Data_Summary!$C$3,0)),"")</f>
        <v>4.17376490630324</v>
      </c>
      <c r="AO1035" s="4" t="n">
        <v>46195</v>
      </c>
    </row>
    <row r="1036" customFormat="false" ht="15" hidden="false" customHeight="false" outlineLevel="0" collapsed="false">
      <c r="A1036" s="0" t="n">
        <f aca="false">IF(AND(ISNUMBER(B1036),B1036&gt;0,ISNUMBER(AB1036),AB1036&gt;0,J1036&gt;=Data_Summary!$C$1),1,0)</f>
        <v>1</v>
      </c>
      <c r="B1036" s="33" t="n">
        <v>780</v>
      </c>
      <c r="C1036" s="5" t="n">
        <f aca="false">IF(ISNUMBER(AB1036),AB1036,"")</f>
        <v>3200</v>
      </c>
      <c r="D1036" s="0" t="n">
        <f aca="false">IF(ISNUMBER(C1036),C1036-U1036*Data_Summary!$C$2,"")</f>
        <v>3050</v>
      </c>
      <c r="E1036" s="34" t="n">
        <f aca="false">IFERROR(C1036/B1036,"")</f>
        <v>4.1025641025641</v>
      </c>
      <c r="F1036" s="26" t="n">
        <f aca="false">IFERROR(D1036/B1036,"")</f>
        <v>3.91025641025641</v>
      </c>
      <c r="G1036" s="0" t="str">
        <f aca="false">Q1036</f>
        <v>2</v>
      </c>
      <c r="H1036" s="0" t="str">
        <f aca="false">IFERROR(LEFT(G1036,1),"")</f>
        <v>2</v>
      </c>
      <c r="I1036" s="0" t="n">
        <f aca="false">IF(LEN(G1036)&gt;1,1,0)</f>
        <v>0</v>
      </c>
      <c r="J1036" s="4" t="n">
        <v>45671</v>
      </c>
      <c r="K1036" s="0" t="s">
        <v>17</v>
      </c>
      <c r="L1036" s="0" t="s">
        <v>107</v>
      </c>
      <c r="M1036" s="0" t="s">
        <v>226</v>
      </c>
      <c r="N1036" s="0" t="s">
        <v>93</v>
      </c>
      <c r="O1036" s="0" t="s">
        <v>2870</v>
      </c>
      <c r="Q1036" s="0" t="s">
        <v>251</v>
      </c>
      <c r="R1036" s="0" t="n">
        <v>2</v>
      </c>
      <c r="S1036" s="5" t="n">
        <v>780</v>
      </c>
      <c r="T1036" s="0" t="s">
        <v>229</v>
      </c>
      <c r="U1036" s="0" t="n">
        <v>1</v>
      </c>
      <c r="V1036" s="0" t="s">
        <v>230</v>
      </c>
      <c r="W1036" s="0" t="s">
        <v>244</v>
      </c>
      <c r="X1036" s="0" t="s">
        <v>232</v>
      </c>
      <c r="Y1036" s="0" t="s">
        <v>233</v>
      </c>
      <c r="Z1036" s="0" t="s">
        <v>4080</v>
      </c>
      <c r="AA1036" s="0" t="s">
        <v>235</v>
      </c>
      <c r="AB1036" s="32" t="n">
        <v>3200</v>
      </c>
      <c r="AC1036" s="32" t="n">
        <v>3275</v>
      </c>
      <c r="AD1036" s="26" t="n">
        <f aca="false">IFERROR(AB1036/B1036,"")</f>
        <v>4.1025641025641</v>
      </c>
      <c r="AE1036" s="26" t="n">
        <f aca="false">IFERROR(AC1036/B1036,"")</f>
        <v>4.19871794871795</v>
      </c>
      <c r="AF1036" s="0" t="s">
        <v>236</v>
      </c>
      <c r="AG1036" s="0" t="s">
        <v>236</v>
      </c>
      <c r="AH1036" s="0" t="s">
        <v>230</v>
      </c>
      <c r="AI1036" s="0" t="s">
        <v>4412</v>
      </c>
      <c r="AJ1036" s="0" t="s">
        <v>4413</v>
      </c>
      <c r="AK1036" s="0" t="s">
        <v>4414</v>
      </c>
      <c r="AL1036" s="0" t="s">
        <v>4415</v>
      </c>
      <c r="AM1036" s="0" t="s">
        <v>94</v>
      </c>
      <c r="AN1036" s="26" t="n">
        <f aca="false">IFERROR(E1036*(1+IF(AM1036="Apartment",Data_Summary!$C$3,0)),"")</f>
        <v>4.1025641025641</v>
      </c>
      <c r="AO1036" s="4" t="n">
        <v>46195</v>
      </c>
    </row>
    <row r="1037" customFormat="false" ht="15" hidden="false" customHeight="false" outlineLevel="0" collapsed="false">
      <c r="A1037" s="0" t="n">
        <f aca="false">IF(AND(ISNUMBER(B1037),B1037&gt;0,ISNUMBER(AB1037),AB1037&gt;0,J1037&gt;=Data_Summary!$C$1),1,0)</f>
        <v>1</v>
      </c>
      <c r="B1037" s="33" t="n">
        <v>780</v>
      </c>
      <c r="C1037" s="5" t="n">
        <f aca="false">IF(ISNUMBER(AB1037),AB1037,"")</f>
        <v>3200</v>
      </c>
      <c r="D1037" s="0" t="n">
        <f aca="false">IF(ISNUMBER(C1037),C1037-U1037*Data_Summary!$C$2,"")</f>
        <v>3050</v>
      </c>
      <c r="E1037" s="34" t="n">
        <f aca="false">IFERROR(C1037/B1037,"")</f>
        <v>4.1025641025641</v>
      </c>
      <c r="F1037" s="26" t="n">
        <f aca="false">IFERROR(D1037/B1037,"")</f>
        <v>3.91025641025641</v>
      </c>
      <c r="G1037" s="0" t="str">
        <f aca="false">Q1037</f>
        <v>2</v>
      </c>
      <c r="H1037" s="0" t="str">
        <f aca="false">IFERROR(LEFT(G1037,1),"")</f>
        <v>2</v>
      </c>
      <c r="I1037" s="0" t="n">
        <f aca="false">IF(LEN(G1037)&gt;1,1,0)</f>
        <v>0</v>
      </c>
      <c r="J1037" s="4" t="n">
        <v>45666</v>
      </c>
      <c r="K1037" s="0" t="s">
        <v>17</v>
      </c>
      <c r="L1037" s="0" t="s">
        <v>107</v>
      </c>
      <c r="M1037" s="0" t="s">
        <v>226</v>
      </c>
      <c r="N1037" s="0" t="s">
        <v>93</v>
      </c>
      <c r="O1037" s="0" t="s">
        <v>716</v>
      </c>
      <c r="Q1037" s="0" t="s">
        <v>251</v>
      </c>
      <c r="R1037" s="0" t="n">
        <v>2</v>
      </c>
      <c r="S1037" s="5" t="n">
        <v>780</v>
      </c>
      <c r="T1037" s="0" t="s">
        <v>229</v>
      </c>
      <c r="U1037" s="0" t="n">
        <v>1</v>
      </c>
      <c r="V1037" s="0" t="s">
        <v>230</v>
      </c>
      <c r="W1037" s="0" t="s">
        <v>231</v>
      </c>
      <c r="X1037" s="0" t="s">
        <v>232</v>
      </c>
      <c r="Y1037" s="0" t="s">
        <v>233</v>
      </c>
      <c r="Z1037" s="0" t="s">
        <v>4080</v>
      </c>
      <c r="AA1037" s="0" t="s">
        <v>235</v>
      </c>
      <c r="AB1037" s="32" t="n">
        <v>3200</v>
      </c>
      <c r="AC1037" s="32" t="n">
        <v>3200</v>
      </c>
      <c r="AD1037" s="26" t="n">
        <f aca="false">IFERROR(AB1037/B1037,"")</f>
        <v>4.1025641025641</v>
      </c>
      <c r="AE1037" s="26" t="n">
        <f aca="false">IFERROR(AC1037/B1037,"")</f>
        <v>4.1025641025641</v>
      </c>
      <c r="AF1037" s="0" t="s">
        <v>236</v>
      </c>
      <c r="AG1037" s="0" t="s">
        <v>236</v>
      </c>
      <c r="AH1037" s="0" t="s">
        <v>230</v>
      </c>
      <c r="AI1037" s="0" t="s">
        <v>4416</v>
      </c>
      <c r="AJ1037" s="0" t="s">
        <v>4417</v>
      </c>
      <c r="AK1037" s="0" t="s">
        <v>4418</v>
      </c>
      <c r="AL1037" s="0" t="s">
        <v>4419</v>
      </c>
      <c r="AM1037" s="0" t="s">
        <v>94</v>
      </c>
      <c r="AN1037" s="26" t="n">
        <f aca="false">IFERROR(E1037*(1+IF(AM1037="Apartment",Data_Summary!$C$3,0)),"")</f>
        <v>4.1025641025641</v>
      </c>
      <c r="AO1037" s="4" t="n">
        <v>46195</v>
      </c>
    </row>
    <row r="1038" customFormat="false" ht="15" hidden="false" customHeight="false" outlineLevel="0" collapsed="false">
      <c r="A1038" s="0" t="n">
        <f aca="false">IF(AND(ISNUMBER(B1038),B1038&gt;0,ISNUMBER(AB1038),AB1038&gt;0,J1038&gt;=Data_Summary!$C$1),1,0)</f>
        <v>1</v>
      </c>
      <c r="B1038" s="33" t="n">
        <v>587</v>
      </c>
      <c r="C1038" s="5" t="n">
        <f aca="false">IF(ISNUMBER(AB1038),AB1038,"")</f>
        <v>2400</v>
      </c>
      <c r="D1038" s="0" t="n">
        <f aca="false">IF(ISNUMBER(C1038),C1038-U1038*Data_Summary!$C$2,"")</f>
        <v>2400</v>
      </c>
      <c r="E1038" s="34" t="n">
        <f aca="false">IFERROR(C1038/B1038,"")</f>
        <v>4.0885860306644</v>
      </c>
      <c r="F1038" s="26" t="n">
        <f aca="false">IFERROR(D1038/B1038,"")</f>
        <v>4.0885860306644</v>
      </c>
      <c r="G1038" s="0" t="str">
        <f aca="false">Q1038</f>
        <v>1+1</v>
      </c>
      <c r="H1038" s="0" t="str">
        <f aca="false">IFERROR(LEFT(G1038,1),"")</f>
        <v>1</v>
      </c>
      <c r="I1038" s="0" t="n">
        <f aca="false">IF(LEN(G1038)&gt;1,1,0)</f>
        <v>1</v>
      </c>
      <c r="J1038" s="4" t="n">
        <v>45664</v>
      </c>
      <c r="K1038" s="0" t="s">
        <v>17</v>
      </c>
      <c r="L1038" s="0" t="s">
        <v>107</v>
      </c>
      <c r="M1038" s="0" t="s">
        <v>226</v>
      </c>
      <c r="N1038" s="0" t="s">
        <v>93</v>
      </c>
      <c r="O1038" s="0" t="s">
        <v>553</v>
      </c>
      <c r="Q1038" s="0" t="s">
        <v>270</v>
      </c>
      <c r="R1038" s="0" t="n">
        <v>1</v>
      </c>
      <c r="S1038" s="5" t="n">
        <v>587</v>
      </c>
      <c r="T1038" s="0" t="s">
        <v>271</v>
      </c>
      <c r="U1038" s="0" t="n">
        <v>0</v>
      </c>
      <c r="V1038" s="0" t="s">
        <v>230</v>
      </c>
      <c r="W1038" s="0" t="s">
        <v>231</v>
      </c>
      <c r="X1038" s="0" t="s">
        <v>232</v>
      </c>
      <c r="Y1038" s="0" t="s">
        <v>245</v>
      </c>
      <c r="Z1038" s="0" t="s">
        <v>4080</v>
      </c>
      <c r="AA1038" s="0" t="s">
        <v>235</v>
      </c>
      <c r="AB1038" s="32" t="n">
        <v>2400</v>
      </c>
      <c r="AC1038" s="32" t="n">
        <v>2400</v>
      </c>
      <c r="AD1038" s="26" t="n">
        <f aca="false">IFERROR(AB1038/B1038,"")</f>
        <v>4.0885860306644</v>
      </c>
      <c r="AE1038" s="26" t="n">
        <f aca="false">IFERROR(AC1038/B1038,"")</f>
        <v>4.0885860306644</v>
      </c>
      <c r="AF1038" s="0" t="s">
        <v>236</v>
      </c>
      <c r="AG1038" s="0" t="s">
        <v>236</v>
      </c>
      <c r="AH1038" s="0" t="s">
        <v>230</v>
      </c>
      <c r="AI1038" s="0" t="s">
        <v>3839</v>
      </c>
      <c r="AJ1038" s="0" t="s">
        <v>4420</v>
      </c>
      <c r="AK1038" s="0" t="s">
        <v>4421</v>
      </c>
      <c r="AL1038" s="0" t="s">
        <v>4422</v>
      </c>
      <c r="AM1038" s="0" t="s">
        <v>94</v>
      </c>
      <c r="AN1038" s="26" t="n">
        <f aca="false">IFERROR(E1038*(1+IF(AM1038="Apartment",Data_Summary!$C$3,0)),"")</f>
        <v>4.0885860306644</v>
      </c>
      <c r="AO1038" s="4" t="n">
        <v>46195</v>
      </c>
    </row>
    <row r="1039" customFormat="false" ht="15" hidden="false" customHeight="false" outlineLevel="0" collapsed="false">
      <c r="A1039" s="0" t="n">
        <f aca="false">IF(AND(ISNUMBER(B1039),B1039&gt;0,ISNUMBER(AB1039),AB1039&gt;0,J1039&gt;=Data_Summary!$C$1),1,0)</f>
        <v>1</v>
      </c>
      <c r="B1039" s="30" t="n">
        <v>600</v>
      </c>
      <c r="C1039" s="5" t="n">
        <f aca="false">IF(ISNUMBER(AB1039),AB1039,"")</f>
        <v>2500</v>
      </c>
      <c r="D1039" s="0" t="n">
        <f aca="false">IF(ISNUMBER(C1039),C1039-U1039*Data_Summary!$C$2,"")</f>
        <v>2350</v>
      </c>
      <c r="E1039" s="31" t="n">
        <f aca="false">IFERROR(C1039/B1039,"")</f>
        <v>4.16666666666667</v>
      </c>
      <c r="F1039" s="26" t="n">
        <f aca="false">IFERROR(D1039/B1039,"")</f>
        <v>3.91666666666667</v>
      </c>
      <c r="G1039" s="0" t="str">
        <f aca="false">Q1039</f>
        <v>1</v>
      </c>
      <c r="H1039" s="0" t="str">
        <f aca="false">IFERROR(LEFT(G1039,1),"")</f>
        <v>1</v>
      </c>
      <c r="I1039" s="0" t="n">
        <f aca="false">IF(LEN(G1039)&gt;1,1,0)</f>
        <v>0</v>
      </c>
      <c r="J1039" s="4" t="n">
        <v>46190</v>
      </c>
      <c r="K1039" s="0" t="s">
        <v>18</v>
      </c>
      <c r="L1039" s="0" t="s">
        <v>108</v>
      </c>
      <c r="M1039" s="0" t="s">
        <v>226</v>
      </c>
      <c r="N1039" s="0" t="s">
        <v>109</v>
      </c>
      <c r="O1039" s="0" t="s">
        <v>2234</v>
      </c>
      <c r="Q1039" s="0" t="s">
        <v>242</v>
      </c>
      <c r="R1039" s="0" t="n">
        <v>1</v>
      </c>
      <c r="S1039" s="5" t="n">
        <v>600</v>
      </c>
      <c r="T1039" s="0" t="s">
        <v>271</v>
      </c>
      <c r="U1039" s="0" t="n">
        <v>1</v>
      </c>
      <c r="V1039" s="0" t="s">
        <v>230</v>
      </c>
      <c r="W1039" s="0" t="s">
        <v>244</v>
      </c>
      <c r="X1039" s="0" t="s">
        <v>232</v>
      </c>
      <c r="Y1039" s="0" t="s">
        <v>260</v>
      </c>
      <c r="Z1039" s="0" t="s">
        <v>4423</v>
      </c>
      <c r="AA1039" s="0" t="s">
        <v>235</v>
      </c>
      <c r="AB1039" s="32" t="n">
        <v>2500</v>
      </c>
      <c r="AC1039" s="32" t="n">
        <v>2500</v>
      </c>
      <c r="AD1039" s="26" t="n">
        <f aca="false">IFERROR(AB1039/B1039,"")</f>
        <v>4.16666666666667</v>
      </c>
      <c r="AE1039" s="26" t="n">
        <f aca="false">IFERROR(AC1039/B1039,"")</f>
        <v>4.16666666666667</v>
      </c>
      <c r="AF1039" s="0" t="s">
        <v>236</v>
      </c>
      <c r="AG1039" s="0" t="s">
        <v>230</v>
      </c>
      <c r="AH1039" s="0" t="s">
        <v>230</v>
      </c>
      <c r="AI1039" s="0" t="s">
        <v>246</v>
      </c>
      <c r="AJ1039" s="0" t="s">
        <v>4424</v>
      </c>
      <c r="AK1039" s="0" t="s">
        <v>4425</v>
      </c>
      <c r="AL1039" s="0" t="s">
        <v>4426</v>
      </c>
      <c r="AM1039" s="0" t="s">
        <v>94</v>
      </c>
      <c r="AN1039" s="26" t="n">
        <f aca="false">IFERROR(E1039*(1+IF(AM1039="Apartment",Data_Summary!$C$3,0)),"")</f>
        <v>4.16666666666667</v>
      </c>
      <c r="AO1039" s="4" t="n">
        <v>46195</v>
      </c>
    </row>
    <row r="1040" customFormat="false" ht="15" hidden="false" customHeight="false" outlineLevel="0" collapsed="false">
      <c r="A1040" s="0" t="n">
        <f aca="false">IF(AND(ISNUMBER(B1040),B1040&gt;0,ISNUMBER(AB1040),AB1040&gt;0,J1040&gt;=Data_Summary!$C$1),1,0)</f>
        <v>1</v>
      </c>
      <c r="B1040" s="30" t="n">
        <v>516</v>
      </c>
      <c r="C1040" s="5" t="n">
        <f aca="false">IF(ISNUMBER(AB1040),AB1040,"")</f>
        <v>2400</v>
      </c>
      <c r="D1040" s="0" t="n">
        <f aca="false">IF(ISNUMBER(C1040),C1040-U1040*Data_Summary!$C$2,"")</f>
        <v>2400</v>
      </c>
      <c r="E1040" s="31" t="n">
        <f aca="false">IFERROR(C1040/B1040,"")</f>
        <v>4.65116279069768</v>
      </c>
      <c r="F1040" s="26" t="n">
        <f aca="false">IFERROR(D1040/B1040,"")</f>
        <v>4.65116279069768</v>
      </c>
      <c r="G1040" s="0" t="str">
        <f aca="false">Q1040</f>
        <v>1</v>
      </c>
      <c r="H1040" s="0" t="str">
        <f aca="false">IFERROR(LEFT(G1040,1),"")</f>
        <v>1</v>
      </c>
      <c r="I1040" s="0" t="n">
        <f aca="false">IF(LEN(G1040)&gt;1,1,0)</f>
        <v>0</v>
      </c>
      <c r="J1040" s="4" t="n">
        <v>46188</v>
      </c>
      <c r="K1040" s="0" t="s">
        <v>18</v>
      </c>
      <c r="L1040" s="0" t="s">
        <v>108</v>
      </c>
      <c r="M1040" s="0" t="s">
        <v>226</v>
      </c>
      <c r="N1040" s="0" t="s">
        <v>109</v>
      </c>
      <c r="O1040" s="0" t="s">
        <v>4427</v>
      </c>
      <c r="Q1040" s="0" t="s">
        <v>242</v>
      </c>
      <c r="R1040" s="0" t="n">
        <v>1</v>
      </c>
      <c r="S1040" s="5" t="n">
        <v>516</v>
      </c>
      <c r="T1040" s="0" t="s">
        <v>243</v>
      </c>
      <c r="U1040" s="0" t="n">
        <v>0</v>
      </c>
      <c r="V1040" s="0" t="s">
        <v>230</v>
      </c>
      <c r="W1040" s="0" t="s">
        <v>231</v>
      </c>
      <c r="X1040" s="0" t="s">
        <v>232</v>
      </c>
      <c r="Y1040" s="0" t="s">
        <v>278</v>
      </c>
      <c r="Z1040" s="0" t="s">
        <v>4423</v>
      </c>
      <c r="AA1040" s="0" t="s">
        <v>235</v>
      </c>
      <c r="AB1040" s="32" t="n">
        <v>2400</v>
      </c>
      <c r="AC1040" s="32" t="n">
        <v>2550</v>
      </c>
      <c r="AD1040" s="26" t="n">
        <f aca="false">IFERROR(AB1040/B1040,"")</f>
        <v>4.65116279069768</v>
      </c>
      <c r="AE1040" s="26" t="n">
        <f aca="false">IFERROR(AC1040/B1040,"")</f>
        <v>4.94186046511628</v>
      </c>
      <c r="AF1040" s="0" t="s">
        <v>236</v>
      </c>
      <c r="AG1040" s="0" t="s">
        <v>230</v>
      </c>
      <c r="AH1040" s="0" t="s">
        <v>230</v>
      </c>
      <c r="AI1040" s="0" t="s">
        <v>1556</v>
      </c>
      <c r="AJ1040" s="0" t="s">
        <v>4428</v>
      </c>
      <c r="AK1040" s="0" t="s">
        <v>4429</v>
      </c>
      <c r="AL1040" s="0" t="s">
        <v>4430</v>
      </c>
      <c r="AM1040" s="0" t="s">
        <v>94</v>
      </c>
      <c r="AN1040" s="26" t="n">
        <f aca="false">IFERROR(E1040*(1+IF(AM1040="Apartment",Data_Summary!$C$3,0)),"")</f>
        <v>4.65116279069768</v>
      </c>
      <c r="AO1040" s="4" t="n">
        <v>46195</v>
      </c>
    </row>
    <row r="1041" customFormat="false" ht="15" hidden="false" customHeight="false" outlineLevel="0" collapsed="false">
      <c r="A1041" s="0" t="n">
        <f aca="false">IF(AND(ISNUMBER(B1041),B1041&gt;0,ISNUMBER(AB1041),AB1041&gt;0,J1041&gt;=Data_Summary!$C$1),1,0)</f>
        <v>1</v>
      </c>
      <c r="B1041" s="30" t="n">
        <v>929</v>
      </c>
      <c r="C1041" s="5" t="n">
        <f aca="false">IF(ISNUMBER(AB1041),AB1041,"")</f>
        <v>4000</v>
      </c>
      <c r="D1041" s="0" t="n">
        <f aca="false">IF(ISNUMBER(C1041),C1041-U1041*Data_Summary!$C$2,"")</f>
        <v>3850</v>
      </c>
      <c r="E1041" s="31" t="n">
        <f aca="false">IFERROR(C1041/B1041,"")</f>
        <v>4.30570505920344</v>
      </c>
      <c r="F1041" s="26" t="n">
        <f aca="false">IFERROR(D1041/B1041,"")</f>
        <v>4.14424111948332</v>
      </c>
      <c r="G1041" s="0" t="str">
        <f aca="false">Q1041</f>
        <v>2</v>
      </c>
      <c r="H1041" s="0" t="str">
        <f aca="false">IFERROR(LEFT(G1041,1),"")</f>
        <v>2</v>
      </c>
      <c r="I1041" s="0" t="n">
        <f aca="false">IF(LEN(G1041)&gt;1,1,0)</f>
        <v>0</v>
      </c>
      <c r="J1041" s="4" t="n">
        <v>46181</v>
      </c>
      <c r="K1041" s="0" t="s">
        <v>18</v>
      </c>
      <c r="L1041" s="0" t="s">
        <v>108</v>
      </c>
      <c r="M1041" s="0" t="s">
        <v>226</v>
      </c>
      <c r="N1041" s="0" t="s">
        <v>109</v>
      </c>
      <c r="O1041" s="0" t="s">
        <v>1569</v>
      </c>
      <c r="Q1041" s="0" t="s">
        <v>251</v>
      </c>
      <c r="R1041" s="0" t="n">
        <v>2</v>
      </c>
      <c r="S1041" s="5" t="n">
        <v>929</v>
      </c>
      <c r="T1041" s="0" t="s">
        <v>259</v>
      </c>
      <c r="U1041" s="0" t="n">
        <v>1</v>
      </c>
      <c r="V1041" s="0" t="s">
        <v>230</v>
      </c>
      <c r="W1041" s="0" t="s">
        <v>244</v>
      </c>
      <c r="X1041" s="0" t="s">
        <v>232</v>
      </c>
      <c r="Y1041" s="0" t="s">
        <v>278</v>
      </c>
      <c r="Z1041" s="0" t="s">
        <v>4423</v>
      </c>
      <c r="AA1041" s="0" t="s">
        <v>235</v>
      </c>
      <c r="AB1041" s="32" t="n">
        <v>4000</v>
      </c>
      <c r="AC1041" s="32" t="n">
        <v>3800</v>
      </c>
      <c r="AD1041" s="26" t="n">
        <f aca="false">IFERROR(AB1041/B1041,"")</f>
        <v>4.30570505920344</v>
      </c>
      <c r="AE1041" s="26" t="n">
        <f aca="false">IFERROR(AC1041/B1041,"")</f>
        <v>4.09041980624327</v>
      </c>
      <c r="AF1041" s="0" t="s">
        <v>236</v>
      </c>
      <c r="AG1041" s="0" t="s">
        <v>230</v>
      </c>
      <c r="AH1041" s="0" t="s">
        <v>230</v>
      </c>
      <c r="AI1041" s="0" t="s">
        <v>292</v>
      </c>
      <c r="AJ1041" s="0" t="s">
        <v>4431</v>
      </c>
      <c r="AK1041" s="0" t="s">
        <v>4432</v>
      </c>
      <c r="AL1041" s="0" t="s">
        <v>4433</v>
      </c>
      <c r="AM1041" s="0" t="s">
        <v>94</v>
      </c>
      <c r="AN1041" s="26" t="n">
        <f aca="false">IFERROR(E1041*(1+IF(AM1041="Apartment",Data_Summary!$C$3,0)),"")</f>
        <v>4.30570505920344</v>
      </c>
      <c r="AO1041" s="4" t="n">
        <v>46195</v>
      </c>
    </row>
    <row r="1042" customFormat="false" ht="15" hidden="false" customHeight="false" outlineLevel="0" collapsed="false">
      <c r="A1042" s="0" t="n">
        <f aca="false">IF(AND(ISNUMBER(B1042),B1042&gt;0,ISNUMBER(AB1042),AB1042&gt;0,J1042&gt;=Data_Summary!$C$1),1,0)</f>
        <v>1</v>
      </c>
      <c r="B1042" s="33" t="n">
        <v>842</v>
      </c>
      <c r="C1042" s="5" t="n">
        <f aca="false">IF(ISNUMBER(AB1042),AB1042,"")</f>
        <v>3450</v>
      </c>
      <c r="D1042" s="0" t="n">
        <f aca="false">IF(ISNUMBER(C1042),C1042-U1042*Data_Summary!$C$2,"")</f>
        <v>3150</v>
      </c>
      <c r="E1042" s="34" t="n">
        <f aca="false">IFERROR(C1042/B1042,"")</f>
        <v>4.09738717339667</v>
      </c>
      <c r="F1042" s="26" t="n">
        <f aca="false">IFERROR(D1042/B1042,"")</f>
        <v>3.74109263657957</v>
      </c>
      <c r="G1042" s="0" t="str">
        <f aca="false">Q1042</f>
        <v>2</v>
      </c>
      <c r="H1042" s="0" t="str">
        <f aca="false">IFERROR(LEFT(G1042,1),"")</f>
        <v>2</v>
      </c>
      <c r="I1042" s="0" t="n">
        <f aca="false">IF(LEN(G1042)&gt;1,1,0)</f>
        <v>0</v>
      </c>
      <c r="J1042" s="4" t="n">
        <v>46161</v>
      </c>
      <c r="K1042" s="0" t="s">
        <v>18</v>
      </c>
      <c r="L1042" s="0" t="s">
        <v>108</v>
      </c>
      <c r="M1042" s="0" t="s">
        <v>226</v>
      </c>
      <c r="N1042" s="0" t="s">
        <v>109</v>
      </c>
      <c r="O1042" s="0" t="s">
        <v>2315</v>
      </c>
      <c r="Q1042" s="0" t="s">
        <v>251</v>
      </c>
      <c r="R1042" s="0" t="n">
        <v>1</v>
      </c>
      <c r="S1042" s="5" t="n">
        <v>842</v>
      </c>
      <c r="T1042" s="0" t="s">
        <v>229</v>
      </c>
      <c r="U1042" s="0" t="n">
        <v>2</v>
      </c>
      <c r="V1042" s="0" t="s">
        <v>230</v>
      </c>
      <c r="W1042" s="0" t="s">
        <v>231</v>
      </c>
      <c r="X1042" s="0" t="s">
        <v>232</v>
      </c>
      <c r="Y1042" s="0" t="s">
        <v>260</v>
      </c>
      <c r="Z1042" s="0" t="s">
        <v>4423</v>
      </c>
      <c r="AA1042" s="0" t="s">
        <v>235</v>
      </c>
      <c r="AB1042" s="32" t="n">
        <v>3450</v>
      </c>
      <c r="AC1042" s="32" t="n">
        <v>3500</v>
      </c>
      <c r="AD1042" s="26" t="n">
        <f aca="false">IFERROR(AB1042/B1042,"")</f>
        <v>4.09738717339667</v>
      </c>
      <c r="AE1042" s="26" t="n">
        <f aca="false">IFERROR(AC1042/B1042,"")</f>
        <v>4.15676959619953</v>
      </c>
      <c r="AF1042" s="0" t="s">
        <v>230</v>
      </c>
      <c r="AG1042" s="0" t="s">
        <v>236</v>
      </c>
      <c r="AH1042" s="0" t="s">
        <v>236</v>
      </c>
      <c r="AI1042" s="0" t="s">
        <v>376</v>
      </c>
      <c r="AJ1042" s="0" t="s">
        <v>4434</v>
      </c>
      <c r="AK1042" s="0" t="s">
        <v>4435</v>
      </c>
      <c r="AL1042" s="0" t="s">
        <v>4436</v>
      </c>
      <c r="AM1042" s="0" t="s">
        <v>94</v>
      </c>
      <c r="AN1042" s="26" t="n">
        <f aca="false">IFERROR(E1042*(1+IF(AM1042="Apartment",Data_Summary!$C$3,0)),"")</f>
        <v>4.09738717339667</v>
      </c>
      <c r="AO1042" s="4" t="n">
        <v>46195</v>
      </c>
    </row>
    <row r="1043" customFormat="false" ht="15" hidden="false" customHeight="false" outlineLevel="0" collapsed="false">
      <c r="A1043" s="0" t="n">
        <f aca="false">IF(AND(ISNUMBER(B1043),B1043&gt;0,ISNUMBER(AB1043),AB1043&gt;0,J1043&gt;=Data_Summary!$C$1),1,0)</f>
        <v>1</v>
      </c>
      <c r="B1043" s="33" t="n">
        <v>840</v>
      </c>
      <c r="C1043" s="5" t="n">
        <f aca="false">IF(ISNUMBER(AB1043),AB1043,"")</f>
        <v>3000</v>
      </c>
      <c r="D1043" s="0" t="n">
        <f aca="false">IF(ISNUMBER(C1043),C1043-U1043*Data_Summary!$C$2,"")</f>
        <v>2850</v>
      </c>
      <c r="E1043" s="34" t="n">
        <f aca="false">IFERROR(C1043/B1043,"")</f>
        <v>3.57142857142857</v>
      </c>
      <c r="F1043" s="26" t="n">
        <f aca="false">IFERROR(D1043/B1043,"")</f>
        <v>3.39285714285714</v>
      </c>
      <c r="G1043" s="0" t="str">
        <f aca="false">Q1043</f>
        <v>2</v>
      </c>
      <c r="H1043" s="0" t="str">
        <f aca="false">IFERROR(LEFT(G1043,1),"")</f>
        <v>2</v>
      </c>
      <c r="I1043" s="0" t="n">
        <f aca="false">IF(LEN(G1043)&gt;1,1,0)</f>
        <v>0</v>
      </c>
      <c r="J1043" s="4" t="n">
        <v>46143</v>
      </c>
      <c r="K1043" s="0" t="s">
        <v>18</v>
      </c>
      <c r="L1043" s="0" t="s">
        <v>108</v>
      </c>
      <c r="M1043" s="0" t="s">
        <v>226</v>
      </c>
      <c r="N1043" s="0" t="s">
        <v>109</v>
      </c>
      <c r="O1043" s="0" t="s">
        <v>4437</v>
      </c>
      <c r="Q1043" s="0" t="s">
        <v>251</v>
      </c>
      <c r="R1043" s="0" t="n">
        <v>1</v>
      </c>
      <c r="S1043" s="5" t="n">
        <v>840</v>
      </c>
      <c r="T1043" s="0" t="s">
        <v>259</v>
      </c>
      <c r="U1043" s="0" t="n">
        <v>1</v>
      </c>
      <c r="V1043" s="0" t="s">
        <v>230</v>
      </c>
      <c r="W1043" s="0" t="s">
        <v>244</v>
      </c>
      <c r="X1043" s="0" t="s">
        <v>232</v>
      </c>
      <c r="Y1043" s="0" t="s">
        <v>297</v>
      </c>
      <c r="Z1043" s="0" t="s">
        <v>4423</v>
      </c>
      <c r="AA1043" s="0" t="s">
        <v>235</v>
      </c>
      <c r="AB1043" s="32" t="n">
        <v>3000</v>
      </c>
      <c r="AC1043" s="32" t="n">
        <v>3000</v>
      </c>
      <c r="AD1043" s="26" t="n">
        <f aca="false">IFERROR(AB1043/B1043,"")</f>
        <v>3.57142857142857</v>
      </c>
      <c r="AE1043" s="26" t="n">
        <f aca="false">IFERROR(AC1043/B1043,"")</f>
        <v>3.57142857142857</v>
      </c>
      <c r="AF1043" s="0" t="s">
        <v>236</v>
      </c>
      <c r="AG1043" s="0" t="s">
        <v>230</v>
      </c>
      <c r="AH1043" s="0" t="s">
        <v>230</v>
      </c>
      <c r="AI1043" s="0" t="s">
        <v>1630</v>
      </c>
      <c r="AJ1043" s="0" t="s">
        <v>4438</v>
      </c>
      <c r="AK1043" s="0" t="s">
        <v>4439</v>
      </c>
      <c r="AL1043" s="0" t="s">
        <v>4440</v>
      </c>
      <c r="AM1043" s="0" t="s">
        <v>94</v>
      </c>
      <c r="AN1043" s="26" t="n">
        <f aca="false">IFERROR(E1043*(1+IF(AM1043="Apartment",Data_Summary!$C$3,0)),"")</f>
        <v>3.57142857142857</v>
      </c>
      <c r="AO1043" s="4" t="n">
        <v>46195</v>
      </c>
    </row>
    <row r="1044" customFormat="false" ht="15" hidden="false" customHeight="false" outlineLevel="0" collapsed="false">
      <c r="A1044" s="0" t="n">
        <f aca="false">IF(AND(ISNUMBER(B1044),B1044&gt;0,ISNUMBER(AB1044),AB1044&gt;0,J1044&gt;=Data_Summary!$C$1),1,0)</f>
        <v>1</v>
      </c>
      <c r="B1044" s="33" t="n">
        <v>562</v>
      </c>
      <c r="C1044" s="5" t="n">
        <f aca="false">IF(ISNUMBER(AB1044),AB1044,"")</f>
        <v>2030</v>
      </c>
      <c r="D1044" s="0" t="n">
        <f aca="false">IF(ISNUMBER(C1044),C1044-U1044*Data_Summary!$C$2,"")</f>
        <v>2030</v>
      </c>
      <c r="E1044" s="34" t="n">
        <f aca="false">IFERROR(C1044/B1044,"")</f>
        <v>3.61209964412811</v>
      </c>
      <c r="F1044" s="26" t="n">
        <f aca="false">IFERROR(D1044/B1044,"")</f>
        <v>3.61209964412811</v>
      </c>
      <c r="G1044" s="0" t="str">
        <f aca="false">Q1044</f>
        <v>1</v>
      </c>
      <c r="H1044" s="0" t="str">
        <f aca="false">IFERROR(LEFT(G1044,1),"")</f>
        <v>1</v>
      </c>
      <c r="I1044" s="0" t="n">
        <f aca="false">IF(LEN(G1044)&gt;1,1,0)</f>
        <v>0</v>
      </c>
      <c r="J1044" s="4" t="n">
        <v>46115</v>
      </c>
      <c r="K1044" s="0" t="s">
        <v>18</v>
      </c>
      <c r="L1044" s="0" t="s">
        <v>108</v>
      </c>
      <c r="M1044" s="0" t="s">
        <v>226</v>
      </c>
      <c r="N1044" s="0" t="s">
        <v>109</v>
      </c>
      <c r="O1044" s="0" t="s">
        <v>525</v>
      </c>
      <c r="Q1044" s="0" t="s">
        <v>242</v>
      </c>
      <c r="R1044" s="0" t="n">
        <v>1</v>
      </c>
      <c r="S1044" s="5" t="n">
        <v>562</v>
      </c>
      <c r="T1044" s="0" t="s">
        <v>243</v>
      </c>
      <c r="U1044" s="0" t="n">
        <v>0</v>
      </c>
      <c r="V1044" s="0" t="s">
        <v>230</v>
      </c>
      <c r="W1044" s="0" t="s">
        <v>244</v>
      </c>
      <c r="Y1044" s="0" t="s">
        <v>253</v>
      </c>
      <c r="Z1044" s="0" t="s">
        <v>4423</v>
      </c>
      <c r="AA1044" s="0" t="s">
        <v>235</v>
      </c>
      <c r="AB1044" s="32" t="n">
        <v>2030</v>
      </c>
      <c r="AC1044" s="32" t="n">
        <v>2030</v>
      </c>
      <c r="AD1044" s="26" t="n">
        <f aca="false">IFERROR(AB1044/B1044,"")</f>
        <v>3.61209964412811</v>
      </c>
      <c r="AE1044" s="26" t="n">
        <f aca="false">IFERROR(AC1044/B1044,"")</f>
        <v>3.61209964412811</v>
      </c>
      <c r="AF1044" s="0" t="s">
        <v>230</v>
      </c>
      <c r="AG1044" s="0" t="s">
        <v>230</v>
      </c>
      <c r="AH1044" s="0" t="s">
        <v>230</v>
      </c>
      <c r="AI1044" s="0" t="s">
        <v>1716</v>
      </c>
      <c r="AJ1044" s="0" t="s">
        <v>4441</v>
      </c>
      <c r="AK1044" s="0" t="s">
        <v>4442</v>
      </c>
      <c r="AL1044" s="0" t="s">
        <v>4443</v>
      </c>
      <c r="AM1044" s="0" t="s">
        <v>94</v>
      </c>
      <c r="AN1044" s="26" t="n">
        <f aca="false">IFERROR(E1044*(1+IF(AM1044="Apartment",Data_Summary!$C$3,0)),"")</f>
        <v>3.61209964412811</v>
      </c>
      <c r="AO1044" s="4" t="n">
        <v>46195</v>
      </c>
    </row>
    <row r="1045" customFormat="false" ht="15" hidden="false" customHeight="false" outlineLevel="0" collapsed="false">
      <c r="A1045" s="0" t="n">
        <f aca="false">IF(AND(ISNUMBER(B1045),B1045&gt;0,ISNUMBER(AB1045),AB1045&gt;0,J1045&gt;=Data_Summary!$C$1),1,0)</f>
        <v>1</v>
      </c>
      <c r="B1045" s="33" t="n">
        <v>600</v>
      </c>
      <c r="C1045" s="5" t="n">
        <f aca="false">IF(ISNUMBER(AB1045),AB1045,"")</f>
        <v>2200</v>
      </c>
      <c r="D1045" s="0" t="n">
        <f aca="false">IF(ISNUMBER(C1045),C1045-U1045*Data_Summary!$C$2,"")</f>
        <v>2200</v>
      </c>
      <c r="E1045" s="34" t="n">
        <f aca="false">IFERROR(C1045/B1045,"")</f>
        <v>3.66666666666667</v>
      </c>
      <c r="F1045" s="26" t="n">
        <f aca="false">IFERROR(D1045/B1045,"")</f>
        <v>3.66666666666667</v>
      </c>
      <c r="G1045" s="0" t="str">
        <f aca="false">Q1045</f>
        <v>1</v>
      </c>
      <c r="H1045" s="0" t="str">
        <f aca="false">IFERROR(LEFT(G1045,1),"")</f>
        <v>1</v>
      </c>
      <c r="I1045" s="0" t="n">
        <f aca="false">IF(LEN(G1045)&gt;1,1,0)</f>
        <v>0</v>
      </c>
      <c r="J1045" s="4" t="n">
        <v>46112</v>
      </c>
      <c r="K1045" s="0" t="s">
        <v>18</v>
      </c>
      <c r="L1045" s="0" t="s">
        <v>108</v>
      </c>
      <c r="M1045" s="0" t="s">
        <v>226</v>
      </c>
      <c r="N1045" s="0" t="s">
        <v>109</v>
      </c>
      <c r="O1045" s="0" t="s">
        <v>277</v>
      </c>
      <c r="Q1045" s="0" t="s">
        <v>242</v>
      </c>
      <c r="R1045" s="0" t="n">
        <v>1</v>
      </c>
      <c r="S1045" s="5" t="n">
        <v>600</v>
      </c>
      <c r="T1045" s="0" t="s">
        <v>243</v>
      </c>
      <c r="U1045" s="0" t="n">
        <v>0</v>
      </c>
      <c r="V1045" s="0" t="s">
        <v>230</v>
      </c>
      <c r="W1045" s="0" t="s">
        <v>244</v>
      </c>
      <c r="X1045" s="0" t="s">
        <v>232</v>
      </c>
      <c r="Y1045" s="0" t="s">
        <v>260</v>
      </c>
      <c r="Z1045" s="0" t="s">
        <v>4423</v>
      </c>
      <c r="AA1045" s="0" t="s">
        <v>235</v>
      </c>
      <c r="AB1045" s="32" t="n">
        <v>2200</v>
      </c>
      <c r="AC1045" s="32" t="n">
        <v>2200</v>
      </c>
      <c r="AD1045" s="26" t="n">
        <f aca="false">IFERROR(AB1045/B1045,"")</f>
        <v>3.66666666666667</v>
      </c>
      <c r="AE1045" s="26" t="n">
        <f aca="false">IFERROR(AC1045/B1045,"")</f>
        <v>3.66666666666667</v>
      </c>
      <c r="AF1045" s="0" t="s">
        <v>236</v>
      </c>
      <c r="AG1045" s="0" t="s">
        <v>230</v>
      </c>
      <c r="AH1045" s="0" t="s">
        <v>230</v>
      </c>
      <c r="AI1045" s="0" t="s">
        <v>473</v>
      </c>
      <c r="AJ1045" s="0" t="s">
        <v>4444</v>
      </c>
      <c r="AK1045" s="0" t="s">
        <v>4445</v>
      </c>
      <c r="AL1045" s="0" t="s">
        <v>4446</v>
      </c>
      <c r="AM1045" s="0" t="s">
        <v>94</v>
      </c>
      <c r="AN1045" s="26" t="n">
        <f aca="false">IFERROR(E1045*(1+IF(AM1045="Apartment",Data_Summary!$C$3,0)),"")</f>
        <v>3.66666666666667</v>
      </c>
      <c r="AO1045" s="4" t="n">
        <v>46195</v>
      </c>
    </row>
    <row r="1046" customFormat="false" ht="15" hidden="false" customHeight="false" outlineLevel="0" collapsed="false">
      <c r="A1046" s="0" t="n">
        <f aca="false">IF(AND(ISNUMBER(B1046),B1046&gt;0,ISNUMBER(AB1046),AB1046&gt;0,J1046&gt;=Data_Summary!$C$1),1,0)</f>
        <v>1</v>
      </c>
      <c r="B1046" s="30" t="n">
        <v>475</v>
      </c>
      <c r="C1046" s="5" t="n">
        <f aca="false">IF(ISNUMBER(AB1046),AB1046,"")</f>
        <v>2200</v>
      </c>
      <c r="D1046" s="0" t="n">
        <f aca="false">IF(ISNUMBER(C1046),C1046-U1046*Data_Summary!$C$2,"")</f>
        <v>2200</v>
      </c>
      <c r="E1046" s="31" t="n">
        <f aca="false">IFERROR(C1046/B1046,"")</f>
        <v>4.63157894736842</v>
      </c>
      <c r="F1046" s="26" t="n">
        <f aca="false">IFERROR(D1046/B1046,"")</f>
        <v>4.63157894736842</v>
      </c>
      <c r="G1046" s="0" t="str">
        <f aca="false">Q1046</f>
        <v>1</v>
      </c>
      <c r="H1046" s="0" t="str">
        <f aca="false">IFERROR(LEFT(G1046,1),"")</f>
        <v>1</v>
      </c>
      <c r="I1046" s="0" t="n">
        <f aca="false">IF(LEN(G1046)&gt;1,1,0)</f>
        <v>0</v>
      </c>
      <c r="J1046" s="4" t="n">
        <v>46066</v>
      </c>
      <c r="K1046" s="0" t="s">
        <v>18</v>
      </c>
      <c r="L1046" s="0" t="s">
        <v>108</v>
      </c>
      <c r="M1046" s="0" t="s">
        <v>226</v>
      </c>
      <c r="N1046" s="0" t="s">
        <v>109</v>
      </c>
      <c r="O1046" s="0" t="s">
        <v>4447</v>
      </c>
      <c r="Q1046" s="0" t="s">
        <v>242</v>
      </c>
      <c r="R1046" s="0" t="n">
        <v>1</v>
      </c>
      <c r="S1046" s="5" t="n">
        <v>475</v>
      </c>
      <c r="T1046" s="0" t="s">
        <v>303</v>
      </c>
      <c r="U1046" s="0" t="n">
        <v>0</v>
      </c>
      <c r="V1046" s="0" t="s">
        <v>230</v>
      </c>
      <c r="W1046" s="0" t="s">
        <v>244</v>
      </c>
      <c r="X1046" s="0" t="s">
        <v>232</v>
      </c>
      <c r="Y1046" s="0" t="s">
        <v>278</v>
      </c>
      <c r="Z1046" s="0" t="s">
        <v>4423</v>
      </c>
      <c r="AA1046" s="0" t="s">
        <v>235</v>
      </c>
      <c r="AB1046" s="32" t="n">
        <v>2200</v>
      </c>
      <c r="AC1046" s="32" t="n">
        <v>2250</v>
      </c>
      <c r="AD1046" s="26" t="n">
        <f aca="false">IFERROR(AB1046/B1046,"")</f>
        <v>4.63157894736842</v>
      </c>
      <c r="AE1046" s="26" t="n">
        <f aca="false">IFERROR(AC1046/B1046,"")</f>
        <v>4.73684210526316</v>
      </c>
      <c r="AF1046" s="0" t="s">
        <v>236</v>
      </c>
      <c r="AG1046" s="0" t="s">
        <v>230</v>
      </c>
      <c r="AH1046" s="0" t="s">
        <v>230</v>
      </c>
      <c r="AI1046" s="0" t="s">
        <v>2829</v>
      </c>
      <c r="AJ1046" s="0" t="s">
        <v>4448</v>
      </c>
      <c r="AK1046" s="0" t="s">
        <v>4449</v>
      </c>
      <c r="AL1046" s="0" t="s">
        <v>4450</v>
      </c>
      <c r="AM1046" s="0" t="s">
        <v>94</v>
      </c>
      <c r="AN1046" s="26" t="n">
        <f aca="false">IFERROR(E1046*(1+IF(AM1046="Apartment",Data_Summary!$C$3,0)),"")</f>
        <v>4.63157894736842</v>
      </c>
      <c r="AO1046" s="4" t="n">
        <v>46195</v>
      </c>
    </row>
    <row r="1047" customFormat="false" ht="15" hidden="false" customHeight="false" outlineLevel="0" collapsed="false">
      <c r="A1047" s="0" t="n">
        <f aca="false">IF(AND(ISNUMBER(B1047),B1047&gt;0,ISNUMBER(AB1047),AB1047&gt;0,J1047&gt;=Data_Summary!$C$1),1,0)</f>
        <v>1</v>
      </c>
      <c r="B1047" s="30" t="n">
        <v>600</v>
      </c>
      <c r="C1047" s="5" t="n">
        <f aca="false">IF(ISNUMBER(AB1047),AB1047,"")</f>
        <v>2750</v>
      </c>
      <c r="D1047" s="0" t="n">
        <f aca="false">IF(ISNUMBER(C1047),C1047-U1047*Data_Summary!$C$2,"")</f>
        <v>2600</v>
      </c>
      <c r="E1047" s="31" t="n">
        <f aca="false">IFERROR(C1047/B1047,"")</f>
        <v>4.58333333333333</v>
      </c>
      <c r="F1047" s="26" t="n">
        <f aca="false">IFERROR(D1047/B1047,"")</f>
        <v>4.33333333333333</v>
      </c>
      <c r="G1047" s="0" t="str">
        <f aca="false">Q1047</f>
        <v>1</v>
      </c>
      <c r="H1047" s="0" t="str">
        <f aca="false">IFERROR(LEFT(G1047,1),"")</f>
        <v>1</v>
      </c>
      <c r="I1047" s="0" t="n">
        <f aca="false">IF(LEN(G1047)&gt;1,1,0)</f>
        <v>0</v>
      </c>
      <c r="J1047" s="4" t="n">
        <v>46062</v>
      </c>
      <c r="K1047" s="0" t="s">
        <v>18</v>
      </c>
      <c r="L1047" s="0" t="s">
        <v>108</v>
      </c>
      <c r="M1047" s="0" t="s">
        <v>226</v>
      </c>
      <c r="N1047" s="0" t="s">
        <v>109</v>
      </c>
      <c r="O1047" s="0" t="s">
        <v>4451</v>
      </c>
      <c r="Q1047" s="0" t="s">
        <v>242</v>
      </c>
      <c r="R1047" s="0" t="n">
        <v>1</v>
      </c>
      <c r="S1047" s="5" t="n">
        <v>600</v>
      </c>
      <c r="T1047" s="0" t="s">
        <v>271</v>
      </c>
      <c r="U1047" s="0" t="n">
        <v>1</v>
      </c>
      <c r="V1047" s="0" t="s">
        <v>230</v>
      </c>
      <c r="W1047" s="0" t="s">
        <v>231</v>
      </c>
      <c r="X1047" s="0" t="s">
        <v>232</v>
      </c>
      <c r="Y1047" s="0" t="s">
        <v>260</v>
      </c>
      <c r="Z1047" s="0" t="s">
        <v>4423</v>
      </c>
      <c r="AA1047" s="0" t="s">
        <v>235</v>
      </c>
      <c r="AB1047" s="32" t="n">
        <v>2750</v>
      </c>
      <c r="AC1047" s="32" t="n">
        <v>2650</v>
      </c>
      <c r="AD1047" s="26" t="n">
        <f aca="false">IFERROR(AB1047/B1047,"")</f>
        <v>4.58333333333333</v>
      </c>
      <c r="AE1047" s="26" t="n">
        <f aca="false">IFERROR(AC1047/B1047,"")</f>
        <v>4.41666666666667</v>
      </c>
      <c r="AF1047" s="0" t="s">
        <v>236</v>
      </c>
      <c r="AG1047" s="0" t="s">
        <v>236</v>
      </c>
      <c r="AH1047" s="0" t="s">
        <v>236</v>
      </c>
      <c r="AI1047" s="0" t="s">
        <v>1811</v>
      </c>
      <c r="AJ1047" s="0" t="s">
        <v>4452</v>
      </c>
      <c r="AK1047" s="0" t="s">
        <v>4453</v>
      </c>
      <c r="AL1047" s="0" t="s">
        <v>4454</v>
      </c>
      <c r="AM1047" s="0" t="s">
        <v>94</v>
      </c>
      <c r="AN1047" s="26" t="n">
        <f aca="false">IFERROR(E1047*(1+IF(AM1047="Apartment",Data_Summary!$C$3,0)),"")</f>
        <v>4.58333333333333</v>
      </c>
      <c r="AO1047" s="4" t="n">
        <v>46195</v>
      </c>
    </row>
    <row r="1048" customFormat="false" ht="15" hidden="false" customHeight="false" outlineLevel="0" collapsed="false">
      <c r="A1048" s="0" t="n">
        <f aca="false">IF(AND(ISNUMBER(B1048),B1048&gt;0,ISNUMBER(AB1048),AB1048&gt;0,J1048&gt;=Data_Summary!$C$1),1,0)</f>
        <v>1</v>
      </c>
      <c r="B1048" s="33" t="n">
        <v>600</v>
      </c>
      <c r="C1048" s="5" t="n">
        <f aca="false">IF(ISNUMBER(AB1048),AB1048,"")</f>
        <v>2650</v>
      </c>
      <c r="D1048" s="0" t="n">
        <f aca="false">IF(ISNUMBER(C1048),C1048-U1048*Data_Summary!$C$2,"")</f>
        <v>2650</v>
      </c>
      <c r="E1048" s="34" t="n">
        <f aca="false">IFERROR(C1048/B1048,"")</f>
        <v>4.41666666666667</v>
      </c>
      <c r="F1048" s="26" t="n">
        <f aca="false">IFERROR(D1048/B1048,"")</f>
        <v>4.41666666666667</v>
      </c>
      <c r="G1048" s="0" t="str">
        <f aca="false">Q1048</f>
        <v>1</v>
      </c>
      <c r="H1048" s="0" t="str">
        <f aca="false">IFERROR(LEFT(G1048,1),"")</f>
        <v>1</v>
      </c>
      <c r="I1048" s="0" t="n">
        <f aca="false">IF(LEN(G1048)&gt;1,1,0)</f>
        <v>0</v>
      </c>
      <c r="J1048" s="4" t="n">
        <v>46059</v>
      </c>
      <c r="K1048" s="0" t="s">
        <v>18</v>
      </c>
      <c r="L1048" s="0" t="s">
        <v>108</v>
      </c>
      <c r="M1048" s="0" t="s">
        <v>226</v>
      </c>
      <c r="N1048" s="0" t="s">
        <v>109</v>
      </c>
      <c r="O1048" s="0" t="s">
        <v>2468</v>
      </c>
      <c r="Q1048" s="0" t="s">
        <v>242</v>
      </c>
      <c r="R1048" s="0" t="n">
        <v>1</v>
      </c>
      <c r="S1048" s="5" t="n">
        <v>600</v>
      </c>
      <c r="T1048" s="0" t="s">
        <v>271</v>
      </c>
      <c r="U1048" s="0" t="n">
        <v>0</v>
      </c>
      <c r="V1048" s="0" t="s">
        <v>230</v>
      </c>
      <c r="W1048" s="0" t="s">
        <v>231</v>
      </c>
      <c r="X1048" s="0" t="s">
        <v>232</v>
      </c>
      <c r="Y1048" s="0" t="s">
        <v>297</v>
      </c>
      <c r="Z1048" s="0" t="s">
        <v>4423</v>
      </c>
      <c r="AA1048" s="0" t="s">
        <v>235</v>
      </c>
      <c r="AB1048" s="32" t="n">
        <v>2650</v>
      </c>
      <c r="AC1048" s="32" t="n">
        <v>2600</v>
      </c>
      <c r="AD1048" s="26" t="n">
        <f aca="false">IFERROR(AB1048/B1048,"")</f>
        <v>4.41666666666667</v>
      </c>
      <c r="AE1048" s="26" t="n">
        <f aca="false">IFERROR(AC1048/B1048,"")</f>
        <v>4.33333333333333</v>
      </c>
      <c r="AF1048" s="0" t="s">
        <v>230</v>
      </c>
      <c r="AG1048" s="0" t="s">
        <v>236</v>
      </c>
      <c r="AH1048" s="0" t="s">
        <v>236</v>
      </c>
      <c r="AI1048" s="0" t="s">
        <v>1824</v>
      </c>
      <c r="AJ1048" s="0" t="s">
        <v>4455</v>
      </c>
      <c r="AK1048" s="0" t="s">
        <v>4456</v>
      </c>
      <c r="AL1048" s="0" t="s">
        <v>4457</v>
      </c>
      <c r="AM1048" s="0" t="s">
        <v>94</v>
      </c>
      <c r="AN1048" s="26" t="n">
        <f aca="false">IFERROR(E1048*(1+IF(AM1048="Apartment",Data_Summary!$C$3,0)),"")</f>
        <v>4.41666666666667</v>
      </c>
      <c r="AO1048" s="4" t="n">
        <v>46195</v>
      </c>
    </row>
    <row r="1049" customFormat="false" ht="15" hidden="false" customHeight="false" outlineLevel="0" collapsed="false">
      <c r="A1049" s="0" t="n">
        <f aca="false">IF(AND(ISNUMBER(B1049),B1049&gt;0,ISNUMBER(AB1049),AB1049&gt;0,J1049&gt;=Data_Summary!$C$1),1,0)</f>
        <v>1</v>
      </c>
      <c r="B1049" s="30" t="n">
        <v>600</v>
      </c>
      <c r="C1049" s="5" t="n">
        <f aca="false">IF(ISNUMBER(AB1049),AB1049,"")</f>
        <v>2350</v>
      </c>
      <c r="D1049" s="0" t="n">
        <f aca="false">IF(ISNUMBER(C1049),C1049-U1049*Data_Summary!$C$2,"")</f>
        <v>2200</v>
      </c>
      <c r="E1049" s="31" t="n">
        <f aca="false">IFERROR(C1049/B1049,"")</f>
        <v>3.91666666666667</v>
      </c>
      <c r="F1049" s="26" t="n">
        <f aca="false">IFERROR(D1049/B1049,"")</f>
        <v>3.66666666666667</v>
      </c>
      <c r="G1049" s="0" t="str">
        <f aca="false">Q1049</f>
        <v>1</v>
      </c>
      <c r="H1049" s="0" t="str">
        <f aca="false">IFERROR(LEFT(G1049,1),"")</f>
        <v>1</v>
      </c>
      <c r="I1049" s="0" t="n">
        <f aca="false">IF(LEN(G1049)&gt;1,1,0)</f>
        <v>0</v>
      </c>
      <c r="J1049" s="4" t="n">
        <v>46030</v>
      </c>
      <c r="K1049" s="0" t="s">
        <v>18</v>
      </c>
      <c r="L1049" s="0" t="s">
        <v>108</v>
      </c>
      <c r="M1049" s="0" t="s">
        <v>226</v>
      </c>
      <c r="N1049" s="0" t="s">
        <v>109</v>
      </c>
      <c r="O1049" s="0" t="s">
        <v>1004</v>
      </c>
      <c r="Q1049" s="0" t="s">
        <v>242</v>
      </c>
      <c r="R1049" s="0" t="n">
        <v>1</v>
      </c>
      <c r="S1049" s="5" t="n">
        <v>600</v>
      </c>
      <c r="T1049" s="0" t="s">
        <v>271</v>
      </c>
      <c r="U1049" s="0" t="n">
        <v>1</v>
      </c>
      <c r="V1049" s="0" t="s">
        <v>230</v>
      </c>
      <c r="W1049" s="0" t="s">
        <v>244</v>
      </c>
      <c r="X1049" s="0" t="s">
        <v>232</v>
      </c>
      <c r="Y1049" s="0" t="s">
        <v>260</v>
      </c>
      <c r="Z1049" s="0" t="s">
        <v>4423</v>
      </c>
      <c r="AA1049" s="0" t="s">
        <v>235</v>
      </c>
      <c r="AB1049" s="32" t="n">
        <v>2350</v>
      </c>
      <c r="AC1049" s="32" t="n">
        <v>2550</v>
      </c>
      <c r="AD1049" s="26" t="n">
        <f aca="false">IFERROR(AB1049/B1049,"")</f>
        <v>3.91666666666667</v>
      </c>
      <c r="AE1049" s="26" t="n">
        <f aca="false">IFERROR(AC1049/B1049,"")</f>
        <v>4.25</v>
      </c>
      <c r="AF1049" s="0" t="s">
        <v>236</v>
      </c>
      <c r="AG1049" s="0" t="s">
        <v>230</v>
      </c>
      <c r="AH1049" s="0" t="s">
        <v>230</v>
      </c>
      <c r="AI1049" s="0" t="s">
        <v>2524</v>
      </c>
      <c r="AJ1049" s="0" t="s">
        <v>4458</v>
      </c>
      <c r="AK1049" s="0" t="s">
        <v>4459</v>
      </c>
      <c r="AL1049" s="0" t="s">
        <v>4460</v>
      </c>
      <c r="AM1049" s="0" t="s">
        <v>94</v>
      </c>
      <c r="AN1049" s="26" t="n">
        <f aca="false">IFERROR(E1049*(1+IF(AM1049="Apartment",Data_Summary!$C$3,0)),"")</f>
        <v>3.91666666666667</v>
      </c>
      <c r="AO1049" s="4" t="n">
        <v>46195</v>
      </c>
    </row>
    <row r="1050" customFormat="false" ht="15" hidden="false" customHeight="false" outlineLevel="0" collapsed="false">
      <c r="A1050" s="0" t="n">
        <f aca="false">IF(AND(ISNUMBER(B1050),B1050&gt;0,ISNUMBER(AB1050),AB1050&gt;0,J1050&gt;=Data_Summary!$C$1),1,0)</f>
        <v>1</v>
      </c>
      <c r="B1050" s="33" t="n">
        <v>600</v>
      </c>
      <c r="C1050" s="5" t="n">
        <f aca="false">IF(ISNUMBER(AB1050),AB1050,"")</f>
        <v>2500</v>
      </c>
      <c r="D1050" s="0" t="n">
        <f aca="false">IF(ISNUMBER(C1050),C1050-U1050*Data_Summary!$C$2,"")</f>
        <v>2500</v>
      </c>
      <c r="E1050" s="34" t="n">
        <f aca="false">IFERROR(C1050/B1050,"")</f>
        <v>4.16666666666667</v>
      </c>
      <c r="F1050" s="26" t="n">
        <f aca="false">IFERROR(D1050/B1050,"")</f>
        <v>4.16666666666667</v>
      </c>
      <c r="G1050" s="0" t="str">
        <f aca="false">Q1050</f>
        <v>1</v>
      </c>
      <c r="H1050" s="0" t="str">
        <f aca="false">IFERROR(LEFT(G1050,1),"")</f>
        <v>1</v>
      </c>
      <c r="I1050" s="0" t="n">
        <f aca="false">IF(LEN(G1050)&gt;1,1,0)</f>
        <v>0</v>
      </c>
      <c r="J1050" s="4" t="n">
        <v>45992</v>
      </c>
      <c r="K1050" s="0" t="s">
        <v>18</v>
      </c>
      <c r="L1050" s="0" t="s">
        <v>108</v>
      </c>
      <c r="M1050" s="0" t="s">
        <v>226</v>
      </c>
      <c r="N1050" s="0" t="s">
        <v>109</v>
      </c>
      <c r="O1050" s="0" t="s">
        <v>2644</v>
      </c>
      <c r="Q1050" s="0" t="s">
        <v>242</v>
      </c>
      <c r="R1050" s="0" t="n">
        <v>1</v>
      </c>
      <c r="S1050" s="5" t="n">
        <v>600</v>
      </c>
      <c r="T1050" s="0" t="s">
        <v>271</v>
      </c>
      <c r="U1050" s="0" t="n">
        <v>0</v>
      </c>
      <c r="V1050" s="0" t="s">
        <v>230</v>
      </c>
      <c r="W1050" s="0" t="s">
        <v>244</v>
      </c>
      <c r="X1050" s="0" t="s">
        <v>232</v>
      </c>
      <c r="Y1050" s="0" t="s">
        <v>278</v>
      </c>
      <c r="Z1050" s="0" t="s">
        <v>4423</v>
      </c>
      <c r="AA1050" s="0" t="s">
        <v>235</v>
      </c>
      <c r="AB1050" s="32" t="n">
        <v>2500</v>
      </c>
      <c r="AC1050" s="32" t="n">
        <v>2500</v>
      </c>
      <c r="AD1050" s="26" t="n">
        <f aca="false">IFERROR(AB1050/B1050,"")</f>
        <v>4.16666666666667</v>
      </c>
      <c r="AE1050" s="26" t="n">
        <f aca="false">IFERROR(AC1050/B1050,"")</f>
        <v>4.16666666666667</v>
      </c>
      <c r="AF1050" s="0" t="s">
        <v>421</v>
      </c>
      <c r="AG1050" s="0" t="s">
        <v>236</v>
      </c>
      <c r="AH1050" s="0" t="s">
        <v>236</v>
      </c>
      <c r="AI1050" s="0" t="s">
        <v>769</v>
      </c>
      <c r="AJ1050" s="0" t="s">
        <v>4461</v>
      </c>
      <c r="AK1050" s="0" t="s">
        <v>4462</v>
      </c>
      <c r="AL1050" s="0" t="s">
        <v>4463</v>
      </c>
      <c r="AM1050" s="0" t="s">
        <v>94</v>
      </c>
      <c r="AN1050" s="26" t="n">
        <f aca="false">IFERROR(E1050*(1+IF(AM1050="Apartment",Data_Summary!$C$3,0)),"")</f>
        <v>4.16666666666667</v>
      </c>
      <c r="AO1050" s="4" t="n">
        <v>46195</v>
      </c>
    </row>
    <row r="1051" customFormat="false" ht="15" hidden="false" customHeight="false" outlineLevel="0" collapsed="false">
      <c r="A1051" s="0" t="n">
        <f aca="false">IF(AND(ISNUMBER(B1051),B1051&gt;0,ISNUMBER(AB1051),AB1051&gt;0,J1051&gt;=Data_Summary!$C$1),1,0)</f>
        <v>1</v>
      </c>
      <c r="B1051" s="30" t="n">
        <v>725</v>
      </c>
      <c r="C1051" s="5" t="n">
        <f aca="false">IF(ISNUMBER(AB1051),AB1051,"")</f>
        <v>3200</v>
      </c>
      <c r="D1051" s="0" t="n">
        <f aca="false">IF(ISNUMBER(C1051),C1051-U1051*Data_Summary!$C$2,"")</f>
        <v>3050</v>
      </c>
      <c r="E1051" s="31" t="n">
        <f aca="false">IFERROR(C1051/B1051,"")</f>
        <v>4.41379310344828</v>
      </c>
      <c r="F1051" s="26" t="n">
        <f aca="false">IFERROR(D1051/B1051,"")</f>
        <v>4.20689655172414</v>
      </c>
      <c r="G1051" s="0" t="str">
        <f aca="false">Q1051</f>
        <v>1</v>
      </c>
      <c r="H1051" s="0" t="str">
        <f aca="false">IFERROR(LEFT(G1051,1),"")</f>
        <v>1</v>
      </c>
      <c r="I1051" s="0" t="n">
        <f aca="false">IF(LEN(G1051)&gt;1,1,0)</f>
        <v>0</v>
      </c>
      <c r="J1051" s="4" t="n">
        <v>45968</v>
      </c>
      <c r="K1051" s="0" t="s">
        <v>18</v>
      </c>
      <c r="L1051" s="0" t="s">
        <v>108</v>
      </c>
      <c r="M1051" s="0" t="s">
        <v>226</v>
      </c>
      <c r="N1051" s="0" t="s">
        <v>109</v>
      </c>
      <c r="O1051" s="0" t="s">
        <v>4464</v>
      </c>
      <c r="Q1051" s="0" t="s">
        <v>242</v>
      </c>
      <c r="R1051" s="0" t="n">
        <v>1</v>
      </c>
      <c r="S1051" s="5" t="n">
        <v>725</v>
      </c>
      <c r="T1051" s="0" t="s">
        <v>252</v>
      </c>
      <c r="U1051" s="0" t="n">
        <v>1</v>
      </c>
      <c r="V1051" s="0" t="s">
        <v>230</v>
      </c>
      <c r="W1051" s="0" t="s">
        <v>244</v>
      </c>
      <c r="X1051" s="0" t="s">
        <v>232</v>
      </c>
      <c r="Y1051" s="0" t="s">
        <v>297</v>
      </c>
      <c r="Z1051" s="0" t="s">
        <v>4423</v>
      </c>
      <c r="AA1051" s="0" t="s">
        <v>235</v>
      </c>
      <c r="AB1051" s="32" t="n">
        <v>3200</v>
      </c>
      <c r="AC1051" s="32" t="n">
        <v>3200</v>
      </c>
      <c r="AD1051" s="26" t="n">
        <f aca="false">IFERROR(AB1051/B1051,"")</f>
        <v>4.41379310344828</v>
      </c>
      <c r="AE1051" s="26" t="n">
        <f aca="false">IFERROR(AC1051/B1051,"")</f>
        <v>4.41379310344828</v>
      </c>
      <c r="AF1051" s="0" t="s">
        <v>236</v>
      </c>
      <c r="AG1051" s="0" t="s">
        <v>230</v>
      </c>
      <c r="AH1051" s="0" t="s">
        <v>230</v>
      </c>
      <c r="AI1051" s="0" t="s">
        <v>798</v>
      </c>
      <c r="AJ1051" s="0" t="s">
        <v>4465</v>
      </c>
      <c r="AK1051" s="0" t="s">
        <v>4466</v>
      </c>
      <c r="AL1051" s="0" t="s">
        <v>4467</v>
      </c>
      <c r="AM1051" s="0" t="s">
        <v>94</v>
      </c>
      <c r="AN1051" s="26" t="n">
        <f aca="false">IFERROR(E1051*(1+IF(AM1051="Apartment",Data_Summary!$C$3,0)),"")</f>
        <v>4.41379310344828</v>
      </c>
      <c r="AO1051" s="4" t="n">
        <v>46195</v>
      </c>
    </row>
    <row r="1052" customFormat="false" ht="15" hidden="false" customHeight="false" outlineLevel="0" collapsed="false">
      <c r="A1052" s="0" t="n">
        <f aca="false">IF(AND(ISNUMBER(B1052),B1052&gt;0,ISNUMBER(AB1052),AB1052&gt;0,J1052&gt;=Data_Summary!$C$1),1,0)</f>
        <v>1</v>
      </c>
      <c r="B1052" s="30" t="n">
        <v>1711</v>
      </c>
      <c r="C1052" s="5" t="n">
        <f aca="false">IF(ISNUMBER(AB1052),AB1052,"")</f>
        <v>5600</v>
      </c>
      <c r="D1052" s="0" t="n">
        <f aca="false">IF(ISNUMBER(C1052),C1052-U1052*Data_Summary!$C$2,"")</f>
        <v>5450</v>
      </c>
      <c r="E1052" s="31" t="n">
        <f aca="false">IFERROR(C1052/B1052,"")</f>
        <v>3.2729398012858</v>
      </c>
      <c r="F1052" s="26" t="n">
        <f aca="false">IFERROR(D1052/B1052,"")</f>
        <v>3.18527177089421</v>
      </c>
      <c r="G1052" s="0" t="str">
        <f aca="false">Q1052</f>
        <v>2</v>
      </c>
      <c r="H1052" s="0" t="str">
        <f aca="false">IFERROR(LEFT(G1052,1),"")</f>
        <v>2</v>
      </c>
      <c r="I1052" s="0" t="n">
        <f aca="false">IF(LEN(G1052)&gt;1,1,0)</f>
        <v>0</v>
      </c>
      <c r="J1052" s="4" t="n">
        <v>45965</v>
      </c>
      <c r="K1052" s="0" t="s">
        <v>18</v>
      </c>
      <c r="L1052" s="0" t="s">
        <v>108</v>
      </c>
      <c r="M1052" s="0" t="s">
        <v>226</v>
      </c>
      <c r="N1052" s="0" t="s">
        <v>109</v>
      </c>
      <c r="O1052" s="0" t="s">
        <v>4468</v>
      </c>
      <c r="Q1052" s="0" t="s">
        <v>251</v>
      </c>
      <c r="R1052" s="0" t="n">
        <v>3</v>
      </c>
      <c r="S1052" s="5" t="n">
        <v>1711</v>
      </c>
      <c r="T1052" s="0" t="s">
        <v>2640</v>
      </c>
      <c r="U1052" s="0" t="n">
        <v>1</v>
      </c>
      <c r="V1052" s="0" t="s">
        <v>230</v>
      </c>
      <c r="W1052" s="0" t="s">
        <v>231</v>
      </c>
      <c r="X1052" s="0" t="s">
        <v>232</v>
      </c>
      <c r="Y1052" s="0" t="s">
        <v>260</v>
      </c>
      <c r="Z1052" s="0" t="s">
        <v>4423</v>
      </c>
      <c r="AA1052" s="0" t="s">
        <v>235</v>
      </c>
      <c r="AB1052" s="32" t="n">
        <v>5600</v>
      </c>
      <c r="AC1052" s="32" t="n">
        <v>5800</v>
      </c>
      <c r="AD1052" s="26" t="n">
        <f aca="false">IFERROR(AB1052/B1052,"")</f>
        <v>3.2729398012858</v>
      </c>
      <c r="AE1052" s="26" t="n">
        <f aca="false">IFERROR(AC1052/B1052,"")</f>
        <v>3.38983050847458</v>
      </c>
      <c r="AF1052" s="0" t="s">
        <v>236</v>
      </c>
      <c r="AG1052" s="0" t="s">
        <v>230</v>
      </c>
      <c r="AH1052" s="0" t="s">
        <v>230</v>
      </c>
      <c r="AI1052" s="0" t="s">
        <v>1970</v>
      </c>
      <c r="AJ1052" s="0" t="s">
        <v>4469</v>
      </c>
      <c r="AK1052" s="0" t="s">
        <v>4470</v>
      </c>
      <c r="AL1052" s="0" t="s">
        <v>4471</v>
      </c>
      <c r="AM1052" s="0" t="s">
        <v>94</v>
      </c>
      <c r="AN1052" s="26" t="n">
        <f aca="false">IFERROR(E1052*(1+IF(AM1052="Apartment",Data_Summary!$C$3,0)),"")</f>
        <v>3.2729398012858</v>
      </c>
      <c r="AO1052" s="4" t="n">
        <v>46195</v>
      </c>
    </row>
    <row r="1053" customFormat="false" ht="15" hidden="false" customHeight="false" outlineLevel="0" collapsed="false">
      <c r="A1053" s="0" t="n">
        <f aca="false">IF(AND(ISNUMBER(B1053),B1053&gt;0,ISNUMBER(AB1053),AB1053&gt;0,J1053&gt;=Data_Summary!$C$1),1,0)</f>
        <v>1</v>
      </c>
      <c r="B1053" s="30" t="n">
        <v>675</v>
      </c>
      <c r="C1053" s="5" t="n">
        <f aca="false">IF(ISNUMBER(AB1053),AB1053,"")</f>
        <v>2700</v>
      </c>
      <c r="D1053" s="0" t="n">
        <f aca="false">IF(ISNUMBER(C1053),C1053-U1053*Data_Summary!$C$2,"")</f>
        <v>2550</v>
      </c>
      <c r="E1053" s="31" t="n">
        <f aca="false">IFERROR(C1053/B1053,"")</f>
        <v>4</v>
      </c>
      <c r="F1053" s="26" t="n">
        <f aca="false">IFERROR(D1053/B1053,"")</f>
        <v>3.77777777777778</v>
      </c>
      <c r="G1053" s="0" t="str">
        <f aca="false">Q1053</f>
        <v>1</v>
      </c>
      <c r="H1053" s="0" t="str">
        <f aca="false">IFERROR(LEFT(G1053,1),"")</f>
        <v>1</v>
      </c>
      <c r="I1053" s="0" t="n">
        <f aca="false">IF(LEN(G1053)&gt;1,1,0)</f>
        <v>0</v>
      </c>
      <c r="J1053" s="4" t="n">
        <v>45956</v>
      </c>
      <c r="K1053" s="0" t="s">
        <v>18</v>
      </c>
      <c r="L1053" s="0" t="s">
        <v>108</v>
      </c>
      <c r="M1053" s="0" t="s">
        <v>226</v>
      </c>
      <c r="N1053" s="0" t="s">
        <v>109</v>
      </c>
      <c r="O1053" s="0" t="s">
        <v>4472</v>
      </c>
      <c r="Q1053" s="0" t="s">
        <v>242</v>
      </c>
      <c r="R1053" s="0" t="n">
        <v>1</v>
      </c>
      <c r="S1053" s="5" t="n">
        <v>675</v>
      </c>
      <c r="T1053" s="0" t="s">
        <v>271</v>
      </c>
      <c r="U1053" s="0" t="n">
        <v>1</v>
      </c>
      <c r="V1053" s="0" t="s">
        <v>230</v>
      </c>
      <c r="W1053" s="0" t="s">
        <v>244</v>
      </c>
      <c r="X1053" s="0" t="s">
        <v>232</v>
      </c>
      <c r="Y1053" s="0" t="s">
        <v>278</v>
      </c>
      <c r="Z1053" s="0" t="s">
        <v>4423</v>
      </c>
      <c r="AA1053" s="0" t="s">
        <v>235</v>
      </c>
      <c r="AB1053" s="32" t="n">
        <v>2700</v>
      </c>
      <c r="AC1053" s="32" t="n">
        <v>2600</v>
      </c>
      <c r="AD1053" s="26" t="n">
        <f aca="false">IFERROR(AB1053/B1053,"")</f>
        <v>4</v>
      </c>
      <c r="AE1053" s="26" t="n">
        <f aca="false">IFERROR(AC1053/B1053,"")</f>
        <v>3.85185185185185</v>
      </c>
      <c r="AF1053" s="0" t="s">
        <v>236</v>
      </c>
      <c r="AG1053" s="0" t="s">
        <v>236</v>
      </c>
      <c r="AH1053" s="0" t="s">
        <v>236</v>
      </c>
      <c r="AI1053" s="0" t="s">
        <v>4473</v>
      </c>
      <c r="AJ1053" s="0" t="s">
        <v>4474</v>
      </c>
      <c r="AK1053" s="0" t="s">
        <v>4475</v>
      </c>
      <c r="AL1053" s="0" t="s">
        <v>4476</v>
      </c>
      <c r="AM1053" s="0" t="s">
        <v>94</v>
      </c>
      <c r="AN1053" s="26" t="n">
        <f aca="false">IFERROR(E1053*(1+IF(AM1053="Apartment",Data_Summary!$C$3,0)),"")</f>
        <v>4</v>
      </c>
      <c r="AO1053" s="4" t="n">
        <v>46195</v>
      </c>
    </row>
    <row r="1054" customFormat="false" ht="15" hidden="false" customHeight="false" outlineLevel="0" collapsed="false">
      <c r="A1054" s="0" t="n">
        <f aca="false">IF(AND(ISNUMBER(B1054),B1054&gt;0,ISNUMBER(AB1054),AB1054&gt;0,J1054&gt;=Data_Summary!$C$1),1,0)</f>
        <v>1</v>
      </c>
      <c r="B1054" s="30" t="n">
        <v>725</v>
      </c>
      <c r="C1054" s="5" t="n">
        <f aca="false">IF(ISNUMBER(AB1054),AB1054,"")</f>
        <v>2650</v>
      </c>
      <c r="D1054" s="0" t="n">
        <f aca="false">IF(ISNUMBER(C1054),C1054-U1054*Data_Summary!$C$2,"")</f>
        <v>2500</v>
      </c>
      <c r="E1054" s="31" t="n">
        <f aca="false">IFERROR(C1054/B1054,"")</f>
        <v>3.6551724137931</v>
      </c>
      <c r="F1054" s="26" t="n">
        <f aca="false">IFERROR(D1054/B1054,"")</f>
        <v>3.44827586206897</v>
      </c>
      <c r="G1054" s="0" t="str">
        <f aca="false">Q1054</f>
        <v>1+1</v>
      </c>
      <c r="H1054" s="0" t="str">
        <f aca="false">IFERROR(LEFT(G1054,1),"")</f>
        <v>1</v>
      </c>
      <c r="I1054" s="0" t="n">
        <f aca="false">IF(LEN(G1054)&gt;1,1,0)</f>
        <v>1</v>
      </c>
      <c r="J1054" s="4" t="n">
        <v>45951</v>
      </c>
      <c r="K1054" s="0" t="s">
        <v>18</v>
      </c>
      <c r="L1054" s="0" t="s">
        <v>108</v>
      </c>
      <c r="M1054" s="0" t="s">
        <v>226</v>
      </c>
      <c r="N1054" s="0" t="s">
        <v>109</v>
      </c>
      <c r="O1054" s="0" t="s">
        <v>882</v>
      </c>
      <c r="Q1054" s="0" t="s">
        <v>270</v>
      </c>
      <c r="R1054" s="0" t="n">
        <v>1</v>
      </c>
      <c r="S1054" s="5" t="n">
        <v>725</v>
      </c>
      <c r="T1054" s="0" t="s">
        <v>252</v>
      </c>
      <c r="U1054" s="0" t="n">
        <v>1</v>
      </c>
      <c r="V1054" s="0" t="s">
        <v>230</v>
      </c>
      <c r="W1054" s="0" t="s">
        <v>244</v>
      </c>
      <c r="X1054" s="0" t="s">
        <v>232</v>
      </c>
      <c r="Y1054" s="0" t="s">
        <v>278</v>
      </c>
      <c r="Z1054" s="0" t="s">
        <v>4423</v>
      </c>
      <c r="AA1054" s="0" t="s">
        <v>235</v>
      </c>
      <c r="AB1054" s="32" t="n">
        <v>2650</v>
      </c>
      <c r="AC1054" s="32" t="n">
        <v>2650</v>
      </c>
      <c r="AD1054" s="26" t="n">
        <f aca="false">IFERROR(AB1054/B1054,"")</f>
        <v>3.6551724137931</v>
      </c>
      <c r="AE1054" s="26" t="n">
        <f aca="false">IFERROR(AC1054/B1054,"")</f>
        <v>3.6551724137931</v>
      </c>
      <c r="AF1054" s="0" t="s">
        <v>236</v>
      </c>
      <c r="AG1054" s="0" t="s">
        <v>230</v>
      </c>
      <c r="AH1054" s="0" t="s">
        <v>230</v>
      </c>
      <c r="AI1054" s="0" t="s">
        <v>833</v>
      </c>
      <c r="AJ1054" s="0" t="s">
        <v>4477</v>
      </c>
      <c r="AK1054" s="0" t="s">
        <v>4478</v>
      </c>
      <c r="AL1054" s="0" t="s">
        <v>4479</v>
      </c>
      <c r="AM1054" s="0" t="s">
        <v>94</v>
      </c>
      <c r="AN1054" s="26" t="n">
        <f aca="false">IFERROR(E1054*(1+IF(AM1054="Apartment",Data_Summary!$C$3,0)),"")</f>
        <v>3.6551724137931</v>
      </c>
      <c r="AO1054" s="4" t="n">
        <v>46195</v>
      </c>
    </row>
    <row r="1055" customFormat="false" ht="15" hidden="false" customHeight="false" outlineLevel="0" collapsed="false">
      <c r="A1055" s="0" t="n">
        <f aca="false">IF(AND(ISNUMBER(B1055),B1055&gt;0,ISNUMBER(AB1055),AB1055&gt;0,J1055&gt;=Data_Summary!$C$1),1,0)</f>
        <v>1</v>
      </c>
      <c r="B1055" s="33" t="n">
        <v>600</v>
      </c>
      <c r="C1055" s="5" t="n">
        <f aca="false">IF(ISNUMBER(AB1055),AB1055,"")</f>
        <v>2450</v>
      </c>
      <c r="D1055" s="0" t="n">
        <f aca="false">IF(ISNUMBER(C1055),C1055-U1055*Data_Summary!$C$2,"")</f>
        <v>2450</v>
      </c>
      <c r="E1055" s="34" t="n">
        <f aca="false">IFERROR(C1055/B1055,"")</f>
        <v>4.08333333333333</v>
      </c>
      <c r="F1055" s="26" t="n">
        <f aca="false">IFERROR(D1055/B1055,"")</f>
        <v>4.08333333333333</v>
      </c>
      <c r="G1055" s="0" t="str">
        <f aca="false">Q1055</f>
        <v>1</v>
      </c>
      <c r="H1055" s="0" t="str">
        <f aca="false">IFERROR(LEFT(G1055,1),"")</f>
        <v>1</v>
      </c>
      <c r="I1055" s="0" t="n">
        <f aca="false">IF(LEN(G1055)&gt;1,1,0)</f>
        <v>0</v>
      </c>
      <c r="J1055" s="4" t="n">
        <v>45948</v>
      </c>
      <c r="K1055" s="0" t="s">
        <v>18</v>
      </c>
      <c r="L1055" s="0" t="s">
        <v>108</v>
      </c>
      <c r="M1055" s="0" t="s">
        <v>226</v>
      </c>
      <c r="N1055" s="0" t="s">
        <v>109</v>
      </c>
      <c r="O1055" s="0" t="s">
        <v>1540</v>
      </c>
      <c r="Q1055" s="0" t="s">
        <v>242</v>
      </c>
      <c r="R1055" s="0" t="n">
        <v>1</v>
      </c>
      <c r="S1055" s="5" t="n">
        <v>600</v>
      </c>
      <c r="T1055" s="0" t="s">
        <v>271</v>
      </c>
      <c r="U1055" s="0" t="n">
        <v>0</v>
      </c>
      <c r="V1055" s="0" t="s">
        <v>230</v>
      </c>
      <c r="W1055" s="0" t="s">
        <v>244</v>
      </c>
      <c r="X1055" s="0" t="s">
        <v>232</v>
      </c>
      <c r="Y1055" s="0" t="s">
        <v>272</v>
      </c>
      <c r="Z1055" s="0" t="s">
        <v>4423</v>
      </c>
      <c r="AA1055" s="0" t="s">
        <v>235</v>
      </c>
      <c r="AB1055" s="32" t="n">
        <v>2450</v>
      </c>
      <c r="AC1055" s="32" t="n">
        <v>2450</v>
      </c>
      <c r="AD1055" s="26" t="n">
        <f aca="false">IFERROR(AB1055/B1055,"")</f>
        <v>4.08333333333333</v>
      </c>
      <c r="AE1055" s="26" t="n">
        <f aca="false">IFERROR(AC1055/B1055,"")</f>
        <v>4.08333333333333</v>
      </c>
      <c r="AF1055" s="0" t="s">
        <v>230</v>
      </c>
      <c r="AG1055" s="0" t="s">
        <v>230</v>
      </c>
      <c r="AH1055" s="0" t="s">
        <v>230</v>
      </c>
      <c r="AI1055" s="0" t="s">
        <v>3555</v>
      </c>
      <c r="AJ1055" s="0" t="s">
        <v>4480</v>
      </c>
      <c r="AK1055" s="0" t="s">
        <v>4481</v>
      </c>
      <c r="AL1055" s="0" t="s">
        <v>4482</v>
      </c>
      <c r="AM1055" s="0" t="s">
        <v>94</v>
      </c>
      <c r="AN1055" s="26" t="n">
        <f aca="false">IFERROR(E1055*(1+IF(AM1055="Apartment",Data_Summary!$C$3,0)),"")</f>
        <v>4.08333333333333</v>
      </c>
      <c r="AO1055" s="4" t="n">
        <v>46195</v>
      </c>
    </row>
    <row r="1056" customFormat="false" ht="15" hidden="false" customHeight="false" outlineLevel="0" collapsed="false">
      <c r="A1056" s="0" t="n">
        <f aca="false">IF(AND(ISNUMBER(B1056),B1056&gt;0,ISNUMBER(AB1056),AB1056&gt;0,J1056&gt;=Data_Summary!$C$1),1,0)</f>
        <v>1</v>
      </c>
      <c r="B1056" s="30" t="n">
        <v>617</v>
      </c>
      <c r="C1056" s="5" t="n">
        <f aca="false">IF(ISNUMBER(AB1056),AB1056,"")</f>
        <v>2250</v>
      </c>
      <c r="D1056" s="0" t="n">
        <f aca="false">IF(ISNUMBER(C1056),C1056-U1056*Data_Summary!$C$2,"")</f>
        <v>2250</v>
      </c>
      <c r="E1056" s="31" t="n">
        <f aca="false">IFERROR(C1056/B1056,"")</f>
        <v>3.64667747163695</v>
      </c>
      <c r="F1056" s="26" t="n">
        <f aca="false">IFERROR(D1056/B1056,"")</f>
        <v>3.64667747163695</v>
      </c>
      <c r="G1056" s="0" t="str">
        <f aca="false">Q1056</f>
        <v>1</v>
      </c>
      <c r="H1056" s="0" t="str">
        <f aca="false">IFERROR(LEFT(G1056,1),"")</f>
        <v>1</v>
      </c>
      <c r="I1056" s="0" t="n">
        <f aca="false">IF(LEN(G1056)&gt;1,1,0)</f>
        <v>0</v>
      </c>
      <c r="J1056" s="4" t="n">
        <v>45944</v>
      </c>
      <c r="K1056" s="0" t="s">
        <v>18</v>
      </c>
      <c r="L1056" s="0" t="s">
        <v>108</v>
      </c>
      <c r="M1056" s="0" t="s">
        <v>226</v>
      </c>
      <c r="N1056" s="0" t="s">
        <v>109</v>
      </c>
      <c r="O1056" s="0" t="s">
        <v>4483</v>
      </c>
      <c r="Q1056" s="0" t="s">
        <v>242</v>
      </c>
      <c r="R1056" s="0" t="n">
        <v>1</v>
      </c>
      <c r="S1056" s="5" t="n">
        <v>617</v>
      </c>
      <c r="T1056" s="0" t="s">
        <v>271</v>
      </c>
      <c r="U1056" s="0" t="n">
        <v>0</v>
      </c>
      <c r="V1056" s="0" t="s">
        <v>230</v>
      </c>
      <c r="W1056" s="0" t="s">
        <v>244</v>
      </c>
      <c r="Y1056" s="0" t="s">
        <v>233</v>
      </c>
      <c r="Z1056" s="0" t="s">
        <v>4423</v>
      </c>
      <c r="AA1056" s="0" t="s">
        <v>235</v>
      </c>
      <c r="AB1056" s="32" t="n">
        <v>2250</v>
      </c>
      <c r="AC1056" s="32" t="n">
        <v>2250</v>
      </c>
      <c r="AD1056" s="26" t="n">
        <f aca="false">IFERROR(AB1056/B1056,"")</f>
        <v>3.64667747163695</v>
      </c>
      <c r="AE1056" s="26" t="n">
        <f aca="false">IFERROR(AC1056/B1056,"")</f>
        <v>3.64667747163695</v>
      </c>
      <c r="AF1056" s="0" t="s">
        <v>236</v>
      </c>
      <c r="AG1056" s="0" t="s">
        <v>230</v>
      </c>
      <c r="AH1056" s="0" t="s">
        <v>230</v>
      </c>
      <c r="AI1056" s="0" t="s">
        <v>1983</v>
      </c>
      <c r="AJ1056" s="0" t="s">
        <v>4484</v>
      </c>
      <c r="AK1056" s="0" t="s">
        <v>4485</v>
      </c>
      <c r="AL1056" s="0" t="s">
        <v>4486</v>
      </c>
      <c r="AM1056" s="0" t="s">
        <v>94</v>
      </c>
      <c r="AN1056" s="26" t="n">
        <f aca="false">IFERROR(E1056*(1+IF(AM1056="Apartment",Data_Summary!$C$3,0)),"")</f>
        <v>3.64667747163695</v>
      </c>
      <c r="AO1056" s="4" t="n">
        <v>46195</v>
      </c>
    </row>
    <row r="1057" customFormat="false" ht="15" hidden="false" customHeight="false" outlineLevel="0" collapsed="false">
      <c r="A1057" s="0" t="n">
        <f aca="false">IF(AND(ISNUMBER(B1057),B1057&gt;0,ISNUMBER(AB1057),AB1057&gt;0,J1057&gt;=Data_Summary!$C$1),1,0)</f>
        <v>1</v>
      </c>
      <c r="B1057" s="33" t="n">
        <v>615</v>
      </c>
      <c r="C1057" s="5" t="n">
        <f aca="false">IF(ISNUMBER(AB1057),AB1057,"")</f>
        <v>2350</v>
      </c>
      <c r="D1057" s="0" t="n">
        <f aca="false">IF(ISNUMBER(C1057),C1057-U1057*Data_Summary!$C$2,"")</f>
        <v>2200</v>
      </c>
      <c r="E1057" s="34" t="n">
        <f aca="false">IFERROR(C1057/B1057,"")</f>
        <v>3.82113821138211</v>
      </c>
      <c r="F1057" s="26" t="n">
        <f aca="false">IFERROR(D1057/B1057,"")</f>
        <v>3.57723577235772</v>
      </c>
      <c r="G1057" s="0" t="str">
        <f aca="false">Q1057</f>
        <v>1</v>
      </c>
      <c r="H1057" s="0" t="str">
        <f aca="false">IFERROR(LEFT(G1057,1),"")</f>
        <v>1</v>
      </c>
      <c r="I1057" s="0" t="n">
        <f aca="false">IF(LEN(G1057)&gt;1,1,0)</f>
        <v>0</v>
      </c>
      <c r="J1057" s="4" t="n">
        <v>45933</v>
      </c>
      <c r="K1057" s="0" t="s">
        <v>18</v>
      </c>
      <c r="L1057" s="0" t="s">
        <v>108</v>
      </c>
      <c r="M1057" s="0" t="s">
        <v>226</v>
      </c>
      <c r="N1057" s="0" t="s">
        <v>109</v>
      </c>
      <c r="O1057" s="0" t="s">
        <v>1482</v>
      </c>
      <c r="Q1057" s="0" t="s">
        <v>242</v>
      </c>
      <c r="R1057" s="0" t="n">
        <v>1</v>
      </c>
      <c r="S1057" s="5" t="n">
        <v>615</v>
      </c>
      <c r="T1057" s="0" t="s">
        <v>243</v>
      </c>
      <c r="U1057" s="0" t="n">
        <v>1</v>
      </c>
      <c r="V1057" s="0" t="s">
        <v>230</v>
      </c>
      <c r="W1057" s="0" t="s">
        <v>244</v>
      </c>
      <c r="Y1057" s="0" t="s">
        <v>253</v>
      </c>
      <c r="Z1057" s="0" t="s">
        <v>4423</v>
      </c>
      <c r="AA1057" s="0" t="s">
        <v>235</v>
      </c>
      <c r="AB1057" s="32" t="n">
        <v>2350</v>
      </c>
      <c r="AC1057" s="32" t="n">
        <v>2400</v>
      </c>
      <c r="AD1057" s="26" t="n">
        <f aca="false">IFERROR(AB1057/B1057,"")</f>
        <v>3.82113821138211</v>
      </c>
      <c r="AE1057" s="26" t="n">
        <f aca="false">IFERROR(AC1057/B1057,"")</f>
        <v>3.90243902439024</v>
      </c>
      <c r="AF1057" s="0" t="s">
        <v>236</v>
      </c>
      <c r="AG1057" s="0" t="s">
        <v>230</v>
      </c>
      <c r="AH1057" s="0" t="s">
        <v>230</v>
      </c>
      <c r="AI1057" s="0" t="s">
        <v>2925</v>
      </c>
      <c r="AJ1057" s="0" t="s">
        <v>4487</v>
      </c>
      <c r="AK1057" s="0" t="s">
        <v>4488</v>
      </c>
      <c r="AL1057" s="0" t="s">
        <v>4489</v>
      </c>
      <c r="AM1057" s="0" t="s">
        <v>94</v>
      </c>
      <c r="AN1057" s="26" t="n">
        <f aca="false">IFERROR(E1057*(1+IF(AM1057="Apartment",Data_Summary!$C$3,0)),"")</f>
        <v>3.82113821138211</v>
      </c>
      <c r="AO1057" s="4" t="n">
        <v>46195</v>
      </c>
    </row>
    <row r="1058" customFormat="false" ht="15" hidden="false" customHeight="false" outlineLevel="0" collapsed="false">
      <c r="A1058" s="0" t="n">
        <f aca="false">IF(AND(ISNUMBER(B1058),B1058&gt;0,ISNUMBER(AB1058),AB1058&gt;0,J1058&gt;=Data_Summary!$C$1),1,0)</f>
        <v>1</v>
      </c>
      <c r="B1058" s="30" t="n">
        <v>1173</v>
      </c>
      <c r="C1058" s="5" t="n">
        <f aca="false">IF(ISNUMBER(AB1058),AB1058,"")</f>
        <v>4000</v>
      </c>
      <c r="D1058" s="0" t="n">
        <f aca="false">IF(ISNUMBER(C1058),C1058-U1058*Data_Summary!$C$2,"")</f>
        <v>3850</v>
      </c>
      <c r="E1058" s="31" t="n">
        <f aca="false">IFERROR(C1058/B1058,"")</f>
        <v>3.41005967604433</v>
      </c>
      <c r="F1058" s="26" t="n">
        <f aca="false">IFERROR(D1058/B1058,"")</f>
        <v>3.28218243819267</v>
      </c>
      <c r="G1058" s="0" t="str">
        <f aca="false">Q1058</f>
        <v>2+1</v>
      </c>
      <c r="H1058" s="0" t="str">
        <f aca="false">IFERROR(LEFT(G1058,1),"")</f>
        <v>2</v>
      </c>
      <c r="I1058" s="0" t="n">
        <f aca="false">IF(LEN(G1058)&gt;1,1,0)</f>
        <v>1</v>
      </c>
      <c r="J1058" s="4" t="n">
        <v>45927</v>
      </c>
      <c r="K1058" s="0" t="s">
        <v>18</v>
      </c>
      <c r="L1058" s="0" t="s">
        <v>108</v>
      </c>
      <c r="M1058" s="0" t="s">
        <v>226</v>
      </c>
      <c r="N1058" s="0" t="s">
        <v>109</v>
      </c>
      <c r="O1058" s="0" t="s">
        <v>1408</v>
      </c>
      <c r="Q1058" s="0" t="s">
        <v>451</v>
      </c>
      <c r="R1058" s="0" t="n">
        <v>2</v>
      </c>
      <c r="S1058" s="5" t="n">
        <v>1173</v>
      </c>
      <c r="T1058" s="0" t="s">
        <v>265</v>
      </c>
      <c r="U1058" s="0" t="n">
        <v>1</v>
      </c>
      <c r="V1058" s="0" t="s">
        <v>230</v>
      </c>
      <c r="W1058" s="0" t="s">
        <v>244</v>
      </c>
      <c r="X1058" s="0" t="s">
        <v>232</v>
      </c>
      <c r="Y1058" s="0" t="s">
        <v>297</v>
      </c>
      <c r="Z1058" s="0" t="s">
        <v>4423</v>
      </c>
      <c r="AA1058" s="0" t="s">
        <v>235</v>
      </c>
      <c r="AB1058" s="32" t="n">
        <v>4000</v>
      </c>
      <c r="AC1058" s="32" t="n">
        <v>3995</v>
      </c>
      <c r="AD1058" s="26" t="n">
        <f aca="false">IFERROR(AB1058/B1058,"")</f>
        <v>3.41005967604433</v>
      </c>
      <c r="AE1058" s="26" t="n">
        <f aca="false">IFERROR(AC1058/B1058,"")</f>
        <v>3.40579710144928</v>
      </c>
      <c r="AF1058" s="0" t="s">
        <v>236</v>
      </c>
      <c r="AG1058" s="0" t="s">
        <v>236</v>
      </c>
      <c r="AH1058" s="0" t="s">
        <v>236</v>
      </c>
      <c r="AI1058" s="0" t="s">
        <v>2570</v>
      </c>
      <c r="AJ1058" s="0" t="s">
        <v>4490</v>
      </c>
      <c r="AK1058" s="0" t="s">
        <v>4491</v>
      </c>
      <c r="AL1058" s="0" t="s">
        <v>4492</v>
      </c>
      <c r="AM1058" s="0" t="s">
        <v>94</v>
      </c>
      <c r="AN1058" s="26" t="n">
        <f aca="false">IFERROR(E1058*(1+IF(AM1058="Apartment",Data_Summary!$C$3,0)),"")</f>
        <v>3.41005967604433</v>
      </c>
      <c r="AO1058" s="4" t="n">
        <v>46195</v>
      </c>
    </row>
    <row r="1059" customFormat="false" ht="15" hidden="false" customHeight="false" outlineLevel="0" collapsed="false">
      <c r="A1059" s="0" t="n">
        <f aca="false">IF(AND(ISNUMBER(B1059),B1059&gt;0,ISNUMBER(AB1059),AB1059&gt;0,J1059&gt;=Data_Summary!$C$1),1,0)</f>
        <v>1</v>
      </c>
      <c r="B1059" s="30" t="n">
        <v>616</v>
      </c>
      <c r="C1059" s="5" t="n">
        <f aca="false">IF(ISNUMBER(AB1059),AB1059,"")</f>
        <v>2200</v>
      </c>
      <c r="D1059" s="0" t="n">
        <f aca="false">IF(ISNUMBER(C1059),C1059-U1059*Data_Summary!$C$2,"")</f>
        <v>2050</v>
      </c>
      <c r="E1059" s="31" t="n">
        <f aca="false">IFERROR(C1059/B1059,"")</f>
        <v>3.57142857142857</v>
      </c>
      <c r="F1059" s="26" t="n">
        <f aca="false">IFERROR(D1059/B1059,"")</f>
        <v>3.32792207792208</v>
      </c>
      <c r="G1059" s="0" t="str">
        <f aca="false">Q1059</f>
        <v>1</v>
      </c>
      <c r="H1059" s="0" t="str">
        <f aca="false">IFERROR(LEFT(G1059,1),"")</f>
        <v>1</v>
      </c>
      <c r="I1059" s="0" t="n">
        <f aca="false">IF(LEN(G1059)&gt;1,1,0)</f>
        <v>0</v>
      </c>
      <c r="J1059" s="4" t="n">
        <v>45926</v>
      </c>
      <c r="K1059" s="0" t="s">
        <v>18</v>
      </c>
      <c r="L1059" s="0" t="s">
        <v>108</v>
      </c>
      <c r="M1059" s="0" t="s">
        <v>226</v>
      </c>
      <c r="N1059" s="0" t="s">
        <v>109</v>
      </c>
      <c r="O1059" s="0" t="s">
        <v>2251</v>
      </c>
      <c r="Q1059" s="0" t="s">
        <v>242</v>
      </c>
      <c r="R1059" s="0" t="n">
        <v>1</v>
      </c>
      <c r="S1059" s="5" t="n">
        <v>616</v>
      </c>
      <c r="T1059" s="0" t="s">
        <v>271</v>
      </c>
      <c r="U1059" s="0" t="n">
        <v>1</v>
      </c>
      <c r="V1059" s="0" t="s">
        <v>230</v>
      </c>
      <c r="W1059" s="0" t="s">
        <v>244</v>
      </c>
      <c r="Y1059" s="0" t="s">
        <v>253</v>
      </c>
      <c r="Z1059" s="0" t="s">
        <v>4423</v>
      </c>
      <c r="AA1059" s="0" t="s">
        <v>235</v>
      </c>
      <c r="AB1059" s="32" t="n">
        <v>2200</v>
      </c>
      <c r="AC1059" s="32" t="n">
        <v>2200</v>
      </c>
      <c r="AD1059" s="26" t="n">
        <f aca="false">IFERROR(AB1059/B1059,"")</f>
        <v>3.57142857142857</v>
      </c>
      <c r="AE1059" s="26" t="n">
        <f aca="false">IFERROR(AC1059/B1059,"")</f>
        <v>3.57142857142857</v>
      </c>
      <c r="AF1059" s="0" t="s">
        <v>236</v>
      </c>
      <c r="AG1059" s="0" t="s">
        <v>230</v>
      </c>
      <c r="AH1059" s="0" t="s">
        <v>230</v>
      </c>
      <c r="AI1059" s="0" t="s">
        <v>858</v>
      </c>
      <c r="AJ1059" s="0" t="s">
        <v>4493</v>
      </c>
      <c r="AK1059" s="0" t="s">
        <v>4494</v>
      </c>
      <c r="AL1059" s="0" t="s">
        <v>4495</v>
      </c>
      <c r="AM1059" s="0" t="s">
        <v>94</v>
      </c>
      <c r="AN1059" s="26" t="n">
        <f aca="false">IFERROR(E1059*(1+IF(AM1059="Apartment",Data_Summary!$C$3,0)),"")</f>
        <v>3.57142857142857</v>
      </c>
      <c r="AO1059" s="4" t="n">
        <v>46195</v>
      </c>
    </row>
    <row r="1060" customFormat="false" ht="15" hidden="false" customHeight="false" outlineLevel="0" collapsed="false">
      <c r="A1060" s="0" t="n">
        <f aca="false">IF(AND(ISNUMBER(B1060),B1060&gt;0,ISNUMBER(AB1060),AB1060&gt;0,J1060&gt;=Data_Summary!$C$1),1,0)</f>
        <v>1</v>
      </c>
      <c r="B1060" s="30" t="n">
        <v>698</v>
      </c>
      <c r="C1060" s="5" t="n">
        <f aca="false">IF(ISNUMBER(AB1060),AB1060,"")</f>
        <v>2425</v>
      </c>
      <c r="D1060" s="0" t="n">
        <f aca="false">IF(ISNUMBER(C1060),C1060-U1060*Data_Summary!$C$2,"")</f>
        <v>2425</v>
      </c>
      <c r="E1060" s="31" t="n">
        <f aca="false">IFERROR(C1060/B1060,"")</f>
        <v>3.47421203438395</v>
      </c>
      <c r="F1060" s="26" t="n">
        <f aca="false">IFERROR(D1060/B1060,"")</f>
        <v>3.47421203438395</v>
      </c>
      <c r="G1060" s="0" t="str">
        <f aca="false">Q1060</f>
        <v>1+1</v>
      </c>
      <c r="H1060" s="0" t="str">
        <f aca="false">IFERROR(LEFT(G1060,1),"")</f>
        <v>1</v>
      </c>
      <c r="I1060" s="0" t="n">
        <f aca="false">IF(LEN(G1060)&gt;1,1,0)</f>
        <v>1</v>
      </c>
      <c r="J1060" s="4" t="n">
        <v>45913</v>
      </c>
      <c r="K1060" s="0" t="s">
        <v>18</v>
      </c>
      <c r="L1060" s="0" t="s">
        <v>108</v>
      </c>
      <c r="M1060" s="0" t="s">
        <v>226</v>
      </c>
      <c r="N1060" s="0" t="s">
        <v>109</v>
      </c>
      <c r="O1060" s="0" t="s">
        <v>4358</v>
      </c>
      <c r="Q1060" s="0" t="s">
        <v>270</v>
      </c>
      <c r="R1060" s="0" t="n">
        <v>1</v>
      </c>
      <c r="S1060" s="5" t="n">
        <v>698</v>
      </c>
      <c r="T1060" s="0" t="s">
        <v>271</v>
      </c>
      <c r="U1060" s="0" t="n">
        <v>0</v>
      </c>
      <c r="V1060" s="0" t="s">
        <v>230</v>
      </c>
      <c r="W1060" s="0" t="s">
        <v>244</v>
      </c>
      <c r="X1060" s="0" t="s">
        <v>232</v>
      </c>
      <c r="Y1060" s="0" t="s">
        <v>297</v>
      </c>
      <c r="Z1060" s="0" t="s">
        <v>4423</v>
      </c>
      <c r="AA1060" s="0" t="s">
        <v>235</v>
      </c>
      <c r="AB1060" s="32" t="n">
        <v>2425</v>
      </c>
      <c r="AC1060" s="32" t="n">
        <v>2400</v>
      </c>
      <c r="AD1060" s="26" t="n">
        <f aca="false">IFERROR(AB1060/B1060,"")</f>
        <v>3.47421203438395</v>
      </c>
      <c r="AE1060" s="26" t="n">
        <f aca="false">IFERROR(AC1060/B1060,"")</f>
        <v>3.43839541547278</v>
      </c>
      <c r="AF1060" s="0" t="s">
        <v>236</v>
      </c>
      <c r="AG1060" s="0" t="s">
        <v>230</v>
      </c>
      <c r="AH1060" s="0" t="s">
        <v>230</v>
      </c>
      <c r="AI1060" s="0" t="s">
        <v>2019</v>
      </c>
      <c r="AJ1060" s="0" t="s">
        <v>4496</v>
      </c>
      <c r="AK1060" s="0" t="s">
        <v>4497</v>
      </c>
      <c r="AL1060" s="0" t="s">
        <v>4498</v>
      </c>
      <c r="AM1060" s="0" t="s">
        <v>94</v>
      </c>
      <c r="AN1060" s="26" t="n">
        <f aca="false">IFERROR(E1060*(1+IF(AM1060="Apartment",Data_Summary!$C$3,0)),"")</f>
        <v>3.47421203438395</v>
      </c>
      <c r="AO1060" s="4" t="n">
        <v>46195</v>
      </c>
    </row>
    <row r="1061" customFormat="false" ht="15" hidden="false" customHeight="false" outlineLevel="0" collapsed="false">
      <c r="A1061" s="0" t="n">
        <f aca="false">IF(AND(ISNUMBER(B1061),B1061&gt;0,ISNUMBER(AB1061),AB1061&gt;0,J1061&gt;=Data_Summary!$C$1),1,0)</f>
        <v>1</v>
      </c>
      <c r="B1061" s="30" t="n">
        <v>782</v>
      </c>
      <c r="C1061" s="5" t="n">
        <f aca="false">IF(ISNUMBER(AB1061),AB1061,"")</f>
        <v>2450</v>
      </c>
      <c r="D1061" s="0" t="n">
        <f aca="false">IF(ISNUMBER(C1061),C1061-U1061*Data_Summary!$C$2,"")</f>
        <v>2300</v>
      </c>
      <c r="E1061" s="31" t="n">
        <f aca="false">IFERROR(C1061/B1061,"")</f>
        <v>3.13299232736573</v>
      </c>
      <c r="F1061" s="26" t="n">
        <f aca="false">IFERROR(D1061/B1061,"")</f>
        <v>2.94117647058824</v>
      </c>
      <c r="G1061" s="0" t="str">
        <f aca="false">Q1061</f>
        <v>1+1</v>
      </c>
      <c r="H1061" s="0" t="str">
        <f aca="false">IFERROR(LEFT(G1061,1),"")</f>
        <v>1</v>
      </c>
      <c r="I1061" s="0" t="n">
        <f aca="false">IF(LEN(G1061)&gt;1,1,0)</f>
        <v>1</v>
      </c>
      <c r="J1061" s="4" t="n">
        <v>45895</v>
      </c>
      <c r="K1061" s="0" t="s">
        <v>18</v>
      </c>
      <c r="L1061" s="0" t="s">
        <v>108</v>
      </c>
      <c r="M1061" s="0" t="s">
        <v>226</v>
      </c>
      <c r="N1061" s="0" t="s">
        <v>109</v>
      </c>
      <c r="O1061" s="0" t="s">
        <v>3405</v>
      </c>
      <c r="Q1061" s="0" t="s">
        <v>270</v>
      </c>
      <c r="R1061" s="0" t="n">
        <v>1</v>
      </c>
      <c r="S1061" s="5" t="n">
        <v>782</v>
      </c>
      <c r="T1061" s="0" t="s">
        <v>252</v>
      </c>
      <c r="U1061" s="0" t="n">
        <v>1</v>
      </c>
      <c r="V1061" s="0" t="s">
        <v>230</v>
      </c>
      <c r="W1061" s="0" t="s">
        <v>244</v>
      </c>
      <c r="Y1061" s="0" t="s">
        <v>297</v>
      </c>
      <c r="Z1061" s="0" t="s">
        <v>4423</v>
      </c>
      <c r="AA1061" s="0" t="s">
        <v>235</v>
      </c>
      <c r="AB1061" s="32" t="n">
        <v>2450</v>
      </c>
      <c r="AC1061" s="32" t="n">
        <v>2450</v>
      </c>
      <c r="AD1061" s="26" t="n">
        <f aca="false">IFERROR(AB1061/B1061,"")</f>
        <v>3.13299232736573</v>
      </c>
      <c r="AE1061" s="26" t="n">
        <f aca="false">IFERROR(AC1061/B1061,"")</f>
        <v>3.13299232736573</v>
      </c>
      <c r="AF1061" s="0" t="s">
        <v>236</v>
      </c>
      <c r="AG1061" s="0" t="s">
        <v>230</v>
      </c>
      <c r="AH1061" s="0" t="s">
        <v>230</v>
      </c>
      <c r="AI1061" s="0" t="s">
        <v>2034</v>
      </c>
      <c r="AJ1061" s="0" t="s">
        <v>4499</v>
      </c>
      <c r="AK1061" s="0" t="s">
        <v>4500</v>
      </c>
      <c r="AL1061" s="0" t="s">
        <v>4501</v>
      </c>
      <c r="AM1061" s="0" t="s">
        <v>94</v>
      </c>
      <c r="AN1061" s="26" t="n">
        <f aca="false">IFERROR(E1061*(1+IF(AM1061="Apartment",Data_Summary!$C$3,0)),"")</f>
        <v>3.13299232736573</v>
      </c>
      <c r="AO1061" s="4" t="n">
        <v>46195</v>
      </c>
    </row>
    <row r="1062" customFormat="false" ht="15" hidden="false" customHeight="false" outlineLevel="0" collapsed="false">
      <c r="A1062" s="0" t="n">
        <f aca="false">IF(AND(ISNUMBER(B1062),B1062&gt;0,ISNUMBER(AB1062),AB1062&gt;0,J1062&gt;=Data_Summary!$C$1),1,0)</f>
        <v>1</v>
      </c>
      <c r="B1062" s="30" t="n">
        <v>675</v>
      </c>
      <c r="C1062" s="5" t="n">
        <f aca="false">IF(ISNUMBER(AB1062),AB1062,"")</f>
        <v>2400</v>
      </c>
      <c r="D1062" s="0" t="n">
        <f aca="false">IF(ISNUMBER(C1062),C1062-U1062*Data_Summary!$C$2,"")</f>
        <v>2250</v>
      </c>
      <c r="E1062" s="31" t="n">
        <f aca="false">IFERROR(C1062/B1062,"")</f>
        <v>3.55555555555556</v>
      </c>
      <c r="F1062" s="26" t="n">
        <f aca="false">IFERROR(D1062/B1062,"")</f>
        <v>3.33333333333333</v>
      </c>
      <c r="G1062" s="0" t="str">
        <f aca="false">Q1062</f>
        <v>1</v>
      </c>
      <c r="H1062" s="0" t="str">
        <f aca="false">IFERROR(LEFT(G1062,1),"")</f>
        <v>1</v>
      </c>
      <c r="I1062" s="0" t="n">
        <f aca="false">IF(LEN(G1062)&gt;1,1,0)</f>
        <v>0</v>
      </c>
      <c r="J1062" s="4" t="n">
        <v>45889</v>
      </c>
      <c r="K1062" s="0" t="s">
        <v>18</v>
      </c>
      <c r="L1062" s="0" t="s">
        <v>108</v>
      </c>
      <c r="M1062" s="0" t="s">
        <v>226</v>
      </c>
      <c r="N1062" s="0" t="s">
        <v>109</v>
      </c>
      <c r="O1062" s="0" t="s">
        <v>773</v>
      </c>
      <c r="Q1062" s="0" t="s">
        <v>242</v>
      </c>
      <c r="R1062" s="0" t="n">
        <v>1</v>
      </c>
      <c r="S1062" s="5" t="n">
        <v>675</v>
      </c>
      <c r="T1062" s="0" t="s">
        <v>271</v>
      </c>
      <c r="U1062" s="0" t="n">
        <v>1</v>
      </c>
      <c r="V1062" s="0" t="s">
        <v>230</v>
      </c>
      <c r="W1062" s="0" t="s">
        <v>231</v>
      </c>
      <c r="X1062" s="0" t="s">
        <v>232</v>
      </c>
      <c r="Y1062" s="0" t="s">
        <v>278</v>
      </c>
      <c r="Z1062" s="0" t="s">
        <v>4423</v>
      </c>
      <c r="AA1062" s="0" t="s">
        <v>235</v>
      </c>
      <c r="AB1062" s="32" t="n">
        <v>2400</v>
      </c>
      <c r="AC1062" s="32" t="n">
        <v>2400</v>
      </c>
      <c r="AD1062" s="26" t="n">
        <f aca="false">IFERROR(AB1062/B1062,"")</f>
        <v>3.55555555555556</v>
      </c>
      <c r="AE1062" s="26" t="n">
        <f aca="false">IFERROR(AC1062/B1062,"")</f>
        <v>3.55555555555556</v>
      </c>
      <c r="AF1062" s="0" t="s">
        <v>236</v>
      </c>
      <c r="AG1062" s="0" t="s">
        <v>230</v>
      </c>
      <c r="AH1062" s="0" t="s">
        <v>230</v>
      </c>
      <c r="AI1062" s="0" t="s">
        <v>2988</v>
      </c>
      <c r="AJ1062" s="0" t="s">
        <v>4502</v>
      </c>
      <c r="AK1062" s="0" t="s">
        <v>4503</v>
      </c>
      <c r="AL1062" s="0" t="s">
        <v>4504</v>
      </c>
      <c r="AM1062" s="0" t="s">
        <v>94</v>
      </c>
      <c r="AN1062" s="26" t="n">
        <f aca="false">IFERROR(E1062*(1+IF(AM1062="Apartment",Data_Summary!$C$3,0)),"")</f>
        <v>3.55555555555556</v>
      </c>
      <c r="AO1062" s="4" t="n">
        <v>46195</v>
      </c>
    </row>
    <row r="1063" customFormat="false" ht="15" hidden="false" customHeight="false" outlineLevel="0" collapsed="false">
      <c r="A1063" s="0" t="n">
        <f aca="false">IF(AND(ISNUMBER(B1063),B1063&gt;0,ISNUMBER(AB1063),AB1063&gt;0,J1063&gt;=Data_Summary!$C$1),1,0)</f>
        <v>1</v>
      </c>
      <c r="B1063" s="30" t="n">
        <v>842</v>
      </c>
      <c r="C1063" s="5" t="n">
        <f aca="false">IF(ISNUMBER(AB1063),AB1063,"")</f>
        <v>3050</v>
      </c>
      <c r="D1063" s="0" t="n">
        <f aca="false">IF(ISNUMBER(C1063),C1063-U1063*Data_Summary!$C$2,"")</f>
        <v>2900</v>
      </c>
      <c r="E1063" s="31" t="n">
        <f aca="false">IFERROR(C1063/B1063,"")</f>
        <v>3.62232779097387</v>
      </c>
      <c r="F1063" s="26" t="n">
        <f aca="false">IFERROR(D1063/B1063,"")</f>
        <v>3.44418052256532</v>
      </c>
      <c r="G1063" s="0" t="str">
        <f aca="false">Q1063</f>
        <v>2</v>
      </c>
      <c r="H1063" s="0" t="str">
        <f aca="false">IFERROR(LEFT(G1063,1),"")</f>
        <v>2</v>
      </c>
      <c r="I1063" s="0" t="n">
        <f aca="false">IF(LEN(G1063)&gt;1,1,0)</f>
        <v>0</v>
      </c>
      <c r="J1063" s="4" t="n">
        <v>45880</v>
      </c>
      <c r="K1063" s="0" t="s">
        <v>18</v>
      </c>
      <c r="L1063" s="0" t="s">
        <v>108</v>
      </c>
      <c r="M1063" s="0" t="s">
        <v>226</v>
      </c>
      <c r="N1063" s="0" t="s">
        <v>109</v>
      </c>
      <c r="O1063" s="0" t="s">
        <v>3018</v>
      </c>
      <c r="Q1063" s="0" t="s">
        <v>251</v>
      </c>
      <c r="R1063" s="0" t="n">
        <v>1</v>
      </c>
      <c r="S1063" s="5" t="n">
        <v>842</v>
      </c>
      <c r="T1063" s="0" t="s">
        <v>229</v>
      </c>
      <c r="U1063" s="0" t="n">
        <v>1</v>
      </c>
      <c r="V1063" s="0" t="s">
        <v>230</v>
      </c>
      <c r="W1063" s="0" t="s">
        <v>244</v>
      </c>
      <c r="X1063" s="0" t="s">
        <v>232</v>
      </c>
      <c r="Y1063" s="0" t="s">
        <v>260</v>
      </c>
      <c r="Z1063" s="0" t="s">
        <v>4423</v>
      </c>
      <c r="AA1063" s="0" t="s">
        <v>235</v>
      </c>
      <c r="AB1063" s="32" t="n">
        <v>3050</v>
      </c>
      <c r="AC1063" s="32" t="n">
        <v>3200</v>
      </c>
      <c r="AD1063" s="26" t="n">
        <f aca="false">IFERROR(AB1063/B1063,"")</f>
        <v>3.62232779097387</v>
      </c>
      <c r="AE1063" s="26" t="n">
        <f aca="false">IFERROR(AC1063/B1063,"")</f>
        <v>3.80047505938242</v>
      </c>
      <c r="AF1063" s="0" t="s">
        <v>236</v>
      </c>
      <c r="AG1063" s="0" t="s">
        <v>230</v>
      </c>
      <c r="AH1063" s="0" t="s">
        <v>230</v>
      </c>
      <c r="AI1063" s="0" t="s">
        <v>932</v>
      </c>
      <c r="AJ1063" s="0" t="s">
        <v>4505</v>
      </c>
      <c r="AK1063" s="0" t="s">
        <v>4506</v>
      </c>
      <c r="AL1063" s="0" t="s">
        <v>4507</v>
      </c>
      <c r="AM1063" s="0" t="s">
        <v>94</v>
      </c>
      <c r="AN1063" s="26" t="n">
        <f aca="false">IFERROR(E1063*(1+IF(AM1063="Apartment",Data_Summary!$C$3,0)),"")</f>
        <v>3.62232779097387</v>
      </c>
      <c r="AO1063" s="4" t="n">
        <v>46195</v>
      </c>
    </row>
    <row r="1064" customFormat="false" ht="15" hidden="false" customHeight="false" outlineLevel="0" collapsed="false">
      <c r="A1064" s="0" t="n">
        <f aca="false">IF(AND(ISNUMBER(B1064),B1064&gt;0,ISNUMBER(AB1064),AB1064&gt;0,J1064&gt;=Data_Summary!$C$1),1,0)</f>
        <v>1</v>
      </c>
      <c r="B1064" s="30" t="n">
        <v>600</v>
      </c>
      <c r="C1064" s="5" t="n">
        <f aca="false">IF(ISNUMBER(AB1064),AB1064,"")</f>
        <v>2400</v>
      </c>
      <c r="D1064" s="0" t="n">
        <f aca="false">IF(ISNUMBER(C1064),C1064-U1064*Data_Summary!$C$2,"")</f>
        <v>2400</v>
      </c>
      <c r="E1064" s="31" t="n">
        <f aca="false">IFERROR(C1064/B1064,"")</f>
        <v>4</v>
      </c>
      <c r="F1064" s="26" t="n">
        <f aca="false">IFERROR(D1064/B1064,"")</f>
        <v>4</v>
      </c>
      <c r="G1064" s="0" t="str">
        <f aca="false">Q1064</f>
        <v>1</v>
      </c>
      <c r="H1064" s="0" t="str">
        <f aca="false">IFERROR(LEFT(G1064,1),"")</f>
        <v>1</v>
      </c>
      <c r="I1064" s="0" t="n">
        <f aca="false">IF(LEN(G1064)&gt;1,1,0)</f>
        <v>0</v>
      </c>
      <c r="J1064" s="4" t="n">
        <v>45867</v>
      </c>
      <c r="K1064" s="0" t="s">
        <v>18</v>
      </c>
      <c r="L1064" s="0" t="s">
        <v>108</v>
      </c>
      <c r="M1064" s="0" t="s">
        <v>226</v>
      </c>
      <c r="N1064" s="0" t="s">
        <v>109</v>
      </c>
      <c r="O1064" s="0" t="s">
        <v>2195</v>
      </c>
      <c r="Q1064" s="0" t="s">
        <v>242</v>
      </c>
      <c r="R1064" s="0" t="n">
        <v>1</v>
      </c>
      <c r="S1064" s="5" t="n">
        <v>600</v>
      </c>
      <c r="T1064" s="0" t="s">
        <v>271</v>
      </c>
      <c r="U1064" s="0" t="n">
        <v>0</v>
      </c>
      <c r="V1064" s="0" t="s">
        <v>230</v>
      </c>
      <c r="W1064" s="0" t="s">
        <v>244</v>
      </c>
      <c r="X1064" s="0" t="s">
        <v>232</v>
      </c>
      <c r="Y1064" s="0" t="s">
        <v>260</v>
      </c>
      <c r="Z1064" s="0" t="s">
        <v>4423</v>
      </c>
      <c r="AA1064" s="0" t="s">
        <v>235</v>
      </c>
      <c r="AB1064" s="32" t="n">
        <v>2400</v>
      </c>
      <c r="AC1064" s="32" t="n">
        <v>2400</v>
      </c>
      <c r="AD1064" s="26" t="n">
        <f aca="false">IFERROR(AB1064/B1064,"")</f>
        <v>4</v>
      </c>
      <c r="AE1064" s="26" t="n">
        <f aca="false">IFERROR(AC1064/B1064,"")</f>
        <v>4</v>
      </c>
      <c r="AF1064" s="0" t="s">
        <v>236</v>
      </c>
      <c r="AG1064" s="0" t="s">
        <v>230</v>
      </c>
      <c r="AH1064" s="0" t="s">
        <v>230</v>
      </c>
      <c r="AI1064" s="0" t="s">
        <v>991</v>
      </c>
      <c r="AJ1064" s="0" t="s">
        <v>4508</v>
      </c>
      <c r="AK1064" s="0" t="s">
        <v>4509</v>
      </c>
      <c r="AL1064" s="0" t="s">
        <v>4510</v>
      </c>
      <c r="AM1064" s="0" t="s">
        <v>94</v>
      </c>
      <c r="AN1064" s="26" t="n">
        <f aca="false">IFERROR(E1064*(1+IF(AM1064="Apartment",Data_Summary!$C$3,0)),"")</f>
        <v>4</v>
      </c>
      <c r="AO1064" s="4" t="n">
        <v>46195</v>
      </c>
    </row>
    <row r="1065" customFormat="false" ht="15" hidden="false" customHeight="false" outlineLevel="0" collapsed="false">
      <c r="A1065" s="0" t="n">
        <f aca="false">IF(AND(ISNUMBER(B1065),B1065&gt;0,ISNUMBER(AB1065),AB1065&gt;0,J1065&gt;=Data_Summary!$C$1),1,0)</f>
        <v>1</v>
      </c>
      <c r="B1065" s="33" t="n">
        <v>567</v>
      </c>
      <c r="C1065" s="5" t="n">
        <f aca="false">IF(ISNUMBER(AB1065),AB1065,"")</f>
        <v>1975</v>
      </c>
      <c r="D1065" s="0" t="n">
        <f aca="false">IF(ISNUMBER(C1065),C1065-U1065*Data_Summary!$C$2,"")</f>
        <v>1975</v>
      </c>
      <c r="E1065" s="34" t="n">
        <f aca="false">IFERROR(C1065/B1065,"")</f>
        <v>3.48324514991182</v>
      </c>
      <c r="F1065" s="26" t="n">
        <f aca="false">IFERROR(D1065/B1065,"")</f>
        <v>3.48324514991182</v>
      </c>
      <c r="G1065" s="0" t="str">
        <f aca="false">Q1065</f>
        <v>1</v>
      </c>
      <c r="H1065" s="0" t="str">
        <f aca="false">IFERROR(LEFT(G1065,1),"")</f>
        <v>1</v>
      </c>
      <c r="I1065" s="0" t="n">
        <f aca="false">IF(LEN(G1065)&gt;1,1,0)</f>
        <v>0</v>
      </c>
      <c r="J1065" s="4" t="n">
        <v>45834</v>
      </c>
      <c r="K1065" s="0" t="s">
        <v>18</v>
      </c>
      <c r="L1065" s="0" t="s">
        <v>108</v>
      </c>
      <c r="M1065" s="0" t="s">
        <v>226</v>
      </c>
      <c r="N1065" s="0" t="s">
        <v>109</v>
      </c>
      <c r="O1065" s="0" t="s">
        <v>2495</v>
      </c>
      <c r="Q1065" s="0" t="s">
        <v>242</v>
      </c>
      <c r="R1065" s="0" t="n">
        <v>1</v>
      </c>
      <c r="S1065" s="5" t="n">
        <v>567</v>
      </c>
      <c r="T1065" s="0" t="s">
        <v>252</v>
      </c>
      <c r="U1065" s="0" t="n">
        <v>0</v>
      </c>
      <c r="V1065" s="0" t="s">
        <v>230</v>
      </c>
      <c r="W1065" s="0" t="s">
        <v>244</v>
      </c>
      <c r="Y1065" s="0" t="s">
        <v>253</v>
      </c>
      <c r="Z1065" s="0" t="s">
        <v>4423</v>
      </c>
      <c r="AA1065" s="0" t="s">
        <v>235</v>
      </c>
      <c r="AB1065" s="32" t="n">
        <v>1975</v>
      </c>
      <c r="AC1065" s="32" t="n">
        <v>1975</v>
      </c>
      <c r="AD1065" s="26" t="n">
        <f aca="false">IFERROR(AB1065/B1065,"")</f>
        <v>3.48324514991182</v>
      </c>
      <c r="AE1065" s="26" t="n">
        <f aca="false">IFERROR(AC1065/B1065,"")</f>
        <v>3.48324514991182</v>
      </c>
      <c r="AF1065" s="0" t="s">
        <v>236</v>
      </c>
      <c r="AG1065" s="0" t="s">
        <v>230</v>
      </c>
      <c r="AH1065" s="0" t="s">
        <v>230</v>
      </c>
      <c r="AI1065" s="0" t="s">
        <v>1241</v>
      </c>
      <c r="AJ1065" s="0" t="s">
        <v>4511</v>
      </c>
      <c r="AK1065" s="0" t="s">
        <v>4512</v>
      </c>
      <c r="AL1065" s="0" t="s">
        <v>4513</v>
      </c>
      <c r="AM1065" s="0" t="s">
        <v>94</v>
      </c>
      <c r="AN1065" s="26" t="n">
        <f aca="false">IFERROR(E1065*(1+IF(AM1065="Apartment",Data_Summary!$C$3,0)),"")</f>
        <v>3.48324514991182</v>
      </c>
      <c r="AO1065" s="4" t="n">
        <v>46195</v>
      </c>
    </row>
    <row r="1066" customFormat="false" ht="15" hidden="false" customHeight="false" outlineLevel="0" collapsed="false">
      <c r="A1066" s="0" t="n">
        <f aca="false">IF(AND(ISNUMBER(B1066),B1066&gt;0,ISNUMBER(AB1066),AB1066&gt;0,J1066&gt;=Data_Summary!$C$1),1,0)</f>
        <v>1</v>
      </c>
      <c r="B1066" s="30" t="n">
        <v>615</v>
      </c>
      <c r="C1066" s="5" t="n">
        <f aca="false">IF(ISNUMBER(AB1066),AB1066,"")</f>
        <v>2200</v>
      </c>
      <c r="D1066" s="0" t="n">
        <f aca="false">IF(ISNUMBER(C1066),C1066-U1066*Data_Summary!$C$2,"")</f>
        <v>2200</v>
      </c>
      <c r="E1066" s="31" t="n">
        <f aca="false">IFERROR(C1066/B1066,"")</f>
        <v>3.57723577235772</v>
      </c>
      <c r="F1066" s="26" t="n">
        <f aca="false">IFERROR(D1066/B1066,"")</f>
        <v>3.57723577235772</v>
      </c>
      <c r="G1066" s="0" t="str">
        <f aca="false">Q1066</f>
        <v>1</v>
      </c>
      <c r="H1066" s="0" t="str">
        <f aca="false">IFERROR(LEFT(G1066,1),"")</f>
        <v>1</v>
      </c>
      <c r="I1066" s="0" t="n">
        <f aca="false">IF(LEN(G1066)&gt;1,1,0)</f>
        <v>0</v>
      </c>
      <c r="J1066" s="4" t="n">
        <v>45818</v>
      </c>
      <c r="K1066" s="0" t="s">
        <v>18</v>
      </c>
      <c r="L1066" s="0" t="s">
        <v>108</v>
      </c>
      <c r="M1066" s="0" t="s">
        <v>226</v>
      </c>
      <c r="N1066" s="0" t="s">
        <v>109</v>
      </c>
      <c r="O1066" s="0" t="s">
        <v>2320</v>
      </c>
      <c r="Q1066" s="0" t="s">
        <v>242</v>
      </c>
      <c r="R1066" s="0" t="n">
        <v>1</v>
      </c>
      <c r="S1066" s="5" t="n">
        <v>615</v>
      </c>
      <c r="T1066" s="0" t="s">
        <v>271</v>
      </c>
      <c r="U1066" s="0" t="n">
        <v>0</v>
      </c>
      <c r="V1066" s="0" t="s">
        <v>230</v>
      </c>
      <c r="W1066" s="0" t="s">
        <v>244</v>
      </c>
      <c r="Y1066" s="0" t="s">
        <v>253</v>
      </c>
      <c r="Z1066" s="0" t="s">
        <v>4423</v>
      </c>
      <c r="AA1066" s="0" t="s">
        <v>235</v>
      </c>
      <c r="AB1066" s="32" t="n">
        <v>2200</v>
      </c>
      <c r="AC1066" s="32" t="n">
        <v>2300</v>
      </c>
      <c r="AD1066" s="26" t="n">
        <f aca="false">IFERROR(AB1066/B1066,"")</f>
        <v>3.57723577235772</v>
      </c>
      <c r="AE1066" s="26" t="n">
        <f aca="false">IFERROR(AC1066/B1066,"")</f>
        <v>3.73983739837398</v>
      </c>
      <c r="AF1066" s="0" t="s">
        <v>236</v>
      </c>
      <c r="AG1066" s="0" t="s">
        <v>230</v>
      </c>
      <c r="AH1066" s="0" t="s">
        <v>230</v>
      </c>
      <c r="AI1066" s="0" t="s">
        <v>1413</v>
      </c>
      <c r="AJ1066" s="0" t="s">
        <v>4514</v>
      </c>
      <c r="AK1066" s="0" t="s">
        <v>4515</v>
      </c>
      <c r="AL1066" s="0" t="s">
        <v>4516</v>
      </c>
      <c r="AM1066" s="0" t="s">
        <v>94</v>
      </c>
      <c r="AN1066" s="26" t="n">
        <f aca="false">IFERROR(E1066*(1+IF(AM1066="Apartment",Data_Summary!$C$3,0)),"")</f>
        <v>3.57723577235772</v>
      </c>
      <c r="AO1066" s="4" t="n">
        <v>46195</v>
      </c>
    </row>
    <row r="1067" customFormat="false" ht="15" hidden="false" customHeight="false" outlineLevel="0" collapsed="false">
      <c r="A1067" s="0" t="n">
        <f aca="false">IF(AND(ISNUMBER(B1067),B1067&gt;0,ISNUMBER(AB1067),AB1067&gt;0,J1067&gt;=Data_Summary!$C$1),1,0)</f>
        <v>1</v>
      </c>
      <c r="B1067" s="30" t="n">
        <v>600</v>
      </c>
      <c r="C1067" s="5" t="n">
        <f aca="false">IF(ISNUMBER(AB1067),AB1067,"")</f>
        <v>2600</v>
      </c>
      <c r="D1067" s="0" t="n">
        <f aca="false">IF(ISNUMBER(C1067),C1067-U1067*Data_Summary!$C$2,"")</f>
        <v>2450</v>
      </c>
      <c r="E1067" s="31" t="n">
        <f aca="false">IFERROR(C1067/B1067,"")</f>
        <v>4.33333333333333</v>
      </c>
      <c r="F1067" s="26" t="n">
        <f aca="false">IFERROR(D1067/B1067,"")</f>
        <v>4.08333333333333</v>
      </c>
      <c r="G1067" s="0" t="str">
        <f aca="false">Q1067</f>
        <v>1</v>
      </c>
      <c r="H1067" s="0" t="str">
        <f aca="false">IFERROR(LEFT(G1067,1),"")</f>
        <v>1</v>
      </c>
      <c r="I1067" s="0" t="n">
        <f aca="false">IF(LEN(G1067)&gt;1,1,0)</f>
        <v>0</v>
      </c>
      <c r="J1067" s="4" t="n">
        <v>45814</v>
      </c>
      <c r="K1067" s="0" t="s">
        <v>18</v>
      </c>
      <c r="L1067" s="0" t="s">
        <v>108</v>
      </c>
      <c r="M1067" s="0" t="s">
        <v>226</v>
      </c>
      <c r="N1067" s="0" t="s">
        <v>109</v>
      </c>
      <c r="O1067" s="0" t="s">
        <v>3509</v>
      </c>
      <c r="Q1067" s="0" t="s">
        <v>242</v>
      </c>
      <c r="R1067" s="0" t="n">
        <v>1</v>
      </c>
      <c r="S1067" s="5" t="n">
        <v>600</v>
      </c>
      <c r="T1067" s="0" t="s">
        <v>271</v>
      </c>
      <c r="U1067" s="0" t="n">
        <v>1</v>
      </c>
      <c r="V1067" s="0" t="s">
        <v>230</v>
      </c>
      <c r="W1067" s="0" t="s">
        <v>231</v>
      </c>
      <c r="X1067" s="0" t="s">
        <v>232</v>
      </c>
      <c r="Y1067" s="0" t="s">
        <v>260</v>
      </c>
      <c r="Z1067" s="0" t="s">
        <v>4423</v>
      </c>
      <c r="AA1067" s="0" t="s">
        <v>235</v>
      </c>
      <c r="AB1067" s="32" t="n">
        <v>2600</v>
      </c>
      <c r="AC1067" s="32" t="n">
        <v>2600</v>
      </c>
      <c r="AD1067" s="26" t="n">
        <f aca="false">IFERROR(AB1067/B1067,"")</f>
        <v>4.33333333333333</v>
      </c>
      <c r="AE1067" s="26" t="n">
        <f aca="false">IFERROR(AC1067/B1067,"")</f>
        <v>4.33333333333333</v>
      </c>
      <c r="AF1067" s="0" t="s">
        <v>236</v>
      </c>
      <c r="AG1067" s="0" t="s">
        <v>230</v>
      </c>
      <c r="AH1067" s="0" t="s">
        <v>230</v>
      </c>
      <c r="AI1067" s="0" t="s">
        <v>1448</v>
      </c>
      <c r="AJ1067" s="0" t="s">
        <v>4517</v>
      </c>
      <c r="AK1067" s="0" t="s">
        <v>4518</v>
      </c>
      <c r="AL1067" s="0" t="s">
        <v>4519</v>
      </c>
      <c r="AM1067" s="0" t="s">
        <v>94</v>
      </c>
      <c r="AN1067" s="26" t="n">
        <f aca="false">IFERROR(E1067*(1+IF(AM1067="Apartment",Data_Summary!$C$3,0)),"")</f>
        <v>4.33333333333333</v>
      </c>
      <c r="AO1067" s="4" t="n">
        <v>46195</v>
      </c>
    </row>
    <row r="1068" customFormat="false" ht="15" hidden="false" customHeight="false" outlineLevel="0" collapsed="false">
      <c r="A1068" s="0" t="n">
        <f aca="false">IF(AND(ISNUMBER(B1068),B1068&gt;0,ISNUMBER(AB1068),AB1068&gt;0,J1068&gt;=Data_Summary!$C$1),1,0)</f>
        <v>1</v>
      </c>
      <c r="B1068" s="30" t="n">
        <v>600</v>
      </c>
      <c r="C1068" s="5" t="n">
        <f aca="false">IF(ISNUMBER(AB1068),AB1068,"")</f>
        <v>2500</v>
      </c>
      <c r="D1068" s="0" t="n">
        <f aca="false">IF(ISNUMBER(C1068),C1068-U1068*Data_Summary!$C$2,"")</f>
        <v>2500</v>
      </c>
      <c r="E1068" s="31" t="n">
        <f aca="false">IFERROR(C1068/B1068,"")</f>
        <v>4.16666666666667</v>
      </c>
      <c r="F1068" s="26" t="n">
        <f aca="false">IFERROR(D1068/B1068,"")</f>
        <v>4.16666666666667</v>
      </c>
      <c r="G1068" s="0" t="str">
        <f aca="false">Q1068</f>
        <v>1</v>
      </c>
      <c r="H1068" s="0" t="str">
        <f aca="false">IFERROR(LEFT(G1068,1),"")</f>
        <v>1</v>
      </c>
      <c r="I1068" s="0" t="n">
        <f aca="false">IF(LEN(G1068)&gt;1,1,0)</f>
        <v>0</v>
      </c>
      <c r="J1068" s="4" t="n">
        <v>45783</v>
      </c>
      <c r="K1068" s="0" t="s">
        <v>18</v>
      </c>
      <c r="L1068" s="0" t="s">
        <v>108</v>
      </c>
      <c r="M1068" s="0" t="s">
        <v>226</v>
      </c>
      <c r="N1068" s="0" t="s">
        <v>109</v>
      </c>
      <c r="O1068" s="0" t="s">
        <v>4520</v>
      </c>
      <c r="Q1068" s="0" t="s">
        <v>242</v>
      </c>
      <c r="R1068" s="0" t="n">
        <v>1</v>
      </c>
      <c r="S1068" s="5" t="n">
        <v>600</v>
      </c>
      <c r="T1068" s="0" t="s">
        <v>271</v>
      </c>
      <c r="U1068" s="0" t="n">
        <v>0</v>
      </c>
      <c r="V1068" s="0" t="s">
        <v>230</v>
      </c>
      <c r="W1068" s="0" t="s">
        <v>244</v>
      </c>
      <c r="X1068" s="0" t="s">
        <v>232</v>
      </c>
      <c r="Y1068" s="0" t="s">
        <v>260</v>
      </c>
      <c r="Z1068" s="0" t="s">
        <v>4423</v>
      </c>
      <c r="AA1068" s="0" t="s">
        <v>235</v>
      </c>
      <c r="AB1068" s="32" t="n">
        <v>2500</v>
      </c>
      <c r="AC1068" s="32" t="n">
        <v>2500</v>
      </c>
      <c r="AD1068" s="26" t="n">
        <f aca="false">IFERROR(AB1068/B1068,"")</f>
        <v>4.16666666666667</v>
      </c>
      <c r="AE1068" s="26" t="n">
        <f aca="false">IFERROR(AC1068/B1068,"")</f>
        <v>4.16666666666667</v>
      </c>
      <c r="AF1068" s="0" t="s">
        <v>236</v>
      </c>
      <c r="AG1068" s="0" t="s">
        <v>230</v>
      </c>
      <c r="AH1068" s="0" t="s">
        <v>230</v>
      </c>
      <c r="AI1068" s="0" t="s">
        <v>3139</v>
      </c>
      <c r="AJ1068" s="0" t="s">
        <v>4521</v>
      </c>
      <c r="AK1068" s="0" t="s">
        <v>4522</v>
      </c>
      <c r="AL1068" s="0" t="s">
        <v>4523</v>
      </c>
      <c r="AM1068" s="0" t="s">
        <v>94</v>
      </c>
      <c r="AN1068" s="26" t="n">
        <f aca="false">IFERROR(E1068*(1+IF(AM1068="Apartment",Data_Summary!$C$3,0)),"")</f>
        <v>4.16666666666667</v>
      </c>
      <c r="AO1068" s="4" t="n">
        <v>46195</v>
      </c>
    </row>
    <row r="1069" customFormat="false" ht="15" hidden="false" customHeight="false" outlineLevel="0" collapsed="false">
      <c r="A1069" s="0" t="n">
        <f aca="false">IF(AND(ISNUMBER(B1069),B1069&gt;0,ISNUMBER(AB1069),AB1069&gt;0,J1069&gt;=Data_Summary!$C$1),1,0)</f>
        <v>1</v>
      </c>
      <c r="B1069" s="33" t="n">
        <v>541</v>
      </c>
      <c r="C1069" s="5" t="n">
        <f aca="false">IF(ISNUMBER(AB1069),AB1069,"")</f>
        <v>2250</v>
      </c>
      <c r="D1069" s="0" t="n">
        <f aca="false">IF(ISNUMBER(C1069),C1069-U1069*Data_Summary!$C$2,"")</f>
        <v>2250</v>
      </c>
      <c r="E1069" s="34" t="n">
        <f aca="false">IFERROR(C1069/B1069,"")</f>
        <v>4.15896487985213</v>
      </c>
      <c r="F1069" s="26" t="n">
        <f aca="false">IFERROR(D1069/B1069,"")</f>
        <v>4.15896487985213</v>
      </c>
      <c r="G1069" s="0" t="str">
        <f aca="false">Q1069</f>
        <v>1</v>
      </c>
      <c r="H1069" s="0" t="str">
        <f aca="false">IFERROR(LEFT(G1069,1),"")</f>
        <v>1</v>
      </c>
      <c r="I1069" s="0" t="n">
        <f aca="false">IF(LEN(G1069)&gt;1,1,0)</f>
        <v>0</v>
      </c>
      <c r="J1069" s="4" t="n">
        <v>45678</v>
      </c>
      <c r="K1069" s="0" t="s">
        <v>18</v>
      </c>
      <c r="L1069" s="0" t="s">
        <v>108</v>
      </c>
      <c r="M1069" s="0" t="s">
        <v>226</v>
      </c>
      <c r="N1069" s="0" t="s">
        <v>109</v>
      </c>
      <c r="O1069" s="0" t="s">
        <v>652</v>
      </c>
      <c r="Q1069" s="0" t="s">
        <v>242</v>
      </c>
      <c r="R1069" s="0" t="n">
        <v>1</v>
      </c>
      <c r="S1069" s="5" t="n">
        <v>541</v>
      </c>
      <c r="T1069" s="0" t="s">
        <v>271</v>
      </c>
      <c r="U1069" s="0" t="n">
        <v>0</v>
      </c>
      <c r="V1069" s="0" t="s">
        <v>230</v>
      </c>
      <c r="W1069" s="0" t="s">
        <v>244</v>
      </c>
      <c r="Y1069" s="0" t="s">
        <v>253</v>
      </c>
      <c r="Z1069" s="0" t="s">
        <v>4423</v>
      </c>
      <c r="AA1069" s="0" t="s">
        <v>235</v>
      </c>
      <c r="AB1069" s="32" t="n">
        <v>2250</v>
      </c>
      <c r="AC1069" s="32" t="n">
        <v>2250</v>
      </c>
      <c r="AD1069" s="26" t="n">
        <f aca="false">IFERROR(AB1069/B1069,"")</f>
        <v>4.15896487985213</v>
      </c>
      <c r="AE1069" s="26" t="n">
        <f aca="false">IFERROR(AC1069/B1069,"")</f>
        <v>4.15896487985213</v>
      </c>
      <c r="AF1069" s="0" t="s">
        <v>236</v>
      </c>
      <c r="AG1069" s="0" t="s">
        <v>230</v>
      </c>
      <c r="AH1069" s="0" t="s">
        <v>230</v>
      </c>
      <c r="AI1069" s="0" t="s">
        <v>2425</v>
      </c>
      <c r="AJ1069" s="0" t="s">
        <v>4524</v>
      </c>
      <c r="AK1069" s="0" t="s">
        <v>4525</v>
      </c>
      <c r="AL1069" s="0" t="s">
        <v>4526</v>
      </c>
      <c r="AM1069" s="0" t="s">
        <v>94</v>
      </c>
      <c r="AN1069" s="26" t="n">
        <f aca="false">IFERROR(E1069*(1+IF(AM1069="Apartment",Data_Summary!$C$3,0)),"")</f>
        <v>4.15896487985213</v>
      </c>
      <c r="AO1069" s="4" t="n">
        <v>46195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10" min="9" style="0" width="6"/>
    <col collapsed="false" customWidth="true" hidden="false" outlineLevel="0" max="11" min="11" style="0" width="53"/>
    <col collapsed="false" customWidth="true" hidden="false" outlineLevel="0" max="12" min="12" style="0" width="17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6" min="16" style="0" width="13"/>
    <col collapsed="false" customWidth="true" hidden="false" outlineLevel="0" max="18" min="17" style="0" width="6"/>
    <col collapsed="false" customWidth="true" hidden="false" outlineLevel="0" max="19" min="19" style="0" width="17"/>
    <col collapsed="false" customWidth="true" hidden="false" outlineLevel="0" max="20" min="20" style="0" width="15"/>
    <col collapsed="false" customWidth="true" hidden="false" outlineLevel="0" max="21" min="21" style="0" width="10"/>
    <col collapsed="false" customWidth="true" hidden="false" outlineLevel="0" max="22" min="22" style="0" width="17"/>
    <col collapsed="false" customWidth="true" hidden="false" outlineLevel="0" max="23" min="23" style="0" width="7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3"/>
    <col collapsed="false" customWidth="true" hidden="false" outlineLevel="0" max="27" min="27" style="0" width="19"/>
    <col collapsed="false" customWidth="true" hidden="false" outlineLevel="0" max="29" min="28" style="0" width="16"/>
    <col collapsed="false" customWidth="true" hidden="false" outlineLevel="0" max="30" min="30" style="0" width="17"/>
    <col collapsed="false" customWidth="true" hidden="false" outlineLevel="0" max="31" min="31" style="0" width="14"/>
    <col collapsed="false" customWidth="true" hidden="false" outlineLevel="0" max="32" min="32" style="0" width="10"/>
    <col collapsed="false" customWidth="true" hidden="false" outlineLevel="0" max="34" min="33" style="0" width="15"/>
    <col collapsed="false" customWidth="true" hidden="false" outlineLevel="0" max="35" min="35" style="0" width="11"/>
    <col collapsed="false" customWidth="true" hidden="false" outlineLevel="0" max="36" min="36" style="0" width="6"/>
    <col collapsed="false" customWidth="true" hidden="false" outlineLevel="0" max="38" min="37" style="0" width="12"/>
    <col collapsed="false" customWidth="true" hidden="false" outlineLevel="0" max="39" min="39" style="0" width="13"/>
    <col collapsed="false" customWidth="true" hidden="false" outlineLevel="0" max="40" min="40" style="0" width="19"/>
    <col collapsed="false" customWidth="true" hidden="false" outlineLevel="0" max="41" min="41" style="0" width="13"/>
  </cols>
  <sheetData>
    <row r="1" customFormat="false" ht="15" hidden="false" customHeight="false" outlineLevel="0" collapsed="false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  <c r="K1" s="2" t="s">
        <v>197</v>
      </c>
      <c r="L1" s="2" t="s">
        <v>198</v>
      </c>
      <c r="M1" s="2" t="s">
        <v>199</v>
      </c>
      <c r="N1" s="2" t="s">
        <v>84</v>
      </c>
      <c r="O1" s="2" t="s">
        <v>200</v>
      </c>
      <c r="P1" s="2" t="s">
        <v>201</v>
      </c>
      <c r="Q1" s="2" t="s">
        <v>140</v>
      </c>
      <c r="R1" s="2" t="s">
        <v>202</v>
      </c>
      <c r="S1" s="2" t="s">
        <v>203</v>
      </c>
      <c r="T1" s="2" t="s">
        <v>204</v>
      </c>
      <c r="U1" s="2" t="s">
        <v>205</v>
      </c>
      <c r="V1" s="2" t="s">
        <v>206</v>
      </c>
      <c r="W1" s="2" t="s">
        <v>207</v>
      </c>
      <c r="X1" s="2" t="s">
        <v>208</v>
      </c>
      <c r="Y1" s="2" t="s">
        <v>209</v>
      </c>
      <c r="Z1" s="2" t="s">
        <v>210</v>
      </c>
      <c r="AA1" s="2" t="s">
        <v>211</v>
      </c>
      <c r="AB1" s="2" t="s">
        <v>212</v>
      </c>
      <c r="AC1" s="2" t="s">
        <v>213</v>
      </c>
      <c r="AD1" s="2" t="s">
        <v>214</v>
      </c>
      <c r="AE1" s="2" t="s">
        <v>215</v>
      </c>
      <c r="AF1" s="2" t="s">
        <v>216</v>
      </c>
      <c r="AG1" s="2" t="s">
        <v>217</v>
      </c>
      <c r="AH1" s="2" t="s">
        <v>218</v>
      </c>
      <c r="AI1" s="2" t="s">
        <v>219</v>
      </c>
      <c r="AJ1" s="2" t="s">
        <v>220</v>
      </c>
      <c r="AK1" s="2" t="s">
        <v>221</v>
      </c>
      <c r="AL1" s="2" t="s">
        <v>222</v>
      </c>
      <c r="AM1" s="2" t="s">
        <v>223</v>
      </c>
      <c r="AN1" s="2" t="s">
        <v>224</v>
      </c>
      <c r="AO1" s="2" t="s">
        <v>225</v>
      </c>
    </row>
    <row r="3" customFormat="false" ht="15" hidden="false" customHeight="false" outlineLevel="0" collapsed="false">
      <c r="K3" s="12" t="s">
        <v>4527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8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21"/>
    <col collapsed="false" customWidth="true" hidden="false" outlineLevel="0" max="6" min="6" style="0" width="70"/>
    <col collapsed="false" customWidth="true" hidden="false" outlineLevel="0" max="7" min="7" style="0" width="11"/>
    <col collapsed="false" customWidth="true" hidden="false" outlineLevel="0" max="8" min="8" style="0" width="52"/>
    <col collapsed="false" customWidth="true" hidden="false" outlineLevel="0" max="10" min="9" style="0" width="6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6"/>
    <col collapsed="false" customWidth="true" hidden="false" outlineLevel="0" max="16" min="16" style="0" width="100"/>
    <col collapsed="false" customWidth="true" hidden="false" outlineLevel="0" max="17" min="17" style="0" width="17"/>
    <col collapsed="false" customWidth="true" hidden="false" outlineLevel="0" max="18" min="18" style="0" width="19"/>
  </cols>
  <sheetData>
    <row r="1" customFormat="false" ht="15" hidden="false" customHeight="false" outlineLevel="0" collapsed="false">
      <c r="A1" s="8" t="s">
        <v>197</v>
      </c>
      <c r="B1" s="8" t="s">
        <v>198</v>
      </c>
      <c r="C1" s="8" t="s">
        <v>199</v>
      </c>
      <c r="D1" s="8" t="s">
        <v>4528</v>
      </c>
      <c r="E1" s="8" t="s">
        <v>4529</v>
      </c>
      <c r="F1" s="8" t="s">
        <v>4530</v>
      </c>
      <c r="G1" s="8" t="s">
        <v>4531</v>
      </c>
      <c r="H1" s="8" t="s">
        <v>4532</v>
      </c>
      <c r="I1" s="8" t="s">
        <v>140</v>
      </c>
      <c r="J1" s="8" t="s">
        <v>202</v>
      </c>
      <c r="K1" s="8" t="s">
        <v>4533</v>
      </c>
      <c r="L1" s="8" t="s">
        <v>209</v>
      </c>
      <c r="M1" s="8" t="s">
        <v>4534</v>
      </c>
      <c r="N1" s="8" t="s">
        <v>4535</v>
      </c>
      <c r="O1" s="8" t="s">
        <v>4536</v>
      </c>
      <c r="P1" s="8" t="s">
        <v>4537</v>
      </c>
      <c r="Q1" s="8" t="s">
        <v>4538</v>
      </c>
      <c r="R1" s="8" t="s">
        <v>4539</v>
      </c>
    </row>
    <row r="2" customFormat="false" ht="15" hidden="false" customHeight="false" outlineLevel="0" collapsed="false">
      <c r="A2" s="0" t="s">
        <v>4540</v>
      </c>
      <c r="B2" s="0" t="s">
        <v>4541</v>
      </c>
      <c r="C2" s="0" t="s">
        <v>226</v>
      </c>
      <c r="D2" s="0" t="s">
        <v>4542</v>
      </c>
      <c r="E2" s="0" t="s">
        <v>4543</v>
      </c>
      <c r="F2" s="0" t="s">
        <v>4544</v>
      </c>
      <c r="G2" s="0" t="s">
        <v>4545</v>
      </c>
      <c r="H2" s="0" t="s">
        <v>4546</v>
      </c>
      <c r="P2" s="0" t="s">
        <v>4547</v>
      </c>
      <c r="R2" s="0" t="s">
        <v>4548</v>
      </c>
    </row>
    <row r="3" customFormat="false" ht="15" hidden="false" customHeight="false" outlineLevel="0" collapsed="false">
      <c r="A3" s="0" t="s">
        <v>4549</v>
      </c>
      <c r="C3" s="0" t="s">
        <v>226</v>
      </c>
      <c r="D3" s="0" t="s">
        <v>4550</v>
      </c>
      <c r="E3" s="0" t="s">
        <v>4551</v>
      </c>
      <c r="F3" s="0" t="s">
        <v>4552</v>
      </c>
      <c r="G3" s="0" t="s">
        <v>4545</v>
      </c>
      <c r="H3" s="0" t="s">
        <v>4553</v>
      </c>
      <c r="P3" s="0" t="s">
        <v>4554</v>
      </c>
      <c r="Q3" s="0" t="s">
        <v>4555</v>
      </c>
      <c r="R3" s="0" t="s">
        <v>4556</v>
      </c>
    </row>
    <row r="4" customFormat="false" ht="15" hidden="false" customHeight="false" outlineLevel="0" collapsed="false">
      <c r="A4" s="12" t="s">
        <v>4557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2020-01-01T00:00:00Z</dcterms:created>
  <dc:creator>openpyxl</dc:creator>
  <dc:description/>
  <dc:language>en-US</dc:language>
  <cp:lastModifiedBy/>
  <dcterms:modified xsi:type="dcterms:W3CDTF">2026-06-22T18:38:19Z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